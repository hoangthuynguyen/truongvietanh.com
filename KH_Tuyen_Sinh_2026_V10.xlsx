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 Chân Dung KH" sheetId="1" state="visible" r:id="rId1"/>
    <sheet xmlns:r="http://schemas.openxmlformats.org/officeDocument/2006/relationships" name="0. Dashboard" sheetId="2" state="visible" r:id="rId2"/>
    <sheet xmlns:r="http://schemas.openxmlformats.org/officeDocument/2006/relationships" name="1. Input" sheetId="3" state="visible" r:id="rId3"/>
    <sheet xmlns:r="http://schemas.openxmlformats.org/officeDocument/2006/relationships" name="2. Paid Media" sheetId="4" state="visible" r:id="rId4"/>
    <sheet xmlns:r="http://schemas.openxmlformats.org/officeDocument/2006/relationships" name="3. Master Table" sheetId="5" state="visible" r:id="rId5"/>
    <sheet xmlns:r="http://schemas.openxmlformats.org/officeDocument/2006/relationships" name="4. Funnel" sheetId="6" state="visible" r:id="rId6"/>
    <sheet xmlns:r="http://schemas.openxmlformats.org/officeDocument/2006/relationships" name="5. Google Ads Chi Tiết" sheetId="7" state="visible" r:id="rId7"/>
    <sheet xmlns:r="http://schemas.openxmlformats.org/officeDocument/2006/relationships" name="6. Meta Ads Chi Tiết" sheetId="8" state="visible" r:id="rId8"/>
    <sheet xmlns:r="http://schemas.openxmlformats.org/officeDocument/2006/relationships" name="7. TikTok Ads Chi Tiết" sheetId="9" state="visible" r:id="rId9"/>
    <sheet xmlns:r="http://schemas.openxmlformats.org/officeDocument/2006/relationships" name="8. GoHighLevel Setup" sheetId="10" state="visible" r:id="rId10"/>
    <sheet xmlns:r="http://schemas.openxmlformats.org/officeDocument/2006/relationships" name="9. GTM Tracking" sheetId="11" state="visible" r:id="rId11"/>
    <sheet xmlns:r="http://schemas.openxmlformats.org/officeDocument/2006/relationships" name="10. Lịch Công Việc Marketer" sheetId="12" state="visible" r:id="rId12"/>
    <sheet xmlns:r="http://schemas.openxmlformats.org/officeDocument/2006/relationships" name="11. Timeline" sheetId="13" state="visible" r:id="rId13"/>
    <sheet xmlns:r="http://schemas.openxmlformats.org/officeDocument/2006/relationships" name="12. Danh bạ" sheetId="14" state="visible" r:id="rId14"/>
    <sheet xmlns:r="http://schemas.openxmlformats.org/officeDocument/2006/relationships" name="13. Zalo Ads + OA" sheetId="15" state="visible" r:id="rId15"/>
    <sheet xmlns:r="http://schemas.openxmlformats.org/officeDocument/2006/relationships" name="14. Weekly Battleplan" sheetId="16" state="visible" r:id="rId16"/>
    <sheet xmlns:r="http://schemas.openxmlformats.org/officeDocument/2006/relationships" name="A. KPI Weekly Tracker" sheetId="17" state="visible" r:id="rId17"/>
    <sheet xmlns:r="http://schemas.openxmlformats.org/officeDocument/2006/relationships" name="B. Todo Daily" sheetId="18" state="visible" r:id="rId18"/>
    <sheet xmlns:r="http://schemas.openxmlformats.org/officeDocument/2006/relationships" name="C. Todo Weekly" sheetId="19" state="visible" r:id="rId19"/>
    <sheet xmlns:r="http://schemas.openxmlformats.org/officeDocument/2006/relationships" name="D. Todo Monthly" sheetId="20" state="visible" r:id="rId20"/>
    <sheet xmlns:r="http://schemas.openxmlformats.org/officeDocument/2006/relationships" name="E. Campaign Tracker" sheetId="21" state="visible" r:id="rId21"/>
    <sheet xmlns:r="http://schemas.openxmlformats.org/officeDocument/2006/relationships" name="F. Meta Ads Plan" sheetId="22" state="visible" r:id="rId22"/>
    <sheet xmlns:r="http://schemas.openxmlformats.org/officeDocument/2006/relationships" name="G. Google Ads Plan" sheetId="23" state="visible" r:id="rId23"/>
    <sheet xmlns:r="http://schemas.openxmlformats.org/officeDocument/2006/relationships" name="H. Birch + GHL Integration" sheetId="24" state="visible" r:id="rId24"/>
    <sheet xmlns:r="http://schemas.openxmlformats.org/officeDocument/2006/relationships" name="J. Webinar Chi Tiết" sheetId="25" state="visible" r:id="rId25"/>
    <sheet xmlns:r="http://schemas.openxmlformats.org/officeDocument/2006/relationships" name="K. Social Media Calendar" sheetId="26" state="visible" r:id="rId26"/>
    <sheet xmlns:r="http://schemas.openxmlformats.org/officeDocument/2006/relationships" name="L. Analytics &amp; Remarketing" sheetId="27" state="visible" r:id="rId27"/>
    <sheet xmlns:r="http://schemas.openxmlformats.org/officeDocument/2006/relationships" name="M. Video Marketing" sheetId="28" state="visible" r:id="rId28"/>
    <sheet xmlns:r="http://schemas.openxmlformats.org/officeDocument/2006/relationships" name="N. Email Marketing" sheetId="29" state="visible" r:id="rId29"/>
    <sheet xmlns:r="http://schemas.openxmlformats.org/officeDocument/2006/relationships" name="O. Nuôi Kênh Social Media" sheetId="30" state="visible" r:id="rId30"/>
    <sheet xmlns:r="http://schemas.openxmlformats.org/officeDocument/2006/relationships" name="P. Setup &amp; Đồng Bộ" sheetId="31" state="visible" r:id="rId31"/>
    <sheet xmlns:r="http://schemas.openxmlformats.org/officeDocument/2006/relationships" name="Q. Nhân Sự &amp; Phân Công" sheetId="32" state="visible" r:id="rId32"/>
    <sheet xmlns:r="http://schemas.openxmlformats.org/officeDocument/2006/relationships" name="R. Mẫu Nội Dung &amp; Scripts" sheetId="33" state="visible" r:id="rId33"/>
    <sheet xmlns:r="http://schemas.openxmlformats.org/officeDocument/2006/relationships" name="S. Đối Thủ Cạnh Tranh" sheetId="34" state="visible" r:id="rId34"/>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0\x"/>
    <numFmt numFmtId="166" formatCode="#,##0&quot; đ&quot;"/>
  </numFmts>
  <fonts count="53">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4"/>
    </font>
    <font>
      <name val="Arial"/>
      <charset val="1"/>
      <family val="0"/>
      <b val="1"/>
      <color rgb="FFFFFFFF"/>
      <sz val="11"/>
    </font>
    <font>
      <name val="Arial"/>
      <charset val="1"/>
      <family val="0"/>
      <sz val="10"/>
    </font>
    <font>
      <name val="Arial"/>
      <charset val="1"/>
      <family val="0"/>
      <b val="1"/>
      <color rgb="FF2E75B6"/>
      <sz val="12"/>
    </font>
    <font>
      <name val="Arial"/>
      <charset val="1"/>
      <family val="0"/>
      <b val="1"/>
      <color rgb="FFFFFFFF"/>
      <sz val="16"/>
    </font>
    <font>
      <name val="Arial"/>
      <charset val="1"/>
      <family val="0"/>
      <i val="1"/>
      <color rgb="FF1B3A6B"/>
      <sz val="11"/>
    </font>
    <font>
      <name val="Arial"/>
      <charset val="1"/>
      <family val="0"/>
      <b val="1"/>
      <color rgb="FFFFFFFF"/>
      <sz val="10"/>
    </font>
    <font>
      <name val="Arial"/>
      <charset val="1"/>
      <family val="0"/>
      <b val="1"/>
      <color rgb="FF000000"/>
      <sz val="10"/>
    </font>
    <font>
      <name val="Arial"/>
      <charset val="1"/>
      <family val="0"/>
      <b val="1"/>
      <color rgb="FF2E6DB4"/>
      <sz val="10"/>
    </font>
    <font>
      <name val="Arial"/>
      <charset val="1"/>
      <family val="0"/>
      <color rgb="FF2C3E50"/>
      <sz val="10"/>
    </font>
    <font>
      <name val="Arial"/>
      <charset val="1"/>
      <family val="0"/>
      <color rgb="FF000000"/>
      <sz val="10"/>
    </font>
    <font>
      <name val="Arial"/>
      <charset val="1"/>
      <family val="0"/>
      <color rgb="FF7F8C8D"/>
      <sz val="10"/>
    </font>
    <font>
      <name val="Arial"/>
      <charset val="1"/>
      <family val="0"/>
      <color rgb="FF2E6DB4"/>
      <sz val="10"/>
      <u val="single"/>
    </font>
    <font>
      <name val="Arial"/>
      <charset val="1"/>
      <family val="0"/>
      <b val="1"/>
      <color rgb="FF1B3A6B"/>
      <sz val="10"/>
    </font>
    <font>
      <name val="Arial"/>
      <charset val="1"/>
      <family val="0"/>
      <b val="1"/>
      <color rgb="FF2E6DB4"/>
      <sz val="10"/>
      <u val="single"/>
    </font>
    <font>
      <name val="Arial"/>
      <charset val="1"/>
      <family val="0"/>
      <b val="1"/>
      <color rgb="FFFFFFFF"/>
      <sz val="12"/>
    </font>
    <font>
      <name val="Arial"/>
      <charset val="1"/>
      <family val="0"/>
      <b val="1"/>
      <color rgb="FFC62828"/>
      <sz val="9"/>
    </font>
    <font>
      <name val="Arial"/>
      <charset val="1"/>
      <family val="0"/>
      <b val="1"/>
      <sz val="10"/>
    </font>
    <font>
      <name val="Arial"/>
      <charset val="1"/>
      <family val="0"/>
      <b val="1"/>
      <color rgb="FFC62828"/>
      <sz val="10"/>
    </font>
    <font>
      <name val="Arial"/>
      <charset val="1"/>
      <family val="0"/>
      <b val="1"/>
      <color rgb="FF2C5F8A"/>
      <sz val="10"/>
    </font>
    <font>
      <name val="Arial"/>
      <charset val="1"/>
      <family val="0"/>
      <b val="1"/>
      <color rgb="FFFFFFFF"/>
      <sz val="14"/>
    </font>
    <font>
      <name val="Arial"/>
      <charset val="1"/>
      <family val="0"/>
      <i val="1"/>
      <color rgb="FF1B3A6B"/>
      <sz val="10"/>
    </font>
    <font>
      <name val="Arial"/>
      <charset val="1"/>
      <family val="0"/>
      <b val="1"/>
      <color rgb="FFC0392B"/>
      <sz val="10"/>
    </font>
    <font>
      <name val="Arial"/>
      <charset val="1"/>
      <family val="0"/>
      <color rgb="FF000000"/>
      <sz val="9"/>
    </font>
    <font>
      <name val="Arial"/>
      <charset val="1"/>
      <family val="0"/>
      <sz val="12"/>
    </font>
    <font>
      <name val="Arial"/>
      <charset val="1"/>
      <family val="0"/>
      <sz val="9"/>
    </font>
    <font>
      <name val="Arial"/>
      <charset val="1"/>
      <family val="0"/>
      <b val="1"/>
      <color rgb="FF1D7A3A"/>
      <sz val="10"/>
    </font>
    <font>
      <name val="Arial"/>
      <charset val="1"/>
      <family val="0"/>
      <b val="1"/>
      <color rgb="FFE67E22"/>
      <sz val="10"/>
    </font>
    <font>
      <name val="Arial"/>
      <charset val="1"/>
      <family val="0"/>
      <i val="1"/>
      <color rgb="FF2E6DB4"/>
      <sz val="10"/>
    </font>
    <font>
      <name val="Arial"/>
      <charset val="1"/>
      <family val="0"/>
      <i val="1"/>
      <color rgb="FF1D7A3A"/>
      <sz val="10"/>
    </font>
    <font>
      <name val="Arial"/>
      <charset val="1"/>
      <family val="0"/>
      <i val="1"/>
      <color rgb="FFE67E22"/>
      <sz val="10"/>
    </font>
    <font>
      <name val="Arial"/>
      <charset val="1"/>
      <family val="0"/>
      <i val="1"/>
      <color rgb="FFC0392B"/>
      <sz val="10"/>
    </font>
    <font>
      <name val="Arial"/>
      <charset val="1"/>
      <family val="0"/>
      <i val="1"/>
      <color rgb="FF8E44AD"/>
      <sz val="10"/>
    </font>
    <font>
      <name val="Arial"/>
      <charset val="1"/>
      <family val="0"/>
      <b val="1"/>
      <color rgb="FF8E44AD"/>
      <sz val="10"/>
    </font>
    <font>
      <name val="Arial"/>
      <charset val="1"/>
      <family val="0"/>
      <i val="1"/>
      <color rgb="FF16A085"/>
      <sz val="10"/>
    </font>
    <font>
      <name val="Arial"/>
      <charset val="1"/>
      <family val="0"/>
      <b val="1"/>
      <color rgb="FF16A085"/>
      <sz val="10"/>
    </font>
    <font>
      <name val="Arial"/>
      <charset val="1"/>
      <family val="0"/>
      <b val="1"/>
      <color rgb="FFFFFFFF"/>
      <sz val="13"/>
    </font>
    <font>
      <name val="Arial"/>
      <charset val="1"/>
      <family val="0"/>
      <color rgb="FF2E6DB4"/>
      <sz val="10"/>
    </font>
    <font>
      <name val="Arial"/>
      <charset val="1"/>
      <family val="0"/>
      <color rgb="FFE67E22"/>
      <sz val="10"/>
    </font>
    <font>
      <name val="Arial"/>
      <charset val="1"/>
      <family val="0"/>
      <color rgb="FF1D7A3A"/>
      <sz val="9"/>
    </font>
    <font>
      <name val="Arial"/>
      <b val="1"/>
      <color rgb="001F4E79"/>
      <sz val="14"/>
    </font>
    <font>
      <name val="Arial"/>
      <sz val="10"/>
    </font>
    <font>
      <name val="Arial"/>
      <b val="1"/>
      <color rgb="002E75B6"/>
      <sz val="12"/>
    </font>
    <font>
      <name val="Arial"/>
      <b val="1"/>
      <color rgb="00FFFFFF"/>
      <sz val="11"/>
    </font>
    <font>
      <name val="Arial"/>
      <color rgb="000563C1"/>
      <sz val="10"/>
      <u val="single"/>
    </font>
    <font>
      <name val="Arial"/>
      <b val="1"/>
      <sz val="11"/>
    </font>
    <font>
      <name val="Arial"/>
      <b val="1"/>
      <sz val="10"/>
    </font>
    <font>
      <name val="Arial"/>
      <b val="1"/>
      <color rgb="00FF0000"/>
      <sz val="11"/>
    </font>
    <font>
      <name val="Arial"/>
      <b val="1"/>
      <color rgb="00FF0000"/>
      <sz val="10"/>
    </font>
  </fonts>
  <fills count="49">
    <fill>
      <patternFill/>
    </fill>
    <fill>
      <patternFill patternType="gray125"/>
    </fill>
    <fill>
      <patternFill patternType="solid">
        <fgColor rgb="FF1F4E79"/>
        <bgColor rgb="FF2C5F8A"/>
      </patternFill>
    </fill>
    <fill>
      <patternFill patternType="solid">
        <fgColor rgb="FFF2F7FB"/>
        <bgColor rgb="FFF5F5F5"/>
      </patternFill>
    </fill>
    <fill>
      <patternFill patternType="solid">
        <fgColor rgb="FF1B3A6B"/>
        <bgColor rgb="FF2C3E50"/>
      </patternFill>
    </fill>
    <fill>
      <patternFill patternType="solid">
        <fgColor rgb="FFD6E4F7"/>
        <bgColor rgb="FFE0E0E0"/>
      </patternFill>
    </fill>
    <fill>
      <patternFill patternType="solid">
        <fgColor rgb="FF2E6DB4"/>
        <bgColor rgb="FF2E75B6"/>
      </patternFill>
    </fill>
    <fill>
      <patternFill patternType="solid">
        <fgColor rgb="FF2C3E50"/>
        <bgColor rgb="FF1B3A6B"/>
      </patternFill>
    </fill>
    <fill>
      <patternFill patternType="solid">
        <fgColor rgb="FFD6F0E0"/>
        <bgColor rgb="FFD1F2EB"/>
      </patternFill>
    </fill>
    <fill>
      <patternFill patternType="solid">
        <fgColor rgb="FFFFFFFF"/>
        <bgColor rgb="FFFEF9E7"/>
      </patternFill>
    </fill>
    <fill>
      <patternFill patternType="solid">
        <fgColor rgb="FF1D7A3A"/>
        <bgColor rgb="FF2C5F8A"/>
      </patternFill>
    </fill>
    <fill>
      <patternFill patternType="solid">
        <fgColor rgb="FF16A085"/>
        <bgColor rgb="FF0288D1"/>
      </patternFill>
    </fill>
    <fill>
      <patternFill patternType="solid">
        <fgColor rgb="FFD1F2EB"/>
        <bgColor rgb="FFD6F0E0"/>
      </patternFill>
    </fill>
    <fill>
      <patternFill patternType="solid">
        <fgColor rgb="FF8E44AD"/>
        <bgColor rgb="FF9C27B0"/>
      </patternFill>
    </fill>
    <fill>
      <patternFill patternType="solid">
        <fgColor rgb="FFFDEBD0"/>
        <bgColor rgb="FFFFF9C4"/>
      </patternFill>
    </fill>
    <fill>
      <patternFill patternType="solid">
        <fgColor rgb="FFFADBD8"/>
        <bgColor rgb="FFFDEBD0"/>
      </patternFill>
    </fill>
    <fill>
      <patternFill patternType="solid">
        <fgColor rgb="FFE67E22"/>
        <bgColor rgb="FFE8833A"/>
      </patternFill>
    </fill>
    <fill>
      <patternFill patternType="solid">
        <fgColor rgb="FFF2F3F4"/>
        <bgColor rgb="FFF5F5F5"/>
      </patternFill>
    </fill>
    <fill>
      <patternFill patternType="solid">
        <fgColor rgb="FF1B2A4A"/>
        <bgColor rgb="FF1B3A6B"/>
      </patternFill>
    </fill>
    <fill>
      <patternFill patternType="solid">
        <fgColor rgb="FF2C5F8A"/>
        <bgColor rgb="FF1F4E79"/>
      </patternFill>
    </fill>
    <fill>
      <patternFill patternType="solid">
        <fgColor rgb="FFFFF9C4"/>
        <bgColor rgb="FFFDEBD0"/>
      </patternFill>
    </fill>
    <fill>
      <patternFill patternType="solid">
        <fgColor rgb="FFF5F5F5"/>
        <bgColor rgb="FFF2F3F4"/>
      </patternFill>
    </fill>
    <fill>
      <patternFill patternType="solid">
        <fgColor rgb="FFE91E63"/>
        <bgColor rgb="FFC62828"/>
      </patternFill>
    </fill>
    <fill>
      <patternFill patternType="solid">
        <fgColor rgb="FFE0E0E0"/>
        <bgColor rgb="FFD6E4F7"/>
      </patternFill>
    </fill>
    <fill>
      <patternFill patternType="solid">
        <fgColor rgb="FF4CAF50"/>
        <bgColor rgb="FF16A085"/>
      </patternFill>
    </fill>
    <fill>
      <patternFill patternType="solid">
        <fgColor rgb="FFF44336"/>
        <bgColor rgb="FFFF5722"/>
      </patternFill>
    </fill>
    <fill>
      <patternFill patternType="solid">
        <fgColor rgb="FF4285F4"/>
        <bgColor rgb="FF1877F2"/>
      </patternFill>
    </fill>
    <fill>
      <patternFill patternType="solid">
        <fgColor rgb="FFC62828"/>
        <bgColor rgb="FFC0392B"/>
      </patternFill>
    </fill>
    <fill>
      <patternFill patternType="solid">
        <fgColor rgb="FF1877F2"/>
        <bgColor rgb="FF0068FF"/>
      </patternFill>
    </fill>
    <fill>
      <patternFill patternType="solid">
        <fgColor rgb="FF010101"/>
        <bgColor rgb="FF000000"/>
      </patternFill>
    </fill>
    <fill>
      <patternFill patternType="solid">
        <fgColor rgb="FF333333"/>
        <bgColor rgb="FF2C3E50"/>
      </patternFill>
    </fill>
    <fill>
      <patternFill patternType="solid">
        <fgColor rgb="FFFF6B00"/>
        <bgColor rgb="FFFF6F00"/>
      </patternFill>
    </fill>
    <fill>
      <patternFill patternType="solid">
        <fgColor rgb="FF0288D1"/>
        <bgColor rgb="FF1877F2"/>
      </patternFill>
    </fill>
    <fill>
      <patternFill patternType="solid">
        <fgColor rgb="FF9C27B0"/>
        <bgColor rgb="FF8E44AD"/>
      </patternFill>
    </fill>
    <fill>
      <patternFill patternType="solid">
        <fgColor rgb="FF607D8B"/>
        <bgColor rgb="FF7F8C8D"/>
      </patternFill>
    </fill>
    <fill>
      <patternFill patternType="solid">
        <fgColor rgb="FF0068FF"/>
        <bgColor rgb="FF1877F2"/>
      </patternFill>
    </fill>
    <fill>
      <patternFill patternType="solid">
        <fgColor rgb="FFFF5722"/>
        <bgColor rgb="FFF44336"/>
      </patternFill>
    </fill>
    <fill>
      <patternFill patternType="solid">
        <fgColor rgb="FFC0392B"/>
        <bgColor rgb="FFC62828"/>
      </patternFill>
    </fill>
    <fill>
      <patternFill patternType="solid">
        <fgColor rgb="FFFEF9E7"/>
        <bgColor rgb="FFF5F5F5"/>
      </patternFill>
    </fill>
    <fill>
      <patternFill patternType="solid">
        <fgColor rgb="FFF5EEF8"/>
        <bgColor rgb="FFF2F3F4"/>
      </patternFill>
    </fill>
    <fill>
      <patternFill patternType="solid">
        <fgColor rgb="001F4E79"/>
      </patternFill>
    </fill>
    <fill>
      <patternFill patternType="solid">
        <fgColor rgb="00F2F7FB"/>
      </patternFill>
    </fill>
    <fill>
      <patternFill patternType="solid">
        <fgColor rgb="001F4E79"/>
        <bgColor rgb="001F4E79"/>
      </patternFill>
    </fill>
    <fill>
      <patternFill patternType="solid">
        <fgColor rgb="00F2F7FB"/>
        <bgColor rgb="00F2F7FB"/>
      </patternFill>
    </fill>
    <fill>
      <patternFill patternType="solid">
        <fgColor rgb="00FCE4D6"/>
      </patternFill>
    </fill>
    <fill>
      <patternFill patternType="solid">
        <fgColor rgb="00F4CCCC"/>
      </patternFill>
    </fill>
    <fill>
      <patternFill patternType="solid">
        <fgColor rgb="00FFF2CC"/>
      </patternFill>
    </fill>
    <fill>
      <patternFill patternType="solid">
        <fgColor rgb="00B6D7A8"/>
      </patternFill>
    </fill>
    <fill>
      <patternFill patternType="solid">
        <fgColor rgb="00E2EFDA"/>
      </patternFill>
    </fill>
  </fills>
  <borders count="12">
    <border>
      <left/>
      <right/>
      <top/>
      <bottom/>
      <diagonal/>
    </border>
    <border>
      <left style="thin"/>
      <right style="thin"/>
      <top style="thin"/>
      <bottom style="thin"/>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1" applyAlignment="1" pivotButton="0" quotePrefix="0" xfId="0">
      <alignment horizontal="general" vertical="center" wrapText="1"/>
    </xf>
    <xf numFmtId="0" fontId="6" fillId="3" borderId="1" applyAlignment="1" pivotButton="0" quotePrefix="0" xfId="0">
      <alignment horizontal="general" vertical="center" wrapText="1"/>
    </xf>
    <xf numFmtId="0" fontId="7" fillId="0" borderId="0" applyAlignment="1" pivotButton="0" quotePrefix="0" xfId="0">
      <alignment horizontal="general" vertical="bottom"/>
    </xf>
    <xf numFmtId="0" fontId="8" fillId="4" borderId="2" applyAlignment="1" pivotButton="0" quotePrefix="0" xfId="0">
      <alignment horizontal="center" vertical="center"/>
    </xf>
    <xf numFmtId="0" fontId="9" fillId="5" borderId="2" applyAlignment="1" pivotButton="0" quotePrefix="0" xfId="0">
      <alignment horizontal="center" vertical="center"/>
    </xf>
    <xf numFmtId="0" fontId="0" fillId="0" borderId="2" applyAlignment="1" pivotButton="0" quotePrefix="0" xfId="0">
      <alignment horizontal="general" vertical="bottom"/>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11" fillId="8" borderId="2" applyAlignment="1" pivotButton="0" quotePrefix="0" xfId="0">
      <alignment horizontal="left" vertical="center" wrapText="1"/>
    </xf>
    <xf numFmtId="3" fontId="12" fillId="8" borderId="2" applyAlignment="1" pivotButton="0" quotePrefix="0" xfId="0">
      <alignment horizontal="right" vertical="center"/>
    </xf>
    <xf numFmtId="3" fontId="13" fillId="8" borderId="2" applyAlignment="1" pivotButton="0" quotePrefix="0" xfId="0">
      <alignment horizontal="right" vertical="center"/>
    </xf>
    <xf numFmtId="164" fontId="14" fillId="8" borderId="2" applyAlignment="1" pivotButton="0" quotePrefix="0" xfId="0">
      <alignment horizontal="right" vertical="center"/>
    </xf>
    <xf numFmtId="0" fontId="15" fillId="8" borderId="2" applyAlignment="1" pivotButton="0" quotePrefix="0" xfId="0">
      <alignment horizontal="center" vertical="center" wrapText="1"/>
    </xf>
    <xf numFmtId="0" fontId="16" fillId="8" borderId="2" applyAlignment="1" pivotButton="0" quotePrefix="0" xfId="0">
      <alignment horizontal="center" vertical="center"/>
    </xf>
    <xf numFmtId="0" fontId="15" fillId="8" borderId="2" applyAlignment="1" pivotButton="0" quotePrefix="0" xfId="0">
      <alignment horizontal="left" vertical="center" wrapText="1"/>
    </xf>
    <xf numFmtId="0" fontId="0" fillId="8" borderId="2" applyAlignment="1" pivotButton="0" quotePrefix="0" xfId="0">
      <alignment horizontal="general" vertical="bottom"/>
    </xf>
    <xf numFmtId="0" fontId="11" fillId="9" borderId="2" applyAlignment="1" pivotButton="0" quotePrefix="0" xfId="0">
      <alignment horizontal="left" vertical="center" wrapText="1"/>
    </xf>
    <xf numFmtId="3" fontId="12" fillId="9" borderId="2" applyAlignment="1" pivotButton="0" quotePrefix="0" xfId="0">
      <alignment horizontal="right" vertical="center"/>
    </xf>
    <xf numFmtId="3" fontId="13" fillId="9" borderId="2" applyAlignment="1" pivotButton="0" quotePrefix="0" xfId="0">
      <alignment horizontal="right" vertical="center"/>
    </xf>
    <xf numFmtId="164" fontId="14" fillId="9" borderId="2" applyAlignment="1" pivotButton="0" quotePrefix="0" xfId="0">
      <alignment horizontal="right" vertical="center"/>
    </xf>
    <xf numFmtId="0" fontId="15" fillId="9" borderId="2" applyAlignment="1" pivotButton="0" quotePrefix="0" xfId="0">
      <alignment horizontal="center" vertical="center" wrapText="1"/>
    </xf>
    <xf numFmtId="0" fontId="16" fillId="9" borderId="2" applyAlignment="1" pivotButton="0" quotePrefix="0" xfId="0">
      <alignment horizontal="center" vertical="center"/>
    </xf>
    <xf numFmtId="0" fontId="15" fillId="9" borderId="2" applyAlignment="1" pivotButton="0" quotePrefix="0" xfId="0">
      <alignment horizontal="left" vertical="center" wrapText="1"/>
    </xf>
    <xf numFmtId="0" fontId="0" fillId="9" borderId="2" applyAlignment="1" pivotButton="0" quotePrefix="0" xfId="0">
      <alignment horizontal="general" vertical="bottom"/>
    </xf>
    <xf numFmtId="0" fontId="5" fillId="10" borderId="2" applyAlignment="1" pivotButton="0" quotePrefix="0" xfId="0">
      <alignment horizontal="center" vertical="center" wrapText="1"/>
    </xf>
    <xf numFmtId="0" fontId="10" fillId="11" borderId="2" applyAlignment="1" pivotButton="0" quotePrefix="0" xfId="0">
      <alignment horizontal="center" vertical="center" wrapText="1"/>
    </xf>
    <xf numFmtId="9" fontId="14" fillId="9" borderId="2" applyAlignment="1" pivotButton="0" quotePrefix="0" xfId="0">
      <alignment horizontal="right" vertical="center"/>
    </xf>
    <xf numFmtId="3" fontId="14" fillId="9" borderId="2" applyAlignment="1" pivotButton="0" quotePrefix="0" xfId="0">
      <alignment horizontal="right" vertical="center"/>
    </xf>
    <xf numFmtId="0" fontId="14" fillId="9" borderId="2" applyAlignment="1" pivotButton="0" quotePrefix="0" xfId="0">
      <alignment horizontal="left" vertical="center" wrapText="1"/>
    </xf>
    <xf numFmtId="0" fontId="14" fillId="9" borderId="2" applyAlignment="1" pivotButton="0" quotePrefix="0" xfId="0">
      <alignment horizontal="center" vertical="center" wrapText="1"/>
    </xf>
    <xf numFmtId="0" fontId="11" fillId="12" borderId="2" applyAlignment="1" pivotButton="0" quotePrefix="0" xfId="0">
      <alignment horizontal="left" vertical="center" wrapText="1"/>
    </xf>
    <xf numFmtId="9" fontId="14" fillId="12" borderId="2" applyAlignment="1" pivotButton="0" quotePrefix="0" xfId="0">
      <alignment horizontal="right" vertical="center"/>
    </xf>
    <xf numFmtId="3" fontId="14" fillId="12" borderId="2" applyAlignment="1" pivotButton="0" quotePrefix="0" xfId="0">
      <alignment horizontal="right" vertical="center"/>
    </xf>
    <xf numFmtId="0" fontId="14" fillId="12" borderId="2" applyAlignment="1" pivotButton="0" quotePrefix="0" xfId="0">
      <alignment horizontal="left" vertical="center" wrapText="1"/>
    </xf>
    <xf numFmtId="0" fontId="14" fillId="12" borderId="2" applyAlignment="1" pivotButton="0" quotePrefix="0" xfId="0">
      <alignment horizontal="center" vertical="center" wrapText="1"/>
    </xf>
    <xf numFmtId="0" fontId="15" fillId="12" borderId="2" applyAlignment="1" pivotButton="0" quotePrefix="0" xfId="0">
      <alignment horizontal="left" vertical="center" wrapText="1"/>
    </xf>
    <xf numFmtId="0" fontId="0" fillId="12" borderId="2" applyAlignment="1" pivotButton="0" quotePrefix="0" xfId="0">
      <alignment horizontal="general" vertical="bottom"/>
    </xf>
    <xf numFmtId="49" fontId="14" fillId="9" borderId="2" applyAlignment="1" pivotButton="0" quotePrefix="0" xfId="0">
      <alignment horizontal="right" vertical="center"/>
    </xf>
    <xf numFmtId="49" fontId="14" fillId="12" borderId="2" applyAlignment="1" pivotButton="0" quotePrefix="0" xfId="0">
      <alignment horizontal="right" vertical="center"/>
    </xf>
    <xf numFmtId="0" fontId="10" fillId="11" borderId="2" applyAlignment="1" pivotButton="0" quotePrefix="0" xfId="0">
      <alignment horizontal="left" vertical="center" wrapText="1"/>
    </xf>
    <xf numFmtId="9" fontId="10" fillId="11" borderId="2" applyAlignment="1" pivotButton="0" quotePrefix="0" xfId="0">
      <alignment horizontal="right" vertical="center"/>
    </xf>
    <xf numFmtId="3" fontId="10" fillId="11" borderId="2" applyAlignment="1" pivotButton="0" quotePrefix="0" xfId="0">
      <alignment horizontal="right" vertical="center"/>
    </xf>
    <xf numFmtId="0" fontId="0" fillId="11" borderId="2" applyAlignment="1" pivotButton="0" quotePrefix="0" xfId="0">
      <alignment horizontal="general" vertical="bottom"/>
    </xf>
    <xf numFmtId="0" fontId="5" fillId="13" borderId="2" applyAlignment="1" pivotButton="0" quotePrefix="0" xfId="0">
      <alignment horizontal="center" vertical="center" wrapText="1"/>
    </xf>
    <xf numFmtId="0" fontId="10" fillId="13" borderId="2" applyAlignment="1" pivotButton="0" quotePrefix="0" xfId="0">
      <alignment horizontal="center" vertical="center" wrapText="1"/>
    </xf>
    <xf numFmtId="0" fontId="14" fillId="8" borderId="2" applyAlignment="1" pivotButton="0" quotePrefix="0" xfId="0">
      <alignment horizontal="center" vertical="center" wrapText="1"/>
    </xf>
    <xf numFmtId="3" fontId="14" fillId="8" borderId="2" applyAlignment="1" pivotButton="0" quotePrefix="0" xfId="0">
      <alignment horizontal="right" vertical="center"/>
    </xf>
    <xf numFmtId="165" fontId="14" fillId="8" borderId="2" applyAlignment="1" pivotButton="0" quotePrefix="0" xfId="0">
      <alignment horizontal="right" vertical="center"/>
    </xf>
    <xf numFmtId="0" fontId="11" fillId="5" borderId="2" applyAlignment="1" pivotButton="0" quotePrefix="0" xfId="0">
      <alignment horizontal="left" vertical="center" wrapText="1"/>
    </xf>
    <xf numFmtId="0" fontId="14" fillId="5" borderId="2" applyAlignment="1" pivotButton="0" quotePrefix="0" xfId="0">
      <alignment horizontal="center" vertical="center" wrapText="1"/>
    </xf>
    <xf numFmtId="3" fontId="14" fillId="5" borderId="2" applyAlignment="1" pivotButton="0" quotePrefix="0" xfId="0">
      <alignment horizontal="right" vertical="center"/>
    </xf>
    <xf numFmtId="165" fontId="14" fillId="5" borderId="2" applyAlignment="1" pivotButton="0" quotePrefix="0" xfId="0">
      <alignment horizontal="right" vertical="center"/>
    </xf>
    <xf numFmtId="0" fontId="11" fillId="14" borderId="2" applyAlignment="1" pivotButton="0" quotePrefix="0" xfId="0">
      <alignment horizontal="left" vertical="center" wrapText="1"/>
    </xf>
    <xf numFmtId="0" fontId="14" fillId="14" borderId="2" applyAlignment="1" pivotButton="0" quotePrefix="0" xfId="0">
      <alignment horizontal="center" vertical="center" wrapText="1"/>
    </xf>
    <xf numFmtId="3" fontId="14" fillId="14" borderId="2" applyAlignment="1" pivotButton="0" quotePrefix="0" xfId="0">
      <alignment horizontal="right" vertical="center"/>
    </xf>
    <xf numFmtId="165" fontId="14" fillId="14" borderId="2" applyAlignment="1" pivotButton="0" quotePrefix="0" xfId="0">
      <alignment horizontal="right" vertical="center"/>
    </xf>
    <xf numFmtId="0" fontId="11" fillId="15" borderId="2" applyAlignment="1" pivotButton="0" quotePrefix="0" xfId="0">
      <alignment horizontal="left" vertical="center" wrapText="1"/>
    </xf>
    <xf numFmtId="0" fontId="14" fillId="15" borderId="2" applyAlignment="1" pivotButton="0" quotePrefix="0" xfId="0">
      <alignment horizontal="center" vertical="center" wrapText="1"/>
    </xf>
    <xf numFmtId="3" fontId="14" fillId="15" borderId="2" applyAlignment="1" pivotButton="0" quotePrefix="0" xfId="0">
      <alignment horizontal="right" vertical="center"/>
    </xf>
    <xf numFmtId="165" fontId="14" fillId="15" borderId="2" applyAlignment="1" pivotButton="0" quotePrefix="0" xfId="0">
      <alignment horizontal="right" vertical="center"/>
    </xf>
    <xf numFmtId="0" fontId="5" fillId="16" borderId="2" applyAlignment="1" pivotButton="0" quotePrefix="0" xfId="0">
      <alignment horizontal="center" vertical="center" wrapText="1"/>
    </xf>
    <xf numFmtId="0" fontId="10" fillId="16" borderId="2" applyAlignment="1" pivotButton="0" quotePrefix="0" xfId="0">
      <alignment horizontal="center" vertical="center" wrapText="1"/>
    </xf>
    <xf numFmtId="0" fontId="17" fillId="5" borderId="2" applyAlignment="1" pivotButton="0" quotePrefix="0" xfId="0">
      <alignment horizontal="center" vertical="center" wrapText="1"/>
    </xf>
    <xf numFmtId="0" fontId="18" fillId="0" borderId="2" applyAlignment="1" pivotButton="0" quotePrefix="0" xfId="0">
      <alignment horizontal="left" vertical="center"/>
    </xf>
    <xf numFmtId="0" fontId="14" fillId="17" borderId="2" applyAlignment="1" pivotButton="0" quotePrefix="0" xfId="0">
      <alignment horizontal="left" vertical="center" wrapText="1"/>
    </xf>
    <xf numFmtId="0" fontId="19" fillId="18" borderId="0" applyAlignment="1" pivotButton="0" quotePrefix="0" xfId="0">
      <alignment horizontal="center" vertical="bottom"/>
    </xf>
    <xf numFmtId="0" fontId="20" fillId="0" borderId="0" applyAlignment="1" pivotButton="0" quotePrefix="0" xfId="0">
      <alignment horizontal="general" vertical="bottom"/>
    </xf>
    <xf numFmtId="0" fontId="10" fillId="19" borderId="2" applyAlignment="1" pivotButton="0" quotePrefix="0" xfId="0">
      <alignment horizontal="center" vertical="center" wrapText="1"/>
    </xf>
    <xf numFmtId="0" fontId="6" fillId="0" borderId="2" applyAlignment="1" pivotButton="0" quotePrefix="0" xfId="0">
      <alignment horizontal="general" vertical="center" wrapText="1"/>
    </xf>
    <xf numFmtId="166" fontId="6" fillId="20" borderId="2" applyAlignment="1" pivotButton="0" quotePrefix="0" xfId="0">
      <alignment horizontal="general" vertical="center" wrapText="1"/>
    </xf>
    <xf numFmtId="0" fontId="6" fillId="21" borderId="2" applyAlignment="1" pivotButton="0" quotePrefix="0" xfId="0">
      <alignment horizontal="general" vertical="center" wrapText="1"/>
    </xf>
    <xf numFmtId="3" fontId="6" fillId="21" borderId="2" applyAlignment="1" pivotButton="0" quotePrefix="0" xfId="0">
      <alignment horizontal="general" vertical="center" wrapText="1"/>
    </xf>
    <xf numFmtId="164" fontId="6" fillId="20" borderId="2" applyAlignment="1" pivotButton="0" quotePrefix="0" xfId="0">
      <alignment horizontal="general" vertical="center" wrapText="1"/>
    </xf>
    <xf numFmtId="164" fontId="6" fillId="21" borderId="2" applyAlignment="1" pivotButton="0" quotePrefix="0" xfId="0">
      <alignment horizontal="general" vertical="center" wrapText="1"/>
    </xf>
    <xf numFmtId="166" fontId="6" fillId="21" borderId="2" applyAlignment="1" pivotButton="0" quotePrefix="0" xfId="0">
      <alignment horizontal="general" vertical="center" wrapText="1"/>
    </xf>
    <xf numFmtId="0" fontId="21" fillId="0" borderId="0" applyAlignment="1" pivotButton="0" quotePrefix="0" xfId="0">
      <alignment horizontal="general" vertical="bottom"/>
    </xf>
    <xf numFmtId="166" fontId="0" fillId="0" borderId="0" applyAlignment="1" pivotButton="0" quotePrefix="0" xfId="0">
      <alignment horizontal="general" vertical="bottom"/>
    </xf>
    <xf numFmtId="0" fontId="19" fillId="22" borderId="0" applyAlignment="1" pivotButton="0" quotePrefix="0" xfId="0">
      <alignment horizontal="center" vertical="bottom"/>
    </xf>
    <xf numFmtId="0" fontId="5" fillId="22" borderId="2" applyAlignment="1" pivotButton="0" quotePrefix="0" xfId="0">
      <alignment horizontal="center" vertical="center" wrapText="1"/>
    </xf>
    <xf numFmtId="166" fontId="6" fillId="0" borderId="2" applyAlignment="1" pivotButton="0" quotePrefix="0" xfId="0">
      <alignment horizontal="general" vertical="center" wrapText="1"/>
    </xf>
    <xf numFmtId="0" fontId="21" fillId="23" borderId="2" applyAlignment="1" pivotButton="0" quotePrefix="0" xfId="0">
      <alignment horizontal="general" vertical="bottom"/>
    </xf>
    <xf numFmtId="164" fontId="21" fillId="23" borderId="2" applyAlignment="1" pivotButton="0" quotePrefix="0" xfId="0">
      <alignment horizontal="general" vertical="bottom"/>
    </xf>
    <xf numFmtId="166" fontId="21" fillId="23" borderId="2" applyAlignment="1" pivotButton="0" quotePrefix="0" xfId="0">
      <alignment horizontal="general" vertical="bottom"/>
    </xf>
    <xf numFmtId="0" fontId="19" fillId="24" borderId="0" applyAlignment="1" pivotButton="0" quotePrefix="0" xfId="0">
      <alignment horizontal="center" vertical="bottom"/>
    </xf>
    <xf numFmtId="0" fontId="5" fillId="24" borderId="2" applyAlignment="1" pivotButton="0" quotePrefix="0" xfId="0">
      <alignment horizontal="center" vertical="center" wrapText="1"/>
    </xf>
    <xf numFmtId="3" fontId="6" fillId="20" borderId="2" applyAlignment="1" pivotButton="0" quotePrefix="0" xfId="0">
      <alignment horizontal="general" vertical="center" wrapText="1"/>
    </xf>
    <xf numFmtId="164" fontId="6" fillId="0" borderId="2" applyAlignment="1" pivotButton="0" quotePrefix="0" xfId="0">
      <alignment horizontal="general" vertical="center" wrapText="1"/>
    </xf>
    <xf numFmtId="3" fontId="6" fillId="0" borderId="2" applyAlignment="1" pivotButton="0" quotePrefix="0" xfId="0">
      <alignment horizontal="general" vertical="center" wrapText="1"/>
    </xf>
    <xf numFmtId="3" fontId="21" fillId="23" borderId="2" applyAlignment="1" pivotButton="0" quotePrefix="0" xfId="0">
      <alignment horizontal="general" vertical="bottom"/>
    </xf>
    <xf numFmtId="0" fontId="19" fillId="25" borderId="0" applyAlignment="1" pivotButton="0" quotePrefix="0" xfId="0">
      <alignment horizontal="center" vertical="bottom"/>
    </xf>
    <xf numFmtId="0" fontId="5" fillId="25" borderId="2" applyAlignment="1" pivotButton="0" quotePrefix="0" xfId="0">
      <alignment horizontal="center" vertical="center" wrapText="1"/>
    </xf>
    <xf numFmtId="0" fontId="19" fillId="26" borderId="0" applyAlignment="1" pivotButton="0" quotePrefix="0" xfId="0">
      <alignment horizontal="center" vertical="bottom"/>
    </xf>
    <xf numFmtId="0" fontId="10" fillId="26" borderId="0" applyAlignment="1" pivotButton="0" quotePrefix="0" xfId="0">
      <alignment horizontal="left" vertical="bottom"/>
    </xf>
    <xf numFmtId="0" fontId="10" fillId="26" borderId="2" applyAlignment="1" pivotButton="0" quotePrefix="0" xfId="0">
      <alignment horizontal="center" vertical="center" wrapText="1"/>
    </xf>
    <xf numFmtId="0" fontId="10" fillId="27" borderId="0" applyAlignment="1" pivotButton="0" quotePrefix="0" xfId="0">
      <alignment horizontal="left" vertical="bottom"/>
    </xf>
    <xf numFmtId="0" fontId="10" fillId="27" borderId="2" applyAlignment="1" pivotButton="0" quotePrefix="0" xfId="0">
      <alignment horizontal="center" vertical="center" wrapText="1"/>
    </xf>
    <xf numFmtId="0" fontId="19" fillId="28" borderId="0" applyAlignment="1" pivotButton="0" quotePrefix="0" xfId="0">
      <alignment horizontal="center" vertical="bottom"/>
    </xf>
    <xf numFmtId="0" fontId="10" fillId="28" borderId="0" applyAlignment="1" pivotButton="0" quotePrefix="0" xfId="0">
      <alignment horizontal="left" vertical="bottom"/>
    </xf>
    <xf numFmtId="0" fontId="10" fillId="28" borderId="2" applyAlignment="1" pivotButton="0" quotePrefix="0" xfId="0">
      <alignment horizontal="center" vertical="center" wrapText="1"/>
    </xf>
    <xf numFmtId="0" fontId="19" fillId="29" borderId="0" applyAlignment="1" pivotButton="0" quotePrefix="0" xfId="0">
      <alignment horizontal="center" vertical="bottom"/>
    </xf>
    <xf numFmtId="0" fontId="10" fillId="30" borderId="0" applyAlignment="1" pivotButton="0" quotePrefix="0" xfId="0">
      <alignment horizontal="left" vertical="bottom"/>
    </xf>
    <xf numFmtId="0" fontId="10" fillId="30" borderId="2" applyAlignment="1" pivotButton="0" quotePrefix="0" xfId="0">
      <alignment horizontal="center" vertical="center" wrapText="1"/>
    </xf>
    <xf numFmtId="0" fontId="19" fillId="31" borderId="0" applyAlignment="1" pivotButton="0" quotePrefix="0" xfId="0">
      <alignment horizontal="center" vertical="bottom"/>
    </xf>
    <xf numFmtId="0" fontId="10" fillId="31" borderId="0" applyAlignment="1" pivotButton="0" quotePrefix="0" xfId="0">
      <alignment horizontal="left" vertical="bottom"/>
    </xf>
    <xf numFmtId="0" fontId="10" fillId="31" borderId="2" applyAlignment="1" pivotButton="0" quotePrefix="0" xfId="0">
      <alignment horizontal="center" vertical="center" wrapText="1"/>
    </xf>
    <xf numFmtId="0" fontId="19" fillId="32" borderId="0" applyAlignment="1" pivotButton="0" quotePrefix="0" xfId="0">
      <alignment horizontal="center" vertical="bottom"/>
    </xf>
    <xf numFmtId="0" fontId="10" fillId="32" borderId="0" applyAlignment="1" pivotButton="0" quotePrefix="0" xfId="0">
      <alignment horizontal="left" vertical="bottom"/>
    </xf>
    <xf numFmtId="0" fontId="10" fillId="32" borderId="2" applyAlignment="1" pivotButton="0" quotePrefix="0" xfId="0">
      <alignment horizontal="center" vertical="center" wrapText="1"/>
    </xf>
    <xf numFmtId="0" fontId="19" fillId="33" borderId="0" applyAlignment="1" pivotButton="0" quotePrefix="0" xfId="0">
      <alignment horizontal="center" vertical="bottom"/>
    </xf>
    <xf numFmtId="0" fontId="10" fillId="33" borderId="0" applyAlignment="1" pivotButton="0" quotePrefix="0" xfId="0">
      <alignment horizontal="left" vertical="bottom"/>
    </xf>
    <xf numFmtId="0" fontId="10" fillId="33" borderId="2" applyAlignment="1" pivotButton="0" quotePrefix="0" xfId="0">
      <alignment horizontal="center" vertical="center" wrapText="1"/>
    </xf>
    <xf numFmtId="0" fontId="5" fillId="33" borderId="2" applyAlignment="1" pivotButton="0" quotePrefix="0" xfId="0">
      <alignment horizontal="center" vertical="center" wrapText="1"/>
    </xf>
    <xf numFmtId="0" fontId="19" fillId="34" borderId="0" applyAlignment="1" pivotButton="0" quotePrefix="0" xfId="0">
      <alignment horizontal="center" vertical="bottom"/>
    </xf>
    <xf numFmtId="0" fontId="5" fillId="34" borderId="2" applyAlignment="1" pivotButton="0" quotePrefix="0" xfId="0">
      <alignment horizontal="center" vertical="center"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19" fillId="35" borderId="0" applyAlignment="1" pivotButton="0" quotePrefix="0" xfId="0">
      <alignment horizontal="center" vertical="bottom"/>
    </xf>
    <xf numFmtId="0" fontId="10" fillId="35" borderId="0" applyAlignment="1" pivotButton="0" quotePrefix="0" xfId="0">
      <alignment horizontal="left" vertical="bottom"/>
    </xf>
    <xf numFmtId="0" fontId="10" fillId="35" borderId="2" applyAlignment="1" pivotButton="0" quotePrefix="0" xfId="0">
      <alignment horizontal="center" vertical="center" wrapText="1"/>
    </xf>
    <xf numFmtId="0" fontId="19" fillId="36" borderId="0" applyAlignment="1" pivotButton="0" quotePrefix="0" xfId="0">
      <alignment horizontal="center" vertical="bottom"/>
    </xf>
    <xf numFmtId="0" fontId="5" fillId="36" borderId="2" applyAlignment="1" pivotButton="0" quotePrefix="0" xfId="0">
      <alignment horizontal="center" vertical="center" wrapText="1"/>
    </xf>
    <xf numFmtId="0" fontId="24" fillId="4" borderId="0" applyAlignment="1" pivotButton="0" quotePrefix="0" xfId="0">
      <alignment horizontal="center" vertical="center" wrapText="1"/>
    </xf>
    <xf numFmtId="0" fontId="25" fillId="5" borderId="0" applyAlignment="1" pivotButton="0" quotePrefix="0" xfId="0">
      <alignment horizontal="left" vertical="center" wrapText="1"/>
    </xf>
    <xf numFmtId="0" fontId="10" fillId="4" borderId="0" applyAlignment="1" pivotButton="0" quotePrefix="0" xfId="0">
      <alignment horizontal="center" vertical="center" wrapText="1"/>
    </xf>
    <xf numFmtId="0" fontId="5" fillId="6" borderId="0" applyAlignment="1" pivotButton="0" quotePrefix="0" xfId="0">
      <alignment horizontal="center" vertical="center" wrapText="1"/>
    </xf>
    <xf numFmtId="0" fontId="11" fillId="0" borderId="2" applyAlignment="1" pivotButton="0" quotePrefix="0" xfId="0">
      <alignment horizontal="left" vertical="center" wrapText="1"/>
    </xf>
    <xf numFmtId="3" fontId="14" fillId="17" borderId="2" applyAlignment="1" pivotButton="0" quotePrefix="0" xfId="0">
      <alignment horizontal="right" vertical="center"/>
    </xf>
    <xf numFmtId="3" fontId="11" fillId="5" borderId="2" applyAlignment="1" pivotButton="0" quotePrefix="0" xfId="0">
      <alignment horizontal="right" vertical="center"/>
    </xf>
    <xf numFmtId="3" fontId="12" fillId="0" borderId="2" applyAlignment="1" pivotButton="0" quotePrefix="0" xfId="0">
      <alignment horizontal="right" vertical="center"/>
    </xf>
    <xf numFmtId="164" fontId="14" fillId="0" borderId="2" applyAlignment="1" pivotButton="0" quotePrefix="0" xfId="0">
      <alignment horizontal="right" vertical="center"/>
    </xf>
    <xf numFmtId="0" fontId="15" fillId="0" borderId="2" applyAlignment="1" pivotButton="0" quotePrefix="0" xfId="0">
      <alignment horizontal="left" vertical="center" wrapText="1"/>
    </xf>
    <xf numFmtId="164" fontId="14" fillId="17" borderId="2" applyAlignment="1" pivotButton="0" quotePrefix="0" xfId="0">
      <alignment horizontal="right" vertical="center"/>
    </xf>
    <xf numFmtId="164" fontId="11" fillId="5" borderId="2" applyAlignment="1" pivotButton="0" quotePrefix="0" xfId="0">
      <alignment horizontal="right" vertical="center"/>
    </xf>
    <xf numFmtId="164" fontId="12" fillId="0" borderId="2" applyAlignment="1" pivotButton="0" quotePrefix="0" xfId="0">
      <alignment horizontal="right" vertical="center"/>
    </xf>
    <xf numFmtId="0" fontId="26" fillId="0" borderId="2" applyAlignment="1" pivotButton="0" quotePrefix="0" xfId="0">
      <alignment horizontal="left" vertical="center" wrapText="1"/>
    </xf>
    <xf numFmtId="0" fontId="5" fillId="10" borderId="0" applyAlignment="1" pivotButton="0" quotePrefix="0" xfId="0">
      <alignment horizontal="center" vertical="center" wrapText="1"/>
    </xf>
    <xf numFmtId="0" fontId="5" fillId="13" borderId="0" applyAlignment="1" pivotButton="0" quotePrefix="0" xfId="0">
      <alignment horizontal="center" vertical="center" wrapText="1"/>
    </xf>
    <xf numFmtId="0" fontId="5" fillId="16" borderId="0" applyAlignment="1" pivotButton="0" quotePrefix="0" xfId="0">
      <alignment horizontal="center" vertical="center" wrapText="1"/>
    </xf>
    <xf numFmtId="0" fontId="5" fillId="11" borderId="0" applyAlignment="1" pivotButton="0" quotePrefix="0" xfId="0">
      <alignment horizontal="center" vertical="center" wrapText="1"/>
    </xf>
    <xf numFmtId="9" fontId="14" fillId="17" borderId="2" applyAlignment="1" pivotButton="0" quotePrefix="0" xfId="0">
      <alignment horizontal="right" vertical="center"/>
    </xf>
    <xf numFmtId="9" fontId="11" fillId="5" borderId="2" applyAlignment="1" pivotButton="0" quotePrefix="0" xfId="0">
      <alignment horizontal="right" vertical="center"/>
    </xf>
    <xf numFmtId="9" fontId="12" fillId="0" borderId="2" applyAlignment="1" pivotButton="0" quotePrefix="0" xfId="0">
      <alignment horizontal="right" vertical="center"/>
    </xf>
    <xf numFmtId="0" fontId="10" fillId="6" borderId="0" applyAlignment="1" pivotButton="0" quotePrefix="0" xfId="0">
      <alignment horizontal="center" vertical="center" wrapText="1"/>
    </xf>
    <xf numFmtId="0" fontId="11" fillId="17" borderId="2" applyAlignment="1" pivotButton="0" quotePrefix="0" xfId="0">
      <alignment horizontal="center" vertical="center" wrapText="1"/>
    </xf>
    <xf numFmtId="0" fontId="12" fillId="17" borderId="2" applyAlignment="1" pivotButton="0" quotePrefix="0" xfId="0">
      <alignment horizontal="left" vertical="center" wrapText="1"/>
    </xf>
    <xf numFmtId="0" fontId="11" fillId="17" borderId="2" applyAlignment="1" pivotButton="0" quotePrefix="0" xfId="0">
      <alignment horizontal="left" vertical="center" wrapText="1"/>
    </xf>
    <xf numFmtId="0" fontId="27" fillId="17" borderId="2" applyAlignment="1" pivotButton="0" quotePrefix="0" xfId="0">
      <alignment horizontal="left" vertical="center" wrapText="1"/>
    </xf>
    <xf numFmtId="0" fontId="17" fillId="17" borderId="2" applyAlignment="1" pivotButton="0" quotePrefix="0" xfId="0">
      <alignment horizontal="center" vertical="center" wrapText="1"/>
    </xf>
    <xf numFmtId="0" fontId="15" fillId="17" borderId="2" applyAlignment="1" pivotButton="0" quotePrefix="0" xfId="0">
      <alignment horizontal="left" vertical="center" wrapText="1"/>
    </xf>
    <xf numFmtId="0" fontId="28" fillId="17" borderId="2" applyAlignment="1" pivotButton="0" quotePrefix="0" xfId="0">
      <alignment horizontal="center" vertical="center"/>
    </xf>
    <xf numFmtId="0" fontId="0" fillId="17" borderId="2" applyAlignment="1" pivotButton="0" quotePrefix="0" xfId="0">
      <alignment horizontal="general" vertical="bottom"/>
    </xf>
    <xf numFmtId="0" fontId="11" fillId="9" borderId="2" applyAlignment="1" pivotButton="0" quotePrefix="0" xfId="0">
      <alignment horizontal="center" vertical="center" wrapText="1"/>
    </xf>
    <xf numFmtId="0" fontId="12" fillId="9" borderId="2" applyAlignment="1" pivotButton="0" quotePrefix="0" xfId="0">
      <alignment horizontal="left" vertical="center" wrapText="1"/>
    </xf>
    <xf numFmtId="0" fontId="27" fillId="9" borderId="2" applyAlignment="1" pivotButton="0" quotePrefix="0" xfId="0">
      <alignment horizontal="left" vertical="center" wrapText="1"/>
    </xf>
    <xf numFmtId="0" fontId="17" fillId="9" borderId="2" applyAlignment="1" pivotButton="0" quotePrefix="0" xfId="0">
      <alignment horizontal="center" vertical="center" wrapText="1"/>
    </xf>
    <xf numFmtId="0" fontId="28" fillId="9" borderId="2" applyAlignment="1" pivotButton="0" quotePrefix="0" xfId="0">
      <alignment horizontal="center" vertical="center"/>
    </xf>
    <xf numFmtId="0" fontId="10" fillId="10" borderId="0" applyAlignment="1" pivotButton="0" quotePrefix="0" xfId="0">
      <alignment horizontal="center" vertical="center" wrapText="1"/>
    </xf>
    <xf numFmtId="0" fontId="10" fillId="16" borderId="0" applyAlignment="1" pivotButton="0" quotePrefix="0" xfId="0">
      <alignment horizontal="center" vertical="center" wrapText="1"/>
    </xf>
    <xf numFmtId="0" fontId="10" fillId="13" borderId="0" applyAlignment="1" pivotButton="0" quotePrefix="0" xfId="0">
      <alignment horizontal="center" vertical="center" wrapText="1"/>
    </xf>
    <xf numFmtId="0" fontId="29" fillId="9" borderId="2" applyAlignment="1" pivotButton="0" quotePrefix="0" xfId="0">
      <alignment horizontal="left" vertical="center" wrapText="1"/>
    </xf>
    <xf numFmtId="0" fontId="30" fillId="9" borderId="2" applyAlignment="1" pivotButton="0" quotePrefix="0" xfId="0">
      <alignment horizontal="left" vertical="center" wrapText="1"/>
    </xf>
    <xf numFmtId="0" fontId="31" fillId="9" borderId="2" applyAlignment="1" pivotButton="0" quotePrefix="0" xfId="0">
      <alignment horizontal="center" vertical="center" wrapText="1"/>
    </xf>
    <xf numFmtId="0" fontId="29" fillId="17" borderId="2" applyAlignment="1" pivotButton="0" quotePrefix="0" xfId="0">
      <alignment horizontal="left" vertical="center" wrapText="1"/>
    </xf>
    <xf numFmtId="0" fontId="30" fillId="17" borderId="2" applyAlignment="1" pivotButton="0" quotePrefix="0" xfId="0">
      <alignment horizontal="left" vertical="center" wrapText="1"/>
    </xf>
    <xf numFmtId="0" fontId="31" fillId="17" borderId="2" applyAlignment="1" pivotButton="0" quotePrefix="0" xfId="0">
      <alignment horizontal="center" vertical="center" wrapText="1"/>
    </xf>
    <xf numFmtId="0" fontId="10" fillId="11" borderId="0" applyAlignment="1" pivotButton="0" quotePrefix="0" xfId="0">
      <alignment horizontal="center" vertical="center" wrapText="1"/>
    </xf>
    <xf numFmtId="0" fontId="10" fillId="4" borderId="0" applyAlignment="1" pivotButton="0" quotePrefix="0" xfId="0">
      <alignment horizontal="center" vertical="center" wrapText="1"/>
    </xf>
    <xf numFmtId="0" fontId="19" fillId="6" borderId="0" applyAlignment="1" pivotButton="0" quotePrefix="0" xfId="0">
      <alignment horizontal="center" vertical="center" wrapText="1"/>
    </xf>
    <xf numFmtId="0" fontId="32" fillId="17" borderId="0" applyAlignment="1" pivotButton="0" quotePrefix="0" xfId="0">
      <alignment horizontal="left" vertical="center"/>
    </xf>
    <xf numFmtId="0" fontId="26" fillId="9" borderId="2" applyAlignment="1" pivotButton="0" quotePrefix="0" xfId="0">
      <alignment horizontal="center" vertical="center" wrapText="1"/>
    </xf>
    <xf numFmtId="0" fontId="26" fillId="17" borderId="2" applyAlignment="1" pivotButton="0" quotePrefix="0" xfId="0">
      <alignment horizontal="center" vertical="center" wrapText="1"/>
    </xf>
    <xf numFmtId="0" fontId="19" fillId="10" borderId="0" applyAlignment="1" pivotButton="0" quotePrefix="0" xfId="0">
      <alignment horizontal="center" vertical="center" wrapText="1"/>
    </xf>
    <xf numFmtId="0" fontId="33" fillId="17" borderId="0" applyAlignment="1" pivotButton="0" quotePrefix="0" xfId="0">
      <alignment horizontal="left" vertical="center"/>
    </xf>
    <xf numFmtId="0" fontId="19" fillId="16" borderId="0" applyAlignment="1" pivotButton="0" quotePrefix="0" xfId="0">
      <alignment horizontal="center" vertical="center" wrapText="1"/>
    </xf>
    <xf numFmtId="0" fontId="34" fillId="17" borderId="0" applyAlignment="1" pivotButton="0" quotePrefix="0" xfId="0">
      <alignment horizontal="left" vertical="center"/>
    </xf>
    <xf numFmtId="0" fontId="31" fillId="9" borderId="2" applyAlignment="1" pivotButton="0" quotePrefix="0" xfId="0">
      <alignment horizontal="left" vertical="center" wrapText="1"/>
    </xf>
    <xf numFmtId="0" fontId="31" fillId="17" borderId="2" applyAlignment="1" pivotButton="0" quotePrefix="0" xfId="0">
      <alignment horizontal="left" vertical="center" wrapText="1"/>
    </xf>
    <xf numFmtId="0" fontId="19" fillId="37" borderId="0" applyAlignment="1" pivotButton="0" quotePrefix="0" xfId="0">
      <alignment horizontal="center" vertical="center" wrapText="1"/>
    </xf>
    <xf numFmtId="0" fontId="35" fillId="17" borderId="0" applyAlignment="1" pivotButton="0" quotePrefix="0" xfId="0">
      <alignment horizontal="left" vertical="center"/>
    </xf>
    <xf numFmtId="0" fontId="26" fillId="9" borderId="2" applyAlignment="1" pivotButton="0" quotePrefix="0" xfId="0">
      <alignment horizontal="left" vertical="center" wrapText="1"/>
    </xf>
    <xf numFmtId="0" fontId="26" fillId="17" borderId="2" applyAlignment="1" pivotButton="0" quotePrefix="0" xfId="0">
      <alignment horizontal="left" vertical="center" wrapText="1"/>
    </xf>
    <xf numFmtId="0" fontId="19" fillId="13" borderId="0" applyAlignment="1" pivotButton="0" quotePrefix="0" xfId="0">
      <alignment horizontal="center" vertical="center" wrapText="1"/>
    </xf>
    <xf numFmtId="0" fontId="36" fillId="17" borderId="0" applyAlignment="1" pivotButton="0" quotePrefix="0" xfId="0">
      <alignment horizontal="left" vertical="center"/>
    </xf>
    <xf numFmtId="0" fontId="37" fillId="9" borderId="2" applyAlignment="1" pivotButton="0" quotePrefix="0" xfId="0">
      <alignment horizontal="left" vertical="center" wrapText="1"/>
    </xf>
    <xf numFmtId="0" fontId="37" fillId="17" borderId="2" applyAlignment="1" pivotButton="0" quotePrefix="0" xfId="0">
      <alignment horizontal="left" vertical="center" wrapText="1"/>
    </xf>
    <xf numFmtId="0" fontId="19" fillId="11" borderId="0" applyAlignment="1" pivotButton="0" quotePrefix="0" xfId="0">
      <alignment horizontal="center" vertical="center" wrapText="1"/>
    </xf>
    <xf numFmtId="0" fontId="38" fillId="17" borderId="0" applyAlignment="1" pivotButton="0" quotePrefix="0" xfId="0">
      <alignment horizontal="left" vertical="center"/>
    </xf>
    <xf numFmtId="0" fontId="39" fillId="9" borderId="2" applyAlignment="1" pivotButton="0" quotePrefix="0" xfId="0">
      <alignment horizontal="left" vertical="center" wrapText="1"/>
    </xf>
    <xf numFmtId="0" fontId="39" fillId="17" borderId="2" applyAlignment="1" pivotButton="0" quotePrefix="0" xfId="0">
      <alignment horizontal="left" vertical="center" wrapText="1"/>
    </xf>
    <xf numFmtId="0" fontId="40" fillId="4" borderId="0" applyAlignment="1" pivotButton="0" quotePrefix="0" xfId="0">
      <alignment horizontal="center" vertical="center" wrapText="1"/>
    </xf>
    <xf numFmtId="164" fontId="14" fillId="5" borderId="2" applyAlignment="1" pivotButton="0" quotePrefix="0" xfId="0">
      <alignment horizontal="right" vertical="center"/>
    </xf>
    <xf numFmtId="0" fontId="14" fillId="0" borderId="2" applyAlignment="1" pivotButton="0" quotePrefix="0" xfId="0">
      <alignment horizontal="center" vertical="center" wrapText="1"/>
    </xf>
    <xf numFmtId="0" fontId="11" fillId="38" borderId="2" applyAlignment="1" pivotButton="0" quotePrefix="0" xfId="0">
      <alignment horizontal="left" vertical="center" wrapText="1"/>
    </xf>
    <xf numFmtId="0" fontId="17" fillId="38" borderId="2" applyAlignment="1" pivotButton="0" quotePrefix="0" xfId="0">
      <alignment horizontal="center" vertical="center" wrapText="1"/>
    </xf>
    <xf numFmtId="0" fontId="14" fillId="38"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8" borderId="2" applyAlignment="1" pivotButton="0" quotePrefix="0" xfId="0">
      <alignment horizontal="center" vertical="center" wrapText="1"/>
    </xf>
    <xf numFmtId="0" fontId="11" fillId="39" borderId="2" applyAlignment="1" pivotButton="0" quotePrefix="0" xfId="0">
      <alignment horizontal="left" vertical="center" wrapText="1"/>
    </xf>
    <xf numFmtId="0" fontId="17" fillId="39" borderId="2" applyAlignment="1" pivotButton="0" quotePrefix="0" xfId="0">
      <alignment horizontal="center" vertical="center" wrapText="1"/>
    </xf>
    <xf numFmtId="0" fontId="14" fillId="39" borderId="2" applyAlignment="1" pivotButton="0" quotePrefix="0" xfId="0">
      <alignment horizontal="center" vertical="center" wrapText="1"/>
    </xf>
    <xf numFmtId="0" fontId="17" fillId="12" borderId="2" applyAlignment="1" pivotButton="0" quotePrefix="0" xfId="0">
      <alignment horizontal="center" vertical="center" wrapText="1"/>
    </xf>
    <xf numFmtId="0" fontId="10" fillId="4" borderId="0" applyAlignment="1" pivotButton="0" quotePrefix="0" xfId="0">
      <alignment horizontal="left" vertical="center" wrapText="1"/>
    </xf>
    <xf numFmtId="3" fontId="10" fillId="4" borderId="0" applyAlignment="1" pivotButton="0" quotePrefix="0" xfId="0">
      <alignment horizontal="right" vertical="center"/>
    </xf>
    <xf numFmtId="0" fontId="5" fillId="28" borderId="0" applyAlignment="1" pivotButton="0" quotePrefix="0" xfId="0">
      <alignment horizontal="center" vertical="center"/>
    </xf>
    <xf numFmtId="0" fontId="10" fillId="11" borderId="0" applyAlignment="1" pivotButton="0" quotePrefix="0" xfId="0">
      <alignment horizontal="center" vertical="center" wrapText="1"/>
    </xf>
    <xf numFmtId="9" fontId="14" fillId="8" borderId="2" applyAlignment="1" pivotButton="0" quotePrefix="0" xfId="0">
      <alignment horizontal="right" vertical="center"/>
    </xf>
    <xf numFmtId="3" fontId="30" fillId="8" borderId="2" applyAlignment="1" pivotButton="0" quotePrefix="0" xfId="0">
      <alignment horizontal="right" vertical="center"/>
    </xf>
    <xf numFmtId="0" fontId="14" fillId="8" borderId="2" applyAlignment="1" pivotButton="0" quotePrefix="0" xfId="0">
      <alignment horizontal="left" vertical="center" wrapText="1"/>
    </xf>
    <xf numFmtId="0" fontId="41" fillId="8" borderId="2" applyAlignment="1" pivotButton="0" quotePrefix="0" xfId="0">
      <alignment horizontal="left" vertical="center" wrapText="1"/>
    </xf>
    <xf numFmtId="3" fontId="30" fillId="9" borderId="2" applyAlignment="1" pivotButton="0" quotePrefix="0" xfId="0">
      <alignment horizontal="right" vertical="center"/>
    </xf>
    <xf numFmtId="0" fontId="41" fillId="9" borderId="2" applyAlignment="1" pivotButton="0" quotePrefix="0" xfId="0">
      <alignment horizontal="left" vertical="center" wrapText="1"/>
    </xf>
    <xf numFmtId="0" fontId="10" fillId="11" borderId="0" applyAlignment="1" pivotButton="0" quotePrefix="0" xfId="0">
      <alignment horizontal="left" vertical="center" wrapText="1"/>
    </xf>
    <xf numFmtId="9" fontId="10" fillId="11" borderId="0" applyAlignment="1" pivotButton="0" quotePrefix="0" xfId="0">
      <alignment horizontal="right" vertical="center"/>
    </xf>
    <xf numFmtId="3" fontId="10" fillId="11" borderId="0" applyAlignment="1" pivotButton="0" quotePrefix="0" xfId="0">
      <alignment horizontal="right" vertical="center"/>
    </xf>
    <xf numFmtId="0" fontId="0" fillId="11" borderId="0" applyAlignment="1" pivotButton="0" quotePrefix="0" xfId="0">
      <alignment horizontal="general" vertical="bottom"/>
    </xf>
    <xf numFmtId="0" fontId="29" fillId="8" borderId="2" applyAlignment="1" pivotButton="0" quotePrefix="0" xfId="0">
      <alignment horizontal="left" vertical="center" wrapText="1"/>
    </xf>
    <xf numFmtId="0" fontId="10" fillId="6" borderId="0" applyAlignment="1" pivotButton="0" quotePrefix="0" xfId="0">
      <alignment horizontal="center" vertical="center" wrapText="1"/>
    </xf>
    <xf numFmtId="0" fontId="5" fillId="26" borderId="0" applyAlignment="1" pivotButton="0" quotePrefix="0" xfId="0">
      <alignment horizontal="center" vertical="center"/>
    </xf>
    <xf numFmtId="3" fontId="12" fillId="5" borderId="2" applyAlignment="1" pivotButton="0" quotePrefix="0" xfId="0">
      <alignment horizontal="right" vertical="center"/>
    </xf>
    <xf numFmtId="0" fontId="15" fillId="5" borderId="2" applyAlignment="1" pivotButton="0" quotePrefix="0" xfId="0">
      <alignment horizontal="center" vertical="center" wrapText="1"/>
    </xf>
    <xf numFmtId="3" fontId="30" fillId="5" borderId="2" applyAlignment="1" pivotButton="0" quotePrefix="0" xfId="0">
      <alignment horizontal="right" vertical="center"/>
    </xf>
    <xf numFmtId="0" fontId="14" fillId="5" borderId="2" applyAlignment="1" pivotButton="0" quotePrefix="0" xfId="0">
      <alignment horizontal="left" vertical="center" wrapText="1"/>
    </xf>
    <xf numFmtId="0" fontId="0" fillId="5" borderId="2" applyAlignment="1" pivotButton="0" quotePrefix="0" xfId="0">
      <alignment horizontal="general" vertical="bottom"/>
    </xf>
    <xf numFmtId="3" fontId="42" fillId="9" borderId="2" applyAlignment="1" pivotButton="0" quotePrefix="0" xfId="0">
      <alignment horizontal="right" vertical="center"/>
    </xf>
    <xf numFmtId="3" fontId="42" fillId="5" borderId="2" applyAlignment="1" pivotButton="0" quotePrefix="0" xfId="0">
      <alignment horizontal="right" vertical="center"/>
    </xf>
    <xf numFmtId="0" fontId="10" fillId="6" borderId="0" applyAlignment="1" pivotButton="0" quotePrefix="0" xfId="0">
      <alignment horizontal="left" vertical="center" wrapText="1"/>
    </xf>
    <xf numFmtId="3" fontId="10" fillId="6" borderId="0" applyAlignment="1" pivotButton="0" quotePrefix="0" xfId="0">
      <alignment horizontal="right" vertical="center"/>
    </xf>
    <xf numFmtId="0" fontId="0" fillId="6" borderId="0" applyAlignment="1" pivotButton="0" quotePrefix="0" xfId="0">
      <alignment horizontal="general" vertical="bottom"/>
    </xf>
    <xf numFmtId="0" fontId="42" fillId="9" borderId="2" applyAlignment="1" pivotButton="0" quotePrefix="0" xfId="0">
      <alignment horizontal="center" vertical="center" wrapText="1"/>
    </xf>
    <xf numFmtId="3" fontId="30" fillId="17" borderId="2" applyAlignment="1" pivotButton="0" quotePrefix="0" xfId="0">
      <alignment horizontal="right" vertical="center"/>
    </xf>
    <xf numFmtId="0" fontId="42" fillId="17" borderId="2" applyAlignment="1" pivotButton="0" quotePrefix="0" xfId="0">
      <alignment horizontal="center" vertical="center" wrapText="1"/>
    </xf>
    <xf numFmtId="0" fontId="15" fillId="17" borderId="2" applyAlignment="1" pivotButton="0" quotePrefix="0" xfId="0">
      <alignment horizontal="center" vertical="center" wrapText="1"/>
    </xf>
    <xf numFmtId="164" fontId="30" fillId="17" borderId="2" applyAlignment="1" pivotButton="0" quotePrefix="0" xfId="0">
      <alignment horizontal="right" vertical="center"/>
    </xf>
    <xf numFmtId="164" fontId="30" fillId="9" borderId="2" applyAlignment="1" pivotButton="0" quotePrefix="0" xfId="0">
      <alignment horizontal="right" vertical="center"/>
    </xf>
    <xf numFmtId="0" fontId="10" fillId="13" borderId="0" applyAlignment="1" pivotButton="0" quotePrefix="0" xfId="0">
      <alignment horizontal="center" vertical="center" wrapText="1"/>
    </xf>
    <xf numFmtId="0" fontId="37" fillId="39" borderId="2" applyAlignment="1" pivotButton="0" quotePrefix="0" xfId="0">
      <alignment horizontal="center" vertical="center" wrapText="1"/>
    </xf>
    <xf numFmtId="0" fontId="29" fillId="0" borderId="2" applyAlignment="1" pivotButton="0" quotePrefix="0" xfId="0">
      <alignment horizontal="left" vertical="center" wrapText="1"/>
    </xf>
    <xf numFmtId="0" fontId="43"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26" fillId="0" borderId="2" applyAlignment="1" pivotButton="0" quotePrefix="0" xfId="0">
      <alignment horizontal="center" vertical="center" wrapText="1"/>
    </xf>
    <xf numFmtId="0" fontId="31"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1" applyAlignment="1" pivotButton="0" quotePrefix="0" xfId="0">
      <alignment horizontal="general" vertical="center" wrapText="1"/>
    </xf>
    <xf numFmtId="0" fontId="6" fillId="3" borderId="1" applyAlignment="1" pivotButton="0" quotePrefix="0" xfId="0">
      <alignment horizontal="general" vertical="center" wrapText="1"/>
    </xf>
    <xf numFmtId="0" fontId="7" fillId="0" borderId="0" applyAlignment="1" pivotButton="0" quotePrefix="0" xfId="0">
      <alignment horizontal="general" vertical="bottom"/>
    </xf>
    <xf numFmtId="0" fontId="8" fillId="4" borderId="2" applyAlignment="1" pivotButton="0" quotePrefix="0" xfId="0">
      <alignment horizontal="center" vertical="center"/>
    </xf>
    <xf numFmtId="0" fontId="0" fillId="0" borderId="5" pivotButton="0" quotePrefix="0" xfId="0"/>
    <xf numFmtId="0" fontId="0" fillId="0" borderId="6" pivotButton="0" quotePrefix="0" xfId="0"/>
    <xf numFmtId="0" fontId="9" fillId="5" borderId="2" applyAlignment="1" pivotButton="0" quotePrefix="0" xfId="0">
      <alignment horizontal="center" vertical="center"/>
    </xf>
    <xf numFmtId="0" fontId="0" fillId="0" borderId="2" applyAlignment="1" pivotButton="0" quotePrefix="0" xfId="0">
      <alignment horizontal="general" vertical="bottom"/>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11" fillId="8" borderId="2" applyAlignment="1" pivotButton="0" quotePrefix="0" xfId="0">
      <alignment horizontal="left" vertical="center" wrapText="1"/>
    </xf>
    <xf numFmtId="3" fontId="12" fillId="8" borderId="2" applyAlignment="1" pivotButton="0" quotePrefix="0" xfId="0">
      <alignment horizontal="right" vertical="center"/>
    </xf>
    <xf numFmtId="3" fontId="13" fillId="8" borderId="2" applyAlignment="1" pivotButton="0" quotePrefix="0" xfId="0">
      <alignment horizontal="right" vertical="center"/>
    </xf>
    <xf numFmtId="164" fontId="14" fillId="8" borderId="2" applyAlignment="1" pivotButton="0" quotePrefix="0" xfId="0">
      <alignment horizontal="right" vertical="center"/>
    </xf>
    <xf numFmtId="0" fontId="15" fillId="8" borderId="2" applyAlignment="1" pivotButton="0" quotePrefix="0" xfId="0">
      <alignment horizontal="center" vertical="center" wrapText="1"/>
    </xf>
    <xf numFmtId="0" fontId="16" fillId="8" borderId="2" applyAlignment="1" pivotButton="0" quotePrefix="0" xfId="0">
      <alignment horizontal="center" vertical="center"/>
    </xf>
    <xf numFmtId="0" fontId="15" fillId="8" borderId="2" applyAlignment="1" pivotButton="0" quotePrefix="0" xfId="0">
      <alignment horizontal="left" vertical="center" wrapText="1"/>
    </xf>
    <xf numFmtId="0" fontId="0" fillId="8" borderId="2" applyAlignment="1" pivotButton="0" quotePrefix="0" xfId="0">
      <alignment horizontal="general" vertical="bottom"/>
    </xf>
    <xf numFmtId="0" fontId="11" fillId="9" borderId="2" applyAlignment="1" pivotButton="0" quotePrefix="0" xfId="0">
      <alignment horizontal="left" vertical="center" wrapText="1"/>
    </xf>
    <xf numFmtId="3" fontId="12" fillId="9" borderId="2" applyAlignment="1" pivotButton="0" quotePrefix="0" xfId="0">
      <alignment horizontal="right" vertical="center"/>
    </xf>
    <xf numFmtId="3" fontId="13" fillId="9" borderId="2" applyAlignment="1" pivotButton="0" quotePrefix="0" xfId="0">
      <alignment horizontal="right" vertical="center"/>
    </xf>
    <xf numFmtId="164" fontId="14" fillId="9" borderId="2" applyAlignment="1" pivotButton="0" quotePrefix="0" xfId="0">
      <alignment horizontal="right" vertical="center"/>
    </xf>
    <xf numFmtId="0" fontId="15" fillId="9" borderId="2" applyAlignment="1" pivotButton="0" quotePrefix="0" xfId="0">
      <alignment horizontal="center" vertical="center" wrapText="1"/>
    </xf>
    <xf numFmtId="0" fontId="16" fillId="9" borderId="2" applyAlignment="1" pivotButton="0" quotePrefix="0" xfId="0">
      <alignment horizontal="center" vertical="center"/>
    </xf>
    <xf numFmtId="0" fontId="15" fillId="9" borderId="2" applyAlignment="1" pivotButton="0" quotePrefix="0" xfId="0">
      <alignment horizontal="left" vertical="center" wrapText="1"/>
    </xf>
    <xf numFmtId="0" fontId="0" fillId="9" borderId="2" applyAlignment="1" pivotButton="0" quotePrefix="0" xfId="0">
      <alignment horizontal="general" vertical="bottom"/>
    </xf>
    <xf numFmtId="0" fontId="5" fillId="10" borderId="2" applyAlignment="1" pivotButton="0" quotePrefix="0" xfId="0">
      <alignment horizontal="center" vertical="center" wrapText="1"/>
    </xf>
    <xf numFmtId="0" fontId="10" fillId="11" borderId="2" applyAlignment="1" pivotButton="0" quotePrefix="0" xfId="0">
      <alignment horizontal="center" vertical="center" wrapText="1"/>
    </xf>
    <xf numFmtId="9" fontId="14" fillId="9" borderId="2" applyAlignment="1" pivotButton="0" quotePrefix="0" xfId="0">
      <alignment horizontal="right" vertical="center"/>
    </xf>
    <xf numFmtId="3" fontId="14" fillId="9" borderId="2" applyAlignment="1" pivotButton="0" quotePrefix="0" xfId="0">
      <alignment horizontal="right" vertical="center"/>
    </xf>
    <xf numFmtId="0" fontId="14" fillId="9" borderId="2" applyAlignment="1" pivotButton="0" quotePrefix="0" xfId="0">
      <alignment horizontal="left" vertical="center" wrapText="1"/>
    </xf>
    <xf numFmtId="0" fontId="14" fillId="9" borderId="2" applyAlignment="1" pivotButton="0" quotePrefix="0" xfId="0">
      <alignment horizontal="center" vertical="center" wrapText="1"/>
    </xf>
    <xf numFmtId="0" fontId="11" fillId="12" borderId="2" applyAlignment="1" pivotButton="0" quotePrefix="0" xfId="0">
      <alignment horizontal="left" vertical="center" wrapText="1"/>
    </xf>
    <xf numFmtId="9" fontId="14" fillId="12" borderId="2" applyAlignment="1" pivotButton="0" quotePrefix="0" xfId="0">
      <alignment horizontal="right" vertical="center"/>
    </xf>
    <xf numFmtId="3" fontId="14" fillId="12" borderId="2" applyAlignment="1" pivotButton="0" quotePrefix="0" xfId="0">
      <alignment horizontal="right" vertical="center"/>
    </xf>
    <xf numFmtId="0" fontId="14" fillId="12" borderId="2" applyAlignment="1" pivotButton="0" quotePrefix="0" xfId="0">
      <alignment horizontal="left" vertical="center" wrapText="1"/>
    </xf>
    <xf numFmtId="0" fontId="14" fillId="12" borderId="2" applyAlignment="1" pivotButton="0" quotePrefix="0" xfId="0">
      <alignment horizontal="center" vertical="center" wrapText="1"/>
    </xf>
    <xf numFmtId="0" fontId="15" fillId="12" borderId="2" applyAlignment="1" pivotButton="0" quotePrefix="0" xfId="0">
      <alignment horizontal="left" vertical="center" wrapText="1"/>
    </xf>
    <xf numFmtId="0" fontId="0" fillId="12" borderId="2" applyAlignment="1" pivotButton="0" quotePrefix="0" xfId="0">
      <alignment horizontal="general" vertical="bottom"/>
    </xf>
    <xf numFmtId="49" fontId="14" fillId="9" borderId="2" applyAlignment="1" pivotButton="0" quotePrefix="0" xfId="0">
      <alignment horizontal="right" vertical="center"/>
    </xf>
    <xf numFmtId="49" fontId="14" fillId="12" borderId="2" applyAlignment="1" pivotButton="0" quotePrefix="0" xfId="0">
      <alignment horizontal="right" vertical="center"/>
    </xf>
    <xf numFmtId="0" fontId="10" fillId="11" borderId="2" applyAlignment="1" pivotButton="0" quotePrefix="0" xfId="0">
      <alignment horizontal="left" vertical="center" wrapText="1"/>
    </xf>
    <xf numFmtId="9" fontId="10" fillId="11" borderId="2" applyAlignment="1" pivotButton="0" quotePrefix="0" xfId="0">
      <alignment horizontal="right" vertical="center"/>
    </xf>
    <xf numFmtId="3" fontId="10" fillId="11" borderId="2" applyAlignment="1" pivotButton="0" quotePrefix="0" xfId="0">
      <alignment horizontal="right" vertical="center"/>
    </xf>
    <xf numFmtId="0" fontId="0" fillId="11" borderId="2" applyAlignment="1" pivotButton="0" quotePrefix="0" xfId="0">
      <alignment horizontal="general" vertical="bottom"/>
    </xf>
    <xf numFmtId="0" fontId="5" fillId="13" borderId="2" applyAlignment="1" pivotButton="0" quotePrefix="0" xfId="0">
      <alignment horizontal="center" vertical="center" wrapText="1"/>
    </xf>
    <xf numFmtId="0" fontId="10" fillId="13" borderId="2" applyAlignment="1" pivotButton="0" quotePrefix="0" xfId="0">
      <alignment horizontal="center" vertical="center" wrapText="1"/>
    </xf>
    <xf numFmtId="0" fontId="14" fillId="8" borderId="2" applyAlignment="1" pivotButton="0" quotePrefix="0" xfId="0">
      <alignment horizontal="center" vertical="center" wrapText="1"/>
    </xf>
    <xf numFmtId="3" fontId="14" fillId="8" borderId="2" applyAlignment="1" pivotButton="0" quotePrefix="0" xfId="0">
      <alignment horizontal="right" vertical="center"/>
    </xf>
    <xf numFmtId="165" fontId="14" fillId="8" borderId="2" applyAlignment="1" pivotButton="0" quotePrefix="0" xfId="0">
      <alignment horizontal="right" vertical="center"/>
    </xf>
    <xf numFmtId="0" fontId="11" fillId="5" borderId="2" applyAlignment="1" pivotButton="0" quotePrefix="0" xfId="0">
      <alignment horizontal="left" vertical="center" wrapText="1"/>
    </xf>
    <xf numFmtId="0" fontId="14" fillId="5" borderId="2" applyAlignment="1" pivotButton="0" quotePrefix="0" xfId="0">
      <alignment horizontal="center" vertical="center" wrapText="1"/>
    </xf>
    <xf numFmtId="3" fontId="14" fillId="5" borderId="2" applyAlignment="1" pivotButton="0" quotePrefix="0" xfId="0">
      <alignment horizontal="right" vertical="center"/>
    </xf>
    <xf numFmtId="165" fontId="14" fillId="5" borderId="2" applyAlignment="1" pivotButton="0" quotePrefix="0" xfId="0">
      <alignment horizontal="right" vertical="center"/>
    </xf>
    <xf numFmtId="0" fontId="11" fillId="14" borderId="2" applyAlignment="1" pivotButton="0" quotePrefix="0" xfId="0">
      <alignment horizontal="left" vertical="center" wrapText="1"/>
    </xf>
    <xf numFmtId="0" fontId="14" fillId="14" borderId="2" applyAlignment="1" pivotButton="0" quotePrefix="0" xfId="0">
      <alignment horizontal="center" vertical="center" wrapText="1"/>
    </xf>
    <xf numFmtId="3" fontId="14" fillId="14" borderId="2" applyAlignment="1" pivotButton="0" quotePrefix="0" xfId="0">
      <alignment horizontal="right" vertical="center"/>
    </xf>
    <xf numFmtId="165" fontId="14" fillId="14" borderId="2" applyAlignment="1" pivotButton="0" quotePrefix="0" xfId="0">
      <alignment horizontal="right" vertical="center"/>
    </xf>
    <xf numFmtId="0" fontId="11" fillId="15" borderId="2" applyAlignment="1" pivotButton="0" quotePrefix="0" xfId="0">
      <alignment horizontal="left" vertical="center" wrapText="1"/>
    </xf>
    <xf numFmtId="0" fontId="14" fillId="15" borderId="2" applyAlignment="1" pivotButton="0" quotePrefix="0" xfId="0">
      <alignment horizontal="center" vertical="center" wrapText="1"/>
    </xf>
    <xf numFmtId="3" fontId="14" fillId="15" borderId="2" applyAlignment="1" pivotButton="0" quotePrefix="0" xfId="0">
      <alignment horizontal="right" vertical="center"/>
    </xf>
    <xf numFmtId="165" fontId="14" fillId="15" borderId="2" applyAlignment="1" pivotButton="0" quotePrefix="0" xfId="0">
      <alignment horizontal="right" vertical="center"/>
    </xf>
    <xf numFmtId="0" fontId="5" fillId="16" borderId="2" applyAlignment="1" pivotButton="0" quotePrefix="0" xfId="0">
      <alignment horizontal="center" vertical="center" wrapText="1"/>
    </xf>
    <xf numFmtId="0" fontId="10" fillId="16" borderId="2" applyAlignment="1" pivotButton="0" quotePrefix="0" xfId="0">
      <alignment horizontal="center" vertical="center" wrapText="1"/>
    </xf>
    <xf numFmtId="0" fontId="17" fillId="5" borderId="2" applyAlignment="1" pivotButton="0" quotePrefix="0" xfId="0">
      <alignment horizontal="center" vertical="center" wrapText="1"/>
    </xf>
    <xf numFmtId="0" fontId="18" fillId="0" borderId="2" applyAlignment="1" pivotButton="0" quotePrefix="0" xfId="0">
      <alignment horizontal="left" vertical="center"/>
    </xf>
    <xf numFmtId="0" fontId="14" fillId="17" borderId="2" applyAlignment="1" pivotButton="0" quotePrefix="0" xfId="0">
      <alignment horizontal="left" vertical="center" wrapText="1"/>
    </xf>
    <xf numFmtId="0" fontId="19" fillId="18" borderId="0" applyAlignment="1" pivotButton="0" quotePrefix="0" xfId="0">
      <alignment horizontal="center" vertical="bottom"/>
    </xf>
    <xf numFmtId="0" fontId="20" fillId="0" borderId="0" applyAlignment="1" pivotButton="0" quotePrefix="0" xfId="0">
      <alignment horizontal="general" vertical="bottom"/>
    </xf>
    <xf numFmtId="0" fontId="10" fillId="19" borderId="2" applyAlignment="1" pivotButton="0" quotePrefix="0" xfId="0">
      <alignment horizontal="center" vertical="center" wrapText="1"/>
    </xf>
    <xf numFmtId="0" fontId="6" fillId="0" borderId="2" applyAlignment="1" pivotButton="0" quotePrefix="0" xfId="0">
      <alignment horizontal="general" vertical="center" wrapText="1"/>
    </xf>
    <xf numFmtId="166" fontId="6" fillId="20" borderId="2" applyAlignment="1" pivotButton="0" quotePrefix="0" xfId="0">
      <alignment horizontal="general" vertical="center" wrapText="1"/>
    </xf>
    <xf numFmtId="0" fontId="6" fillId="21" borderId="2" applyAlignment="1" pivotButton="0" quotePrefix="0" xfId="0">
      <alignment horizontal="general" vertical="center" wrapText="1"/>
    </xf>
    <xf numFmtId="3" fontId="6" fillId="21" borderId="2" applyAlignment="1" pivotButton="0" quotePrefix="0" xfId="0">
      <alignment horizontal="general" vertical="center" wrapText="1"/>
    </xf>
    <xf numFmtId="164" fontId="6" fillId="20" borderId="2" applyAlignment="1" pivotButton="0" quotePrefix="0" xfId="0">
      <alignment horizontal="general" vertical="center" wrapText="1"/>
    </xf>
    <xf numFmtId="164" fontId="6" fillId="21" borderId="2" applyAlignment="1" pivotButton="0" quotePrefix="0" xfId="0">
      <alignment horizontal="general" vertical="center" wrapText="1"/>
    </xf>
    <xf numFmtId="166" fontId="6" fillId="21" borderId="2" applyAlignment="1" pivotButton="0" quotePrefix="0" xfId="0">
      <alignment horizontal="general" vertical="center" wrapText="1"/>
    </xf>
    <xf numFmtId="0" fontId="21" fillId="0" borderId="0" applyAlignment="1" pivotButton="0" quotePrefix="0" xfId="0">
      <alignment horizontal="general" vertical="bottom"/>
    </xf>
    <xf numFmtId="166" fontId="0" fillId="0" borderId="0" applyAlignment="1" pivotButton="0" quotePrefix="0" xfId="0">
      <alignment horizontal="general" vertical="bottom"/>
    </xf>
    <xf numFmtId="0" fontId="19" fillId="22" borderId="0" applyAlignment="1" pivotButton="0" quotePrefix="0" xfId="0">
      <alignment horizontal="center" vertical="bottom"/>
    </xf>
    <xf numFmtId="0" fontId="5" fillId="22" borderId="2" applyAlignment="1" pivotButton="0" quotePrefix="0" xfId="0">
      <alignment horizontal="center" vertical="center" wrapText="1"/>
    </xf>
    <xf numFmtId="166" fontId="6" fillId="0" borderId="2" applyAlignment="1" pivotButton="0" quotePrefix="0" xfId="0">
      <alignment horizontal="general" vertical="center" wrapText="1"/>
    </xf>
    <xf numFmtId="0" fontId="21" fillId="23" borderId="2" applyAlignment="1" pivotButton="0" quotePrefix="0" xfId="0">
      <alignment horizontal="general" vertical="bottom"/>
    </xf>
    <xf numFmtId="164" fontId="21" fillId="23" borderId="2" applyAlignment="1" pivotButton="0" quotePrefix="0" xfId="0">
      <alignment horizontal="general" vertical="bottom"/>
    </xf>
    <xf numFmtId="166" fontId="21" fillId="23" borderId="2" applyAlignment="1" pivotButton="0" quotePrefix="0" xfId="0">
      <alignment horizontal="general" vertical="bottom"/>
    </xf>
    <xf numFmtId="0" fontId="19" fillId="24" borderId="0" applyAlignment="1" pivotButton="0" quotePrefix="0" xfId="0">
      <alignment horizontal="center" vertical="bottom"/>
    </xf>
    <xf numFmtId="0" fontId="5" fillId="24" borderId="2" applyAlignment="1" pivotButton="0" quotePrefix="0" xfId="0">
      <alignment horizontal="center" vertical="center" wrapText="1"/>
    </xf>
    <xf numFmtId="3" fontId="6" fillId="20" borderId="2" applyAlignment="1" pivotButton="0" quotePrefix="0" xfId="0">
      <alignment horizontal="general" vertical="center" wrapText="1"/>
    </xf>
    <xf numFmtId="164" fontId="6" fillId="0" borderId="2" applyAlignment="1" pivotButton="0" quotePrefix="0" xfId="0">
      <alignment horizontal="general" vertical="center" wrapText="1"/>
    </xf>
    <xf numFmtId="3" fontId="6" fillId="0" borderId="2" applyAlignment="1" pivotButton="0" quotePrefix="0" xfId="0">
      <alignment horizontal="general" vertical="center" wrapText="1"/>
    </xf>
    <xf numFmtId="3" fontId="21" fillId="23" borderId="2" applyAlignment="1" pivotButton="0" quotePrefix="0" xfId="0">
      <alignment horizontal="general" vertical="bottom"/>
    </xf>
    <xf numFmtId="0" fontId="19" fillId="25" borderId="0" applyAlignment="1" pivotButton="0" quotePrefix="0" xfId="0">
      <alignment horizontal="center" vertical="bottom"/>
    </xf>
    <xf numFmtId="0" fontId="5" fillId="25" borderId="2" applyAlignment="1" pivotButton="0" quotePrefix="0" xfId="0">
      <alignment horizontal="center" vertical="center" wrapText="1"/>
    </xf>
    <xf numFmtId="0" fontId="19" fillId="26" borderId="0" applyAlignment="1" pivotButton="0" quotePrefix="0" xfId="0">
      <alignment horizontal="center" vertical="bottom"/>
    </xf>
    <xf numFmtId="0" fontId="10" fillId="26" borderId="0" applyAlignment="1" pivotButton="0" quotePrefix="0" xfId="0">
      <alignment horizontal="left" vertical="bottom"/>
    </xf>
    <xf numFmtId="0" fontId="10" fillId="26" borderId="2" applyAlignment="1" pivotButton="0" quotePrefix="0" xfId="0">
      <alignment horizontal="center" vertical="center" wrapText="1"/>
    </xf>
    <xf numFmtId="0" fontId="10" fillId="27" borderId="0" applyAlignment="1" pivotButton="0" quotePrefix="0" xfId="0">
      <alignment horizontal="left" vertical="bottom"/>
    </xf>
    <xf numFmtId="0" fontId="10" fillId="27" borderId="2" applyAlignment="1" pivotButton="0" quotePrefix="0" xfId="0">
      <alignment horizontal="center" vertical="center" wrapText="1"/>
    </xf>
    <xf numFmtId="0" fontId="19" fillId="28" borderId="0" applyAlignment="1" pivotButton="0" quotePrefix="0" xfId="0">
      <alignment horizontal="center" vertical="bottom"/>
    </xf>
    <xf numFmtId="0" fontId="10" fillId="28" borderId="0" applyAlignment="1" pivotButton="0" quotePrefix="0" xfId="0">
      <alignment horizontal="left" vertical="bottom"/>
    </xf>
    <xf numFmtId="0" fontId="10" fillId="28" borderId="2" applyAlignment="1" pivotButton="0" quotePrefix="0" xfId="0">
      <alignment horizontal="center" vertical="center" wrapText="1"/>
    </xf>
    <xf numFmtId="0" fontId="19" fillId="29" borderId="0" applyAlignment="1" pivotButton="0" quotePrefix="0" xfId="0">
      <alignment horizontal="center" vertical="bottom"/>
    </xf>
    <xf numFmtId="0" fontId="10" fillId="30" borderId="0" applyAlignment="1" pivotButton="0" quotePrefix="0" xfId="0">
      <alignment horizontal="left" vertical="bottom"/>
    </xf>
    <xf numFmtId="0" fontId="10" fillId="30" borderId="2" applyAlignment="1" pivotButton="0" quotePrefix="0" xfId="0">
      <alignment horizontal="center" vertical="center" wrapText="1"/>
    </xf>
    <xf numFmtId="0" fontId="19" fillId="31" borderId="0" applyAlignment="1" pivotButton="0" quotePrefix="0" xfId="0">
      <alignment horizontal="center" vertical="bottom"/>
    </xf>
    <xf numFmtId="0" fontId="10" fillId="31" borderId="0" applyAlignment="1" pivotButton="0" quotePrefix="0" xfId="0">
      <alignment horizontal="left" vertical="bottom"/>
    </xf>
    <xf numFmtId="0" fontId="10" fillId="31" borderId="2" applyAlignment="1" pivotButton="0" quotePrefix="0" xfId="0">
      <alignment horizontal="center" vertical="center" wrapText="1"/>
    </xf>
    <xf numFmtId="0" fontId="19" fillId="32" borderId="0" applyAlignment="1" pivotButton="0" quotePrefix="0" xfId="0">
      <alignment horizontal="center" vertical="bottom"/>
    </xf>
    <xf numFmtId="0" fontId="10" fillId="32" borderId="0" applyAlignment="1" pivotButton="0" quotePrefix="0" xfId="0">
      <alignment horizontal="left" vertical="bottom"/>
    </xf>
    <xf numFmtId="0" fontId="10" fillId="32" borderId="2" applyAlignment="1" pivotButton="0" quotePrefix="0" xfId="0">
      <alignment horizontal="center" vertical="center" wrapText="1"/>
    </xf>
    <xf numFmtId="0" fontId="19" fillId="33" borderId="0" applyAlignment="1" pivotButton="0" quotePrefix="0" xfId="0">
      <alignment horizontal="center" vertical="bottom"/>
    </xf>
    <xf numFmtId="0" fontId="10" fillId="33" borderId="0" applyAlignment="1" pivotButton="0" quotePrefix="0" xfId="0">
      <alignment horizontal="left" vertical="bottom"/>
    </xf>
    <xf numFmtId="0" fontId="10" fillId="33" borderId="2" applyAlignment="1" pivotButton="0" quotePrefix="0" xfId="0">
      <alignment horizontal="center" vertical="center" wrapText="1"/>
    </xf>
    <xf numFmtId="0" fontId="5" fillId="33" borderId="2" applyAlignment="1" pivotButton="0" quotePrefix="0" xfId="0">
      <alignment horizontal="center" vertical="center" wrapText="1"/>
    </xf>
    <xf numFmtId="0" fontId="19" fillId="34" borderId="0" applyAlignment="1" pivotButton="0" quotePrefix="0" xfId="0">
      <alignment horizontal="center" vertical="bottom"/>
    </xf>
    <xf numFmtId="0" fontId="5" fillId="34" borderId="2" applyAlignment="1" pivotButton="0" quotePrefix="0" xfId="0">
      <alignment horizontal="center" vertical="center"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19" fillId="35" borderId="0" applyAlignment="1" pivotButton="0" quotePrefix="0" xfId="0">
      <alignment horizontal="center" vertical="bottom"/>
    </xf>
    <xf numFmtId="0" fontId="10" fillId="35" borderId="0" applyAlignment="1" pivotButton="0" quotePrefix="0" xfId="0">
      <alignment horizontal="left" vertical="bottom"/>
    </xf>
    <xf numFmtId="0" fontId="10" fillId="35" borderId="2" applyAlignment="1" pivotButton="0" quotePrefix="0" xfId="0">
      <alignment horizontal="center" vertical="center" wrapText="1"/>
    </xf>
    <xf numFmtId="0" fontId="19" fillId="36" borderId="0" applyAlignment="1" pivotButton="0" quotePrefix="0" xfId="0">
      <alignment horizontal="center" vertical="bottom"/>
    </xf>
    <xf numFmtId="0" fontId="5" fillId="36" borderId="2" applyAlignment="1" pivotButton="0" quotePrefix="0" xfId="0">
      <alignment horizontal="center" vertical="center" wrapText="1"/>
    </xf>
    <xf numFmtId="0" fontId="24" fillId="4" borderId="0" applyAlignment="1" pivotButton="0" quotePrefix="0" xfId="0">
      <alignment horizontal="center" vertical="center" wrapText="1"/>
    </xf>
    <xf numFmtId="0" fontId="25" fillId="5" borderId="0" applyAlignment="1" pivotButton="0" quotePrefix="0" xfId="0">
      <alignment horizontal="left" vertical="center" wrapText="1"/>
    </xf>
    <xf numFmtId="0" fontId="10" fillId="4" borderId="0" applyAlignment="1" pivotButton="0" quotePrefix="0" xfId="0">
      <alignment horizontal="center" vertical="center" wrapText="1"/>
    </xf>
    <xf numFmtId="0" fontId="5" fillId="6" borderId="0" applyAlignment="1" pivotButton="0" quotePrefix="0" xfId="0">
      <alignment horizontal="center" vertical="center" wrapText="1"/>
    </xf>
    <xf numFmtId="0" fontId="11" fillId="0" borderId="2" applyAlignment="1" pivotButton="0" quotePrefix="0" xfId="0">
      <alignment horizontal="left" vertical="center" wrapText="1"/>
    </xf>
    <xf numFmtId="3" fontId="14" fillId="17" borderId="2" applyAlignment="1" pivotButton="0" quotePrefix="0" xfId="0">
      <alignment horizontal="right" vertical="center"/>
    </xf>
    <xf numFmtId="3" fontId="11" fillId="5" borderId="2" applyAlignment="1" pivotButton="0" quotePrefix="0" xfId="0">
      <alignment horizontal="right" vertical="center"/>
    </xf>
    <xf numFmtId="3" fontId="12" fillId="0" borderId="2" applyAlignment="1" pivotButton="0" quotePrefix="0" xfId="0">
      <alignment horizontal="right" vertical="center"/>
    </xf>
    <xf numFmtId="164" fontId="14" fillId="0" borderId="2" applyAlignment="1" pivotButton="0" quotePrefix="0" xfId="0">
      <alignment horizontal="right" vertical="center"/>
    </xf>
    <xf numFmtId="0" fontId="15" fillId="0" borderId="2" applyAlignment="1" pivotButton="0" quotePrefix="0" xfId="0">
      <alignment horizontal="left" vertical="center" wrapText="1"/>
    </xf>
    <xf numFmtId="164" fontId="14" fillId="17" borderId="2" applyAlignment="1" pivotButton="0" quotePrefix="0" xfId="0">
      <alignment horizontal="right" vertical="center"/>
    </xf>
    <xf numFmtId="164" fontId="11" fillId="5" borderId="2" applyAlignment="1" pivotButton="0" quotePrefix="0" xfId="0">
      <alignment horizontal="right" vertical="center"/>
    </xf>
    <xf numFmtId="164" fontId="12" fillId="0" borderId="2" applyAlignment="1" pivotButton="0" quotePrefix="0" xfId="0">
      <alignment horizontal="right" vertical="center"/>
    </xf>
    <xf numFmtId="0" fontId="26" fillId="0" borderId="2" applyAlignment="1" pivotButton="0" quotePrefix="0" xfId="0">
      <alignment horizontal="left" vertical="center" wrapText="1"/>
    </xf>
    <xf numFmtId="0" fontId="5" fillId="10" borderId="0" applyAlignment="1" pivotButton="0" quotePrefix="0" xfId="0">
      <alignment horizontal="center" vertical="center" wrapText="1"/>
    </xf>
    <xf numFmtId="0" fontId="5" fillId="13" borderId="0" applyAlignment="1" pivotButton="0" quotePrefix="0" xfId="0">
      <alignment horizontal="center" vertical="center" wrapText="1"/>
    </xf>
    <xf numFmtId="0" fontId="5" fillId="16" borderId="0" applyAlignment="1" pivotButton="0" quotePrefix="0" xfId="0">
      <alignment horizontal="center" vertical="center" wrapText="1"/>
    </xf>
    <xf numFmtId="0" fontId="5" fillId="11" borderId="0" applyAlignment="1" pivotButton="0" quotePrefix="0" xfId="0">
      <alignment horizontal="center" vertical="center" wrapText="1"/>
    </xf>
    <xf numFmtId="9" fontId="14" fillId="17" borderId="2" applyAlignment="1" pivotButton="0" quotePrefix="0" xfId="0">
      <alignment horizontal="right" vertical="center"/>
    </xf>
    <xf numFmtId="9" fontId="11" fillId="5" borderId="2" applyAlignment="1" pivotButton="0" quotePrefix="0" xfId="0">
      <alignment horizontal="right" vertical="center"/>
    </xf>
    <xf numFmtId="9" fontId="12" fillId="0" borderId="2" applyAlignment="1" pivotButton="0" quotePrefix="0" xfId="0">
      <alignment horizontal="right" vertical="center"/>
    </xf>
    <xf numFmtId="0" fontId="10" fillId="6" borderId="0" applyAlignment="1" pivotButton="0" quotePrefix="0" xfId="0">
      <alignment horizontal="center" vertical="center" wrapText="1"/>
    </xf>
    <xf numFmtId="0" fontId="11" fillId="17" borderId="2" applyAlignment="1" pivotButton="0" quotePrefix="0" xfId="0">
      <alignment horizontal="center" vertical="center" wrapText="1"/>
    </xf>
    <xf numFmtId="0" fontId="12" fillId="17" borderId="2" applyAlignment="1" pivotButton="0" quotePrefix="0" xfId="0">
      <alignment horizontal="left" vertical="center" wrapText="1"/>
    </xf>
    <xf numFmtId="0" fontId="11" fillId="17" borderId="2" applyAlignment="1" pivotButton="0" quotePrefix="0" xfId="0">
      <alignment horizontal="left" vertical="center" wrapText="1"/>
    </xf>
    <xf numFmtId="0" fontId="27" fillId="17" borderId="2" applyAlignment="1" pivotButton="0" quotePrefix="0" xfId="0">
      <alignment horizontal="left" vertical="center" wrapText="1"/>
    </xf>
    <xf numFmtId="0" fontId="17" fillId="17" borderId="2" applyAlignment="1" pivotButton="0" quotePrefix="0" xfId="0">
      <alignment horizontal="center" vertical="center" wrapText="1"/>
    </xf>
    <xf numFmtId="0" fontId="15" fillId="17" borderId="2" applyAlignment="1" pivotButton="0" quotePrefix="0" xfId="0">
      <alignment horizontal="left" vertical="center" wrapText="1"/>
    </xf>
    <xf numFmtId="0" fontId="28" fillId="17" borderId="2" applyAlignment="1" pivotButton="0" quotePrefix="0" xfId="0">
      <alignment horizontal="center" vertical="center"/>
    </xf>
    <xf numFmtId="0" fontId="0" fillId="17" borderId="2" applyAlignment="1" pivotButton="0" quotePrefix="0" xfId="0">
      <alignment horizontal="general" vertical="bottom"/>
    </xf>
    <xf numFmtId="0" fontId="11" fillId="9" borderId="2" applyAlignment="1" pivotButton="0" quotePrefix="0" xfId="0">
      <alignment horizontal="center" vertical="center" wrapText="1"/>
    </xf>
    <xf numFmtId="0" fontId="12" fillId="9" borderId="2" applyAlignment="1" pivotButton="0" quotePrefix="0" xfId="0">
      <alignment horizontal="left" vertical="center" wrapText="1"/>
    </xf>
    <xf numFmtId="0" fontId="27" fillId="9" borderId="2" applyAlignment="1" pivotButton="0" quotePrefix="0" xfId="0">
      <alignment horizontal="left" vertical="center" wrapText="1"/>
    </xf>
    <xf numFmtId="0" fontId="17" fillId="9" borderId="2" applyAlignment="1" pivotButton="0" quotePrefix="0" xfId="0">
      <alignment horizontal="center" vertical="center" wrapText="1"/>
    </xf>
    <xf numFmtId="0" fontId="28" fillId="9" borderId="2" applyAlignment="1" pivotButton="0" quotePrefix="0" xfId="0">
      <alignment horizontal="center" vertical="center"/>
    </xf>
    <xf numFmtId="0" fontId="10" fillId="10" borderId="0" applyAlignment="1" pivotButton="0" quotePrefix="0" xfId="0">
      <alignment horizontal="center" vertical="center" wrapText="1"/>
    </xf>
    <xf numFmtId="0" fontId="10" fillId="16" borderId="0" applyAlignment="1" pivotButton="0" quotePrefix="0" xfId="0">
      <alignment horizontal="center" vertical="center" wrapText="1"/>
    </xf>
    <xf numFmtId="0" fontId="10" fillId="13" borderId="0" applyAlignment="1" pivotButton="0" quotePrefix="0" xfId="0">
      <alignment horizontal="center" vertical="center" wrapText="1"/>
    </xf>
    <xf numFmtId="0" fontId="29" fillId="9" borderId="2" applyAlignment="1" pivotButton="0" quotePrefix="0" xfId="0">
      <alignment horizontal="left" vertical="center" wrapText="1"/>
    </xf>
    <xf numFmtId="0" fontId="30" fillId="9" borderId="2" applyAlignment="1" pivotButton="0" quotePrefix="0" xfId="0">
      <alignment horizontal="left" vertical="center" wrapText="1"/>
    </xf>
    <xf numFmtId="0" fontId="31" fillId="9" borderId="2" applyAlignment="1" pivotButton="0" quotePrefix="0" xfId="0">
      <alignment horizontal="center" vertical="center" wrapText="1"/>
    </xf>
    <xf numFmtId="0" fontId="29" fillId="17" borderId="2" applyAlignment="1" pivotButton="0" quotePrefix="0" xfId="0">
      <alignment horizontal="left" vertical="center" wrapText="1"/>
    </xf>
    <xf numFmtId="0" fontId="30" fillId="17" borderId="2" applyAlignment="1" pivotButton="0" quotePrefix="0" xfId="0">
      <alignment horizontal="left" vertical="center" wrapText="1"/>
    </xf>
    <xf numFmtId="0" fontId="31" fillId="17" borderId="2" applyAlignment="1" pivotButton="0" quotePrefix="0" xfId="0">
      <alignment horizontal="center" vertical="center" wrapText="1"/>
    </xf>
    <xf numFmtId="0" fontId="10" fillId="11" borderId="0" applyAlignment="1" pivotButton="0" quotePrefix="0" xfId="0">
      <alignment horizontal="center" vertical="center" wrapText="1"/>
    </xf>
    <xf numFmtId="0" fontId="19" fillId="6" borderId="0" applyAlignment="1" pivotButton="0" quotePrefix="0" xfId="0">
      <alignment horizontal="center" vertical="center" wrapText="1"/>
    </xf>
    <xf numFmtId="0" fontId="32" fillId="17" borderId="0" applyAlignment="1" pivotButton="0" quotePrefix="0" xfId="0">
      <alignment horizontal="left" vertical="center"/>
    </xf>
    <xf numFmtId="0" fontId="26" fillId="9" borderId="2" applyAlignment="1" pivotButton="0" quotePrefix="0" xfId="0">
      <alignment horizontal="center" vertical="center" wrapText="1"/>
    </xf>
    <xf numFmtId="0" fontId="26" fillId="17" borderId="2" applyAlignment="1" pivotButton="0" quotePrefix="0" xfId="0">
      <alignment horizontal="center" vertical="center" wrapText="1"/>
    </xf>
    <xf numFmtId="0" fontId="19" fillId="10" borderId="0" applyAlignment="1" pivotButton="0" quotePrefix="0" xfId="0">
      <alignment horizontal="center" vertical="center" wrapText="1"/>
    </xf>
    <xf numFmtId="0" fontId="33" fillId="17" borderId="0" applyAlignment="1" pivotButton="0" quotePrefix="0" xfId="0">
      <alignment horizontal="left" vertical="center"/>
    </xf>
    <xf numFmtId="0" fontId="19" fillId="16" borderId="0" applyAlignment="1" pivotButton="0" quotePrefix="0" xfId="0">
      <alignment horizontal="center" vertical="center" wrapText="1"/>
    </xf>
    <xf numFmtId="0" fontId="34" fillId="17" borderId="0" applyAlignment="1" pivotButton="0" quotePrefix="0" xfId="0">
      <alignment horizontal="left" vertical="center"/>
    </xf>
    <xf numFmtId="0" fontId="31" fillId="9" borderId="2" applyAlignment="1" pivotButton="0" quotePrefix="0" xfId="0">
      <alignment horizontal="left" vertical="center" wrapText="1"/>
    </xf>
    <xf numFmtId="0" fontId="31" fillId="17" borderId="2" applyAlignment="1" pivotButton="0" quotePrefix="0" xfId="0">
      <alignment horizontal="left" vertical="center" wrapText="1"/>
    </xf>
    <xf numFmtId="0" fontId="19" fillId="37" borderId="0" applyAlignment="1" pivotButton="0" quotePrefix="0" xfId="0">
      <alignment horizontal="center" vertical="center" wrapText="1"/>
    </xf>
    <xf numFmtId="0" fontId="35" fillId="17" borderId="0" applyAlignment="1" pivotButton="0" quotePrefix="0" xfId="0">
      <alignment horizontal="left" vertical="center"/>
    </xf>
    <xf numFmtId="0" fontId="26" fillId="9" borderId="2" applyAlignment="1" pivotButton="0" quotePrefix="0" xfId="0">
      <alignment horizontal="left" vertical="center" wrapText="1"/>
    </xf>
    <xf numFmtId="0" fontId="26" fillId="17" borderId="2" applyAlignment="1" pivotButton="0" quotePrefix="0" xfId="0">
      <alignment horizontal="left" vertical="center" wrapText="1"/>
    </xf>
    <xf numFmtId="0" fontId="19" fillId="13" borderId="0" applyAlignment="1" pivotButton="0" quotePrefix="0" xfId="0">
      <alignment horizontal="center" vertical="center" wrapText="1"/>
    </xf>
    <xf numFmtId="0" fontId="36" fillId="17" borderId="0" applyAlignment="1" pivotButton="0" quotePrefix="0" xfId="0">
      <alignment horizontal="left" vertical="center"/>
    </xf>
    <xf numFmtId="0" fontId="37" fillId="9" borderId="2" applyAlignment="1" pivotButton="0" quotePrefix="0" xfId="0">
      <alignment horizontal="left" vertical="center" wrapText="1"/>
    </xf>
    <xf numFmtId="0" fontId="37" fillId="17" borderId="2" applyAlignment="1" pivotButton="0" quotePrefix="0" xfId="0">
      <alignment horizontal="left" vertical="center" wrapText="1"/>
    </xf>
    <xf numFmtId="0" fontId="19" fillId="11" borderId="0" applyAlignment="1" pivotButton="0" quotePrefix="0" xfId="0">
      <alignment horizontal="center" vertical="center" wrapText="1"/>
    </xf>
    <xf numFmtId="0" fontId="38" fillId="17" borderId="0" applyAlignment="1" pivotButton="0" quotePrefix="0" xfId="0">
      <alignment horizontal="left" vertical="center"/>
    </xf>
    <xf numFmtId="0" fontId="39" fillId="9" borderId="2" applyAlignment="1" pivotButton="0" quotePrefix="0" xfId="0">
      <alignment horizontal="left" vertical="center" wrapText="1"/>
    </xf>
    <xf numFmtId="0" fontId="39" fillId="17" borderId="2" applyAlignment="1" pivotButton="0" quotePrefix="0" xfId="0">
      <alignment horizontal="left" vertical="center" wrapText="1"/>
    </xf>
    <xf numFmtId="0" fontId="40" fillId="4" borderId="0" applyAlignment="1" pivotButton="0" quotePrefix="0" xfId="0">
      <alignment horizontal="center" vertical="center" wrapText="1"/>
    </xf>
    <xf numFmtId="164" fontId="14" fillId="5" borderId="2" applyAlignment="1" pivotButton="0" quotePrefix="0" xfId="0">
      <alignment horizontal="right" vertical="center"/>
    </xf>
    <xf numFmtId="0" fontId="14" fillId="0" borderId="2" applyAlignment="1" pivotButton="0" quotePrefix="0" xfId="0">
      <alignment horizontal="center" vertical="center" wrapText="1"/>
    </xf>
    <xf numFmtId="0" fontId="11" fillId="38" borderId="2" applyAlignment="1" pivotButton="0" quotePrefix="0" xfId="0">
      <alignment horizontal="left" vertical="center" wrapText="1"/>
    </xf>
    <xf numFmtId="0" fontId="17" fillId="38" borderId="2" applyAlignment="1" pivotButton="0" quotePrefix="0" xfId="0">
      <alignment horizontal="center" vertical="center" wrapText="1"/>
    </xf>
    <xf numFmtId="0" fontId="14" fillId="38"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8" borderId="2" applyAlignment="1" pivotButton="0" quotePrefix="0" xfId="0">
      <alignment horizontal="center" vertical="center" wrapText="1"/>
    </xf>
    <xf numFmtId="0" fontId="11" fillId="39" borderId="2" applyAlignment="1" pivotButton="0" quotePrefix="0" xfId="0">
      <alignment horizontal="left" vertical="center" wrapText="1"/>
    </xf>
    <xf numFmtId="0" fontId="17" fillId="39" borderId="2" applyAlignment="1" pivotButton="0" quotePrefix="0" xfId="0">
      <alignment horizontal="center" vertical="center" wrapText="1"/>
    </xf>
    <xf numFmtId="0" fontId="14" fillId="39" borderId="2" applyAlignment="1" pivotButton="0" quotePrefix="0" xfId="0">
      <alignment horizontal="center" vertical="center" wrapText="1"/>
    </xf>
    <xf numFmtId="0" fontId="17" fillId="12" borderId="2" applyAlignment="1" pivotButton="0" quotePrefix="0" xfId="0">
      <alignment horizontal="center" vertical="center" wrapText="1"/>
    </xf>
    <xf numFmtId="0" fontId="10" fillId="4" borderId="0" applyAlignment="1" pivotButton="0" quotePrefix="0" xfId="0">
      <alignment horizontal="left" vertical="center" wrapText="1"/>
    </xf>
    <xf numFmtId="3" fontId="10" fillId="4" borderId="0" applyAlignment="1" pivotButton="0" quotePrefix="0" xfId="0">
      <alignment horizontal="right" vertical="center"/>
    </xf>
    <xf numFmtId="0" fontId="5" fillId="28" borderId="0" applyAlignment="1" pivotButton="0" quotePrefix="0" xfId="0">
      <alignment horizontal="center" vertical="center"/>
    </xf>
    <xf numFmtId="9" fontId="14" fillId="8" borderId="2" applyAlignment="1" pivotButton="0" quotePrefix="0" xfId="0">
      <alignment horizontal="right" vertical="center"/>
    </xf>
    <xf numFmtId="3" fontId="30" fillId="8" borderId="2" applyAlignment="1" pivotButton="0" quotePrefix="0" xfId="0">
      <alignment horizontal="right" vertical="center"/>
    </xf>
    <xf numFmtId="0" fontId="14" fillId="8" borderId="2" applyAlignment="1" pivotButton="0" quotePrefix="0" xfId="0">
      <alignment horizontal="left" vertical="center" wrapText="1"/>
    </xf>
    <xf numFmtId="0" fontId="41" fillId="8" borderId="2" applyAlignment="1" pivotButton="0" quotePrefix="0" xfId="0">
      <alignment horizontal="left" vertical="center" wrapText="1"/>
    </xf>
    <xf numFmtId="3" fontId="30" fillId="9" borderId="2" applyAlignment="1" pivotButton="0" quotePrefix="0" xfId="0">
      <alignment horizontal="right" vertical="center"/>
    </xf>
    <xf numFmtId="0" fontId="41" fillId="9" borderId="2" applyAlignment="1" pivotButton="0" quotePrefix="0" xfId="0">
      <alignment horizontal="left" vertical="center" wrapText="1"/>
    </xf>
    <xf numFmtId="0" fontId="10" fillId="11" borderId="0" applyAlignment="1" pivotButton="0" quotePrefix="0" xfId="0">
      <alignment horizontal="left" vertical="center" wrapText="1"/>
    </xf>
    <xf numFmtId="9" fontId="10" fillId="11" borderId="0" applyAlignment="1" pivotButton="0" quotePrefix="0" xfId="0">
      <alignment horizontal="right" vertical="center"/>
    </xf>
    <xf numFmtId="3" fontId="10" fillId="11" borderId="0" applyAlignment="1" pivotButton="0" quotePrefix="0" xfId="0">
      <alignment horizontal="right" vertical="center"/>
    </xf>
    <xf numFmtId="0" fontId="0" fillId="11" borderId="0" applyAlignment="1" pivotButton="0" quotePrefix="0" xfId="0">
      <alignment horizontal="general" vertical="bottom"/>
    </xf>
    <xf numFmtId="0" fontId="29" fillId="8" borderId="2" applyAlignment="1" pivotButton="0" quotePrefix="0" xfId="0">
      <alignment horizontal="left" vertical="center" wrapText="1"/>
    </xf>
    <xf numFmtId="0" fontId="5" fillId="26" borderId="0" applyAlignment="1" pivotButton="0" quotePrefix="0" xfId="0">
      <alignment horizontal="center" vertical="center"/>
    </xf>
    <xf numFmtId="3" fontId="12" fillId="5" borderId="2" applyAlignment="1" pivotButton="0" quotePrefix="0" xfId="0">
      <alignment horizontal="right" vertical="center"/>
    </xf>
    <xf numFmtId="0" fontId="15" fillId="5" borderId="2" applyAlignment="1" pivotButton="0" quotePrefix="0" xfId="0">
      <alignment horizontal="center" vertical="center" wrapText="1"/>
    </xf>
    <xf numFmtId="3" fontId="30" fillId="5" borderId="2" applyAlignment="1" pivotButton="0" quotePrefix="0" xfId="0">
      <alignment horizontal="right" vertical="center"/>
    </xf>
    <xf numFmtId="0" fontId="14" fillId="5" borderId="2" applyAlignment="1" pivotButton="0" quotePrefix="0" xfId="0">
      <alignment horizontal="left" vertical="center" wrapText="1"/>
    </xf>
    <xf numFmtId="0" fontId="0" fillId="5" borderId="2" applyAlignment="1" pivotButton="0" quotePrefix="0" xfId="0">
      <alignment horizontal="general" vertical="bottom"/>
    </xf>
    <xf numFmtId="3" fontId="42" fillId="9" borderId="2" applyAlignment="1" pivotButton="0" quotePrefix="0" xfId="0">
      <alignment horizontal="right" vertical="center"/>
    </xf>
    <xf numFmtId="3" fontId="42" fillId="5" borderId="2" applyAlignment="1" pivotButton="0" quotePrefix="0" xfId="0">
      <alignment horizontal="right" vertical="center"/>
    </xf>
    <xf numFmtId="0" fontId="10" fillId="6" borderId="0" applyAlignment="1" pivotButton="0" quotePrefix="0" xfId="0">
      <alignment horizontal="left" vertical="center" wrapText="1"/>
    </xf>
    <xf numFmtId="3" fontId="10" fillId="6" borderId="0" applyAlignment="1" pivotButton="0" quotePrefix="0" xfId="0">
      <alignment horizontal="right" vertical="center"/>
    </xf>
    <xf numFmtId="0" fontId="0" fillId="6" borderId="0" applyAlignment="1" pivotButton="0" quotePrefix="0" xfId="0">
      <alignment horizontal="general" vertical="bottom"/>
    </xf>
    <xf numFmtId="0" fontId="42" fillId="9" borderId="2" applyAlignment="1" pivotButton="0" quotePrefix="0" xfId="0">
      <alignment horizontal="center" vertical="center" wrapText="1"/>
    </xf>
    <xf numFmtId="3" fontId="30" fillId="17" borderId="2" applyAlignment="1" pivotButton="0" quotePrefix="0" xfId="0">
      <alignment horizontal="right" vertical="center"/>
    </xf>
    <xf numFmtId="0" fontId="42" fillId="17" borderId="2" applyAlignment="1" pivotButton="0" quotePrefix="0" xfId="0">
      <alignment horizontal="center" vertical="center" wrapText="1"/>
    </xf>
    <xf numFmtId="0" fontId="15" fillId="17" borderId="2" applyAlignment="1" pivotButton="0" quotePrefix="0" xfId="0">
      <alignment horizontal="center" vertical="center" wrapText="1"/>
    </xf>
    <xf numFmtId="164" fontId="30" fillId="17" borderId="2" applyAlignment="1" pivotButton="0" quotePrefix="0" xfId="0">
      <alignment horizontal="right" vertical="center"/>
    </xf>
    <xf numFmtId="164" fontId="30" fillId="9" borderId="2" applyAlignment="1" pivotButton="0" quotePrefix="0" xfId="0">
      <alignment horizontal="right" vertical="center"/>
    </xf>
    <xf numFmtId="0" fontId="37" fillId="39" borderId="2" applyAlignment="1" pivotButton="0" quotePrefix="0" xfId="0">
      <alignment horizontal="center" vertical="center" wrapText="1"/>
    </xf>
    <xf numFmtId="0" fontId="29" fillId="0" borderId="2" applyAlignment="1" pivotButton="0" quotePrefix="0" xfId="0">
      <alignment horizontal="left" vertical="center" wrapText="1"/>
    </xf>
    <xf numFmtId="0" fontId="43"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26" fillId="0" borderId="2" applyAlignment="1" pivotButton="0" quotePrefix="0" xfId="0">
      <alignment horizontal="center" vertical="center" wrapText="1"/>
    </xf>
    <xf numFmtId="0" fontId="31"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general" vertical="bottom"/>
    </xf>
    <xf numFmtId="0" fontId="44" fillId="0" borderId="0" pivotButton="0" quotePrefix="0" xfId="0"/>
    <xf numFmtId="0" fontId="45" fillId="0" borderId="0" pivotButton="0" quotePrefix="0" xfId="0"/>
    <xf numFmtId="0" fontId="46" fillId="0" borderId="0" pivotButton="0" quotePrefix="0" xfId="0"/>
    <xf numFmtId="0" fontId="47" fillId="40" borderId="7" applyAlignment="1" pivotButton="0" quotePrefix="0" xfId="0">
      <alignment horizontal="center" vertical="center" wrapText="1"/>
    </xf>
    <xf numFmtId="0" fontId="45" fillId="0" borderId="7" applyAlignment="1" pivotButton="0" quotePrefix="0" xfId="0">
      <alignment vertical="center" wrapText="1"/>
    </xf>
    <xf numFmtId="0" fontId="45" fillId="41" borderId="7" applyAlignment="1" pivotButton="0" quotePrefix="0" xfId="0">
      <alignment vertical="center" wrapText="1"/>
    </xf>
    <xf numFmtId="0" fontId="44" fillId="0" borderId="0" applyAlignment="1" pivotButton="0" quotePrefix="0" xfId="0">
      <alignment horizontal="center"/>
    </xf>
    <xf numFmtId="0" fontId="45" fillId="41" borderId="7" applyAlignment="1" pivotButton="0" quotePrefix="0" xfId="0">
      <alignment vertical="top" wrapText="1"/>
    </xf>
    <xf numFmtId="0" fontId="45" fillId="0" borderId="7" applyAlignment="1" pivotButton="0" quotePrefix="0" xfId="0">
      <alignment vertical="top" wrapText="1"/>
    </xf>
    <xf numFmtId="0" fontId="48" fillId="41" borderId="7" applyAlignment="1" pivotButton="0" quotePrefix="0" xfId="0">
      <alignment vertical="top" wrapText="1"/>
    </xf>
    <xf numFmtId="0" fontId="48" fillId="0" borderId="7" applyAlignment="1" pivotButton="0" quotePrefix="0" xfId="0">
      <alignment vertical="top" wrapText="1"/>
    </xf>
    <xf numFmtId="0" fontId="49" fillId="0" borderId="7" applyAlignment="1" pivotButton="0" quotePrefix="0" xfId="0">
      <alignment vertical="top" wrapText="1"/>
    </xf>
    <xf numFmtId="0" fontId="48" fillId="0" borderId="0" pivotButton="0" quotePrefix="0" xfId="0"/>
    <xf numFmtId="0" fontId="44" fillId="0" borderId="0" applyAlignment="1" pivotButton="0" quotePrefix="0" xfId="0">
      <alignment horizontal="left" vertical="center"/>
    </xf>
    <xf numFmtId="0" fontId="47" fillId="42" borderId="7" applyAlignment="1" pivotButton="0" quotePrefix="0" xfId="0">
      <alignment horizontal="center" vertical="center" wrapText="1"/>
    </xf>
    <xf numFmtId="0" fontId="45" fillId="0" borderId="7" applyAlignment="1" pivotButton="0" quotePrefix="0" xfId="0">
      <alignment horizontal="left" vertical="center" wrapText="1"/>
    </xf>
    <xf numFmtId="0" fontId="45" fillId="0" borderId="7" applyAlignment="1" pivotButton="0" quotePrefix="0" xfId="0">
      <alignment horizontal="right" vertical="center"/>
    </xf>
    <xf numFmtId="0" fontId="45" fillId="0" borderId="7" applyAlignment="1" pivotButton="0" quotePrefix="0" xfId="0">
      <alignment horizontal="center" vertical="center"/>
    </xf>
    <xf numFmtId="0" fontId="46" fillId="43" borderId="0" pivotButton="0" quotePrefix="0" xfId="0"/>
    <xf numFmtId="0" fontId="45" fillId="0" borderId="7" applyAlignment="1" pivotButton="0" quotePrefix="0" xfId="0">
      <alignment horizontal="left" vertical="top" wrapText="1"/>
    </xf>
    <xf numFmtId="0" fontId="47" fillId="42" borderId="7" pivotButton="0" quotePrefix="0" xfId="0"/>
    <xf numFmtId="0" fontId="45" fillId="0" borderId="0" applyAlignment="1" pivotButton="0" quotePrefix="0" xfId="0">
      <alignment horizontal="left" vertical="top" wrapText="1"/>
    </xf>
    <xf numFmtId="0" fontId="0" fillId="0" borderId="0" applyAlignment="1" pivotButton="0" quotePrefix="0" xfId="0">
      <alignment horizontal="left" vertical="top" wrapText="1"/>
    </xf>
    <xf numFmtId="0" fontId="50" fillId="0" borderId="0" applyAlignment="1" pivotButton="0" quotePrefix="0" xfId="0">
      <alignment horizontal="left" vertical="top" wrapText="1"/>
    </xf>
    <xf numFmtId="0" fontId="45" fillId="0" borderId="2" applyAlignment="1" pivotButton="0" quotePrefix="0" xfId="0">
      <alignment horizontal="center" vertical="center" wrapText="1"/>
    </xf>
    <xf numFmtId="0" fontId="46" fillId="0" borderId="2" applyAlignment="1" pivotButton="0" quotePrefix="0" xfId="0">
      <alignment horizontal="general" vertical="center" wrapText="1"/>
    </xf>
    <xf numFmtId="0" fontId="45" fillId="0" borderId="2" applyAlignment="1" pivotButton="0" quotePrefix="0" xfId="0">
      <alignment horizontal="general" vertical="center" wrapText="1"/>
    </xf>
    <xf numFmtId="3" fontId="45" fillId="0" borderId="2" applyAlignment="1" pivotButton="0" quotePrefix="0" xfId="0">
      <alignment horizontal="general" vertical="center" wrapText="1"/>
    </xf>
    <xf numFmtId="166" fontId="45" fillId="0" borderId="2" applyAlignment="1" pivotButton="0" quotePrefix="0" xfId="0">
      <alignment horizontal="general" vertical="center" wrapText="1"/>
    </xf>
    <xf numFmtId="164" fontId="45" fillId="0" borderId="2" applyAlignment="1" pivotButton="0" quotePrefix="0" xfId="0">
      <alignment horizontal="general" vertical="center" wrapText="1"/>
    </xf>
    <xf numFmtId="0" fontId="51" fillId="0" borderId="0" pivotButton="0" quotePrefix="0" xfId="0"/>
    <xf numFmtId="0" fontId="45" fillId="44" borderId="7" applyAlignment="1" pivotButton="0" quotePrefix="0" xfId="0">
      <alignment vertical="top" wrapText="1"/>
    </xf>
    <xf numFmtId="0" fontId="45" fillId="45" borderId="7" applyAlignment="1" pivotButton="0" quotePrefix="0" xfId="0">
      <alignment vertical="top" wrapText="1"/>
    </xf>
    <xf numFmtId="0" fontId="45" fillId="0" borderId="0" applyAlignment="1" pivotButton="0" quotePrefix="0" xfId="0">
      <alignment horizontal="general" vertical="bottom"/>
    </xf>
    <xf numFmtId="0" fontId="45" fillId="0" borderId="1" applyAlignment="1" pivotButton="0" quotePrefix="0" xfId="0">
      <alignment horizontal="center" vertical="center" wrapText="1"/>
    </xf>
    <xf numFmtId="0" fontId="45" fillId="0" borderId="1" applyAlignment="1" pivotButton="0" quotePrefix="0" xfId="0">
      <alignment horizontal="general" vertical="center" wrapText="1"/>
    </xf>
    <xf numFmtId="0" fontId="46" fillId="0" borderId="0" applyAlignment="1" pivotButton="0" quotePrefix="0" xfId="0">
      <alignment horizontal="general" vertical="bottom"/>
    </xf>
    <xf numFmtId="0" fontId="52" fillId="0" borderId="0" pivotButton="0" quotePrefix="0" xfId="0"/>
    <xf numFmtId="0" fontId="45" fillId="46" borderId="7" applyAlignment="1" pivotButton="0" quotePrefix="0" xfId="0">
      <alignment vertical="top" wrapText="1"/>
    </xf>
    <xf numFmtId="0" fontId="45" fillId="47" borderId="7" applyAlignment="1" pivotButton="0" quotePrefix="0" xfId="0">
      <alignment vertical="top" wrapText="1"/>
    </xf>
    <xf numFmtId="0" fontId="45" fillId="48" borderId="7" applyAlignment="1" pivotButton="0" quotePrefix="0" xfId="0">
      <alignment vertical="top" wrapText="1"/>
    </xf>
    <xf numFmtId="0" fontId="46" fillId="41" borderId="0" pivotButton="0" quotePrefix="0" xfId="0"/>
    <xf numFmtId="0" fontId="46" fillId="0" borderId="7" applyAlignment="1" pivotButton="0" quotePrefix="0" xfId="0">
      <alignment horizontal="left" vertical="center"/>
    </xf>
    <xf numFmtId="0" fontId="0" fillId="0" borderId="10" pivotButton="0" quotePrefix="0" xfId="0"/>
    <xf numFmtId="0" fontId="0" fillId="0" borderId="11"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E91E63"/>
      <rgbColor rgb="FF00FF00"/>
      <rgbColor rgb="FF0000FF"/>
      <rgbColor rgb="FFFEF9E7"/>
      <rgbColor rgb="FFFF5722"/>
      <rgbColor rgb="FF00FFFF"/>
      <rgbColor rgb="FFC62828"/>
      <rgbColor rgb="FF1D7A3A"/>
      <rgbColor rgb="FF010101"/>
      <rgbColor rgb="FF2C5F8A"/>
      <rgbColor rgb="FF800080"/>
      <rgbColor rgb="FF0288D1"/>
      <rgbColor rgb="FFCCCCCC"/>
      <rgbColor rgb="FF7F8C8D"/>
      <rgbColor rgb="FF4285F4"/>
      <rgbColor rgb="FF9C27B0"/>
      <rgbColor rgb="FFFFF9C4"/>
      <rgbColor rgb="FFD1F2EB"/>
      <rgbColor rgb="FF660066"/>
      <rgbColor rgb="FFE8833A"/>
      <rgbColor rgb="FF0068FF"/>
      <rgbColor rgb="FFD6E4F7"/>
      <rgbColor rgb="FF2E6DB4"/>
      <rgbColor rgb="FFFF00FF"/>
      <rgbColor rgb="FFF5F5F5"/>
      <rgbColor rgb="FF00FFFF"/>
      <rgbColor rgb="FF800080"/>
      <rgbColor rgb="FFF44336"/>
      <rgbColor rgb="FF2E75B6"/>
      <rgbColor rgb="FF0000FF"/>
      <rgbColor rgb="FF00BCD4"/>
      <rgbColor rgb="FFF2F7FB"/>
      <rgbColor rgb="FFD6F0E0"/>
      <rgbColor rgb="FFFDEBD0"/>
      <rgbColor rgb="FFE0E0E0"/>
      <rgbColor rgb="FFF5EEF8"/>
      <rgbColor rgb="FFF2F3F4"/>
      <rgbColor rgb="FFFADBD8"/>
      <rgbColor rgb="FF1877F2"/>
      <rgbColor rgb="FF4FC3F7"/>
      <rgbColor rgb="FF99CC00"/>
      <rgbColor rgb="FFFF6F00"/>
      <rgbColor rgb="FFE67E22"/>
      <rgbColor rgb="FFFF6B00"/>
      <rgbColor rgb="FF607D8B"/>
      <rgbColor rgb="FF4CAF50"/>
      <rgbColor rgb="FF1B3A6B"/>
      <rgbColor rgb="FF16A085"/>
      <rgbColor rgb="FF1B2A4A"/>
      <rgbColor rgb="FF2C3E50"/>
      <rgbColor rgb="FFC0392B"/>
      <rgbColor rgb="FF8E44AD"/>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I. Ch&#226;n Dung KH'!A1" TargetMode="External" Id="rId1"/><Relationship Type="http://schemas.openxmlformats.org/officeDocument/2006/relationships/hyperlink" Target="#'0. Dashboard'!A1" TargetMode="External" Id="rId2"/><Relationship Type="http://schemas.openxmlformats.org/officeDocument/2006/relationships/hyperlink" Target="#'1. Input'!A1" TargetMode="External" Id="rId3"/><Relationship Type="http://schemas.openxmlformats.org/officeDocument/2006/relationships/hyperlink" Target="#'2. Paid Media'!A1" TargetMode="External" Id="rId4"/><Relationship Type="http://schemas.openxmlformats.org/officeDocument/2006/relationships/hyperlink" Target="#'3. Master Table'!A1" TargetMode="External" Id="rId5"/><Relationship Type="http://schemas.openxmlformats.org/officeDocument/2006/relationships/hyperlink" Target="#'4. Funnel'!A1" TargetMode="External" Id="rId6"/><Relationship Type="http://schemas.openxmlformats.org/officeDocument/2006/relationships/hyperlink" Target="#'5. Google Ads Chi Ti&#7871;t'!A1" TargetMode="External" Id="rId7"/><Relationship Type="http://schemas.openxmlformats.org/officeDocument/2006/relationships/hyperlink" Target="#'6. Meta Ads Chi Ti&#7871;t'!A1" TargetMode="External" Id="rId8"/><Relationship Type="http://schemas.openxmlformats.org/officeDocument/2006/relationships/hyperlink" Target="#'7. TikTok Ads Chi Ti&#7871;t'!A1" TargetMode="External" Id="rId9"/><Relationship Type="http://schemas.openxmlformats.org/officeDocument/2006/relationships/hyperlink" Target="#'8. GoHighLevel Setup'!A1" TargetMode="External" Id="rId10"/><Relationship Type="http://schemas.openxmlformats.org/officeDocument/2006/relationships/hyperlink" Target="#'9. GTM Tracking'!A1" TargetMode="External" Id="rId11"/><Relationship Type="http://schemas.openxmlformats.org/officeDocument/2006/relationships/hyperlink" Target="#'10. L&#7883;ch C&#244;ng Vi&#7879;c Marketer'!A1" TargetMode="External" Id="rId12"/><Relationship Type="http://schemas.openxmlformats.org/officeDocument/2006/relationships/hyperlink" Target="#'11. Timeline'!A1" TargetMode="External" Id="rId13"/><Relationship Type="http://schemas.openxmlformats.org/officeDocument/2006/relationships/hyperlink" Target="#'12. Danh b&#7841;'!A1" TargetMode="External" Id="rId14"/><Relationship Type="http://schemas.openxmlformats.org/officeDocument/2006/relationships/hyperlink" Target="#'13. Zalo Ads + OA'!A1" TargetMode="External" Id="rId15"/><Relationship Type="http://schemas.openxmlformats.org/officeDocument/2006/relationships/hyperlink" Target="#'14. Weekly Battleplan'!A1" TargetMode="External" Id="rId16"/><Relationship Type="http://schemas.openxmlformats.org/officeDocument/2006/relationships/hyperlink" Target="#'A. KPI Weekly Tracker'!A1" TargetMode="External" Id="rId17"/><Relationship Type="http://schemas.openxmlformats.org/officeDocument/2006/relationships/hyperlink" Target="#'B. Todo Daily'!A1" TargetMode="External" Id="rId18"/><Relationship Type="http://schemas.openxmlformats.org/officeDocument/2006/relationships/hyperlink" Target="#'C. Todo Weekly'!A1" TargetMode="External" Id="rId19"/><Relationship Type="http://schemas.openxmlformats.org/officeDocument/2006/relationships/hyperlink" Target="#'D. Todo Monthly'!A1" TargetMode="External" Id="rId20"/><Relationship Type="http://schemas.openxmlformats.org/officeDocument/2006/relationships/hyperlink" Target="#'E. Campaign Tracker'!A1" TargetMode="External" Id="rId21"/><Relationship Type="http://schemas.openxmlformats.org/officeDocument/2006/relationships/hyperlink" Target="#'F. Meta Ads Plan'!A1" TargetMode="External" Id="rId22"/><Relationship Type="http://schemas.openxmlformats.org/officeDocument/2006/relationships/hyperlink" Target="#'G. Google Ads Plan'!A1" TargetMode="External" Id="rId23"/><Relationship Type="http://schemas.openxmlformats.org/officeDocument/2006/relationships/hyperlink" Target="#'H. Birch + GHL Integration'!A1" TargetMode="External" Id="rId24"/><Relationship Type="http://schemas.openxmlformats.org/officeDocument/2006/relationships/hyperlink" Target="#'J. Webinar Chi Ti&#7871;t'!A1" TargetMode="External" Id="rId25"/><Relationship Type="http://schemas.openxmlformats.org/officeDocument/2006/relationships/hyperlink" Target="#'K. Social Media Calendar'!A1" TargetMode="External" Id="rId26"/><Relationship Type="http://schemas.openxmlformats.org/officeDocument/2006/relationships/hyperlink" Target="#'L. Analytics &amp; Remarketing'!A1" TargetMode="External" Id="rId27"/><Relationship Type="http://schemas.openxmlformats.org/officeDocument/2006/relationships/hyperlink" Target="#'M. Video Marketing'!A1" TargetMode="External" Id="rId28"/><Relationship Type="http://schemas.openxmlformats.org/officeDocument/2006/relationships/hyperlink" Target="#'N. Email Marketing'!A1" TargetMode="External" Id="rId29"/><Relationship Type="http://schemas.openxmlformats.org/officeDocument/2006/relationships/hyperlink" Target="#'O. Nu&#244;i K&#234;nh Social Media'!A1" TargetMode="External" Id="rId30"/><Relationship Type="http://schemas.openxmlformats.org/officeDocument/2006/relationships/hyperlink" Target="#'P. Setup &amp; &#272;&#7891;ng B&#7897;'!A1" TargetMode="External" Id="rId31"/></Relationships>
</file>

<file path=xl/worksheets/_rels/sheet24.xml.rels><Relationships xmlns="http://schemas.openxmlformats.org/package/2006/relationships"><Relationship Type="http://schemas.openxmlformats.org/officeDocument/2006/relationships/hyperlink" Target="#'P. Setup &amp; &#272;&#7891;ng B&#7897;'!A1" TargetMode="External" Id="rId1"/></Relationships>
</file>

<file path=xl/worksheets/_rels/sheet26.xml.rels><Relationships xmlns="http://schemas.openxmlformats.org/package/2006/relationships"><Relationship Type="http://schemas.openxmlformats.org/officeDocument/2006/relationships/hyperlink" Target="#'O. Nu&#244;i K&#234;nh Social Media'!A1" TargetMode="External" Id="rId1"/></Relationships>
</file>

<file path=xl/worksheets/sheet1.xml><?xml version="1.0" encoding="utf-8"?>
<worksheet xmlns="http://schemas.openxmlformats.org/spreadsheetml/2006/main">
  <sheetPr filterMode="0">
    <tabColor rgb="FFFF6F00"/>
    <outlinePr summaryBelow="1" summaryRight="1"/>
    <pageSetUpPr fitToPage="0"/>
  </sheetPr>
  <dimension ref="A1:P5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16"/>
  </cols>
  <sheetData>
    <row r="1" ht="17.35" customHeight="1" s="248">
      <c r="A1" s="249" t="inlineStr">
        <is>
          <t>CHÂN DUNG KHÁCH HÀNG (PERSONA) – THEO SẢN PHẨM VÀ ĐỊA ĐIỂM</t>
        </is>
      </c>
    </row>
    <row r="2" ht="15" customHeight="1" s="248">
      <c r="A2" s="247" t="inlineStr">
        <is>
          <t>Phân tích chi tiết đối tượng phụ huynh mục tiêu, nỗi đau, insight và messaging phù hợp cho từng cấp học và từng địa điểm</t>
        </is>
      </c>
    </row>
    <row r="4" ht="15" customHeight="1" s="248">
      <c r="A4" s="247" t="inlineStr">
        <is>
          <t>A. PERSONA THEO CẤP HỌC</t>
        </is>
      </c>
    </row>
    <row r="5" ht="26.85" customHeight="1" s="248">
      <c r="A5" s="250" t="inlineStr">
        <is>
          <t>Cấp học</t>
        </is>
      </c>
      <c r="B5" s="250" t="inlineStr">
        <is>
          <t>Tên Persona</t>
        </is>
      </c>
      <c r="C5" s="250" t="inlineStr">
        <is>
          <t>Tuổi</t>
        </is>
      </c>
      <c r="D5" s="250" t="inlineStr">
        <is>
          <t>Giới tính</t>
        </is>
      </c>
      <c r="E5" s="250" t="inlineStr">
        <is>
          <t>Nghề nghiệp</t>
        </is>
      </c>
      <c r="F5" s="250" t="inlineStr">
        <is>
          <t>Thu nhập/tháng</t>
        </is>
      </c>
      <c r="G5" s="250" t="inlineStr">
        <is>
          <t>Hành vi Online</t>
        </is>
      </c>
      <c r="H5" s="250" t="inlineStr">
        <is>
          <t>Kênh tiếp cận chính</t>
        </is>
      </c>
      <c r="I5" s="250" t="inlineStr">
        <is>
          <t>Nỗi đau #1</t>
        </is>
      </c>
      <c r="J5" s="250" t="inlineStr">
        <is>
          <t>Nỗi đau #2</t>
        </is>
      </c>
      <c r="K5" s="250" t="inlineStr">
        <is>
          <t>Nỗi đau #3</t>
        </is>
      </c>
      <c r="L5" s="250" t="inlineStr">
        <is>
          <t>Insight mua hàng</t>
        </is>
      </c>
      <c r="M5" s="250" t="inlineStr">
        <is>
          <t>Messaging chính</t>
        </is>
      </c>
      <c r="N5" s="250" t="inlineStr">
        <is>
          <t>CTA hiệu quả</t>
        </is>
      </c>
      <c r="O5" s="250" t="inlineStr">
        <is>
          <t>Objection thường gặp</t>
        </is>
      </c>
      <c r="P5" s="250" t="inlineStr">
        <is>
          <t>Cách xử lý Objection</t>
        </is>
      </c>
    </row>
    <row r="6" ht="35.05" customHeight="1" s="248">
      <c r="A6" s="251" t="inlineStr">
        <is>
          <t>MN (Mầm non)</t>
        </is>
      </c>
      <c r="B6" s="251" t="inlineStr">
        <is>
          <t>Chị Lan – Mẹ bỉm sữa</t>
        </is>
      </c>
      <c r="C6" s="251" t="inlineStr">
        <is>
          <t>26-35</t>
        </is>
      </c>
      <c r="D6" s="251" t="inlineStr">
        <is>
          <t>Nữ 85%</t>
        </is>
      </c>
      <c r="E6" s="251" t="inlineStr">
        <is>
          <t>Nhân viên VP, kinh doanh nhỏ</t>
        </is>
      </c>
      <c r="F6" s="251" t="inlineStr">
        <is>
          <t>15-30 triệu</t>
        </is>
      </c>
      <c r="G6" s="251" t="inlineStr">
        <is>
          <t>Facebook 3h/ngày, Zalo, TikTok, group MN</t>
        </is>
      </c>
      <c r="H6" s="251" t="inlineStr">
        <is>
          <t>Meta Ads, Zalo OA, TikTok</t>
        </is>
      </c>
      <c r="I6" s="251" t="inlineStr">
        <is>
          <t>Sợ con bị bắt nạt / không an toàn</t>
        </is>
      </c>
      <c r="J6" s="251" t="inlineStr">
        <is>
          <t>Thiếu thời gian đưa đón, cần trường gần nhà</t>
        </is>
      </c>
      <c r="K6" s="251" t="inlineStr">
        <is>
          <t>Lo giáo viên không tận tâm, thay đổi liên tục</t>
        </is>
      </c>
      <c r="L6" s="251" t="inlineStr">
        <is>
          <t>Tin review PH khác &gt; quảng cáo; Quyết định nhanh nếu tour ấn tượng</t>
        </is>
      </c>
      <c r="M6" s="251" t="inlineStr">
        <is>
          <t>Môi trường an toàn, camera 24/7, GV tận tâm, gần nhà</t>
        </is>
      </c>
      <c r="N6" s="251" t="inlineStr">
        <is>
          <t>Đăng ký tham quan trường MIỄN PHÍ</t>
        </is>
      </c>
      <c r="O6" s="251" t="inlineStr">
        <is>
          <t>Học phí cao hơn trường khác</t>
        </is>
      </c>
      <c r="P6" s="251" t="inlineStr">
        <is>
          <t>So sánh giá trị: ăn sạch, GV/trẻ tỷ lệ thấp, camera, ngoại khóa</t>
        </is>
      </c>
    </row>
    <row r="7" ht="23.85" customHeight="1" s="248">
      <c r="A7" s="252" t="inlineStr">
        <is>
          <t>MN (Mầm non)</t>
        </is>
      </c>
      <c r="B7" s="252" t="inlineStr">
        <is>
          <t>Anh Tuấn – Ba trẻ quan tâm GD</t>
        </is>
      </c>
      <c r="C7" s="252" t="inlineStr">
        <is>
          <t>30-40</t>
        </is>
      </c>
      <c r="D7" s="252" t="inlineStr">
        <is>
          <t>Nam 15%</t>
        </is>
      </c>
      <c r="E7" s="252" t="inlineStr">
        <is>
          <t>Quản lý, kỹ sư, CNTT</t>
        </is>
      </c>
      <c r="F7" s="252" t="inlineStr">
        <is>
          <t>25-50 triệu</t>
        </is>
      </c>
      <c r="G7" s="252" t="inlineStr">
        <is>
          <t>Google Search, YouTube review</t>
        </is>
      </c>
      <c r="H7" s="252" t="inlineStr">
        <is>
          <t>Google Ads, YouTube</t>
        </is>
      </c>
      <c r="I7" s="252" t="inlineStr">
        <is>
          <t>Muốn con phát triển toàn diện sớm</t>
        </is>
      </c>
      <c r="J7" s="252" t="inlineStr">
        <is>
          <t>Lo trường không có chương trình song ngữ tốt</t>
        </is>
      </c>
      <c r="K7" s="252" t="inlineStr">
        <is>
          <t>Không biết trường nào uy tín gần nhà</t>
        </is>
      </c>
      <c r="L7" s="252" t="inlineStr">
        <is>
          <t>So sánh kỹ trên Google trước khi tour</t>
        </is>
      </c>
      <c r="M7" s="252" t="inlineStr">
        <is>
          <t>Song ngữ từ 3 tuổi, chương trình STEAM</t>
        </is>
      </c>
      <c r="N7" s="252" t="inlineStr">
        <is>
          <t>Xem chi tiết chương trình học</t>
        </is>
      </c>
      <c r="O7" s="252" t="inlineStr">
        <is>
          <t>Muốn chờ vợ quyết định</t>
        </is>
      </c>
      <c r="P7" s="252" t="inlineStr">
        <is>
          <t>Mời cả 2 PH cùng tour, tặng ưu đãi</t>
        </is>
      </c>
    </row>
    <row r="8" ht="35.05" customHeight="1" s="248">
      <c r="A8" s="251" t="inlineStr">
        <is>
          <t>TH (Tiểu học)</t>
        </is>
      </c>
      <c r="B8" s="251" t="inlineStr">
        <is>
          <t>Chị Mai – PH lớp 1 lo lắng</t>
        </is>
      </c>
      <c r="C8" s="251" t="inlineStr">
        <is>
          <t>30-42</t>
        </is>
      </c>
      <c r="D8" s="251" t="inlineStr">
        <is>
          <t>Nữ 75%</t>
        </is>
      </c>
      <c r="E8" s="251" t="inlineStr">
        <is>
          <t>Nhân viên, giáo viên, kinh doanh</t>
        </is>
      </c>
      <c r="F8" s="251" t="inlineStr">
        <is>
          <t>20-40 triệu</t>
        </is>
      </c>
      <c r="G8" s="251" t="inlineStr">
        <is>
          <t>Facebook, Zalo group, tìm Google</t>
        </is>
      </c>
      <c r="H8" s="251" t="inlineStr">
        <is>
          <t>Meta Ads, Google Search, Zalo</t>
        </is>
      </c>
      <c r="I8" s="251" t="inlineStr">
        <is>
          <t>Sợ con không theo kịp chương trình</t>
        </is>
      </c>
      <c r="J8" s="251" t="inlineStr">
        <is>
          <t>Lo trường tư "nhẹ" hơn trường công</t>
        </is>
      </c>
      <c r="K8" s="251" t="inlineStr">
        <is>
          <t>Áp lực tiếng Anh – con chưa có nền tảng</t>
        </is>
      </c>
      <c r="L8" s="251" t="inlineStr">
        <is>
          <t>Tham khảo 3-5 trường trước khi chọn; Tour 2 lần</t>
        </is>
      </c>
      <c r="M8" s="251" t="inlineStr">
        <is>
          <t>Lộ trình tiếng Anh rõ ràng, sĩ số nhỏ 25-30, GV theo sát</t>
        </is>
      </c>
      <c r="N8" s="251" t="inlineStr">
        <is>
          <t>Đặt lịch tham quan + tư vấn 1-1</t>
        </is>
      </c>
      <c r="O8" s="251" t="inlineStr">
        <is>
          <t>Trường công miễn phí mà cũng tốt</t>
        </is>
      </c>
      <c r="P8" s="251" t="inlineStr">
        <is>
          <t>Sĩ số 50 vs 25, không ngoại khóa, GV không theo sát</t>
        </is>
      </c>
    </row>
    <row r="9" ht="35.05" customHeight="1" s="248">
      <c r="A9" s="252" t="inlineStr">
        <is>
          <t>TH (Tiểu học)</t>
        </is>
      </c>
      <c r="B9" s="252" t="inlineStr">
        <is>
          <t>Anh Hùng – PH chuyển con từ công sang tư</t>
        </is>
      </c>
      <c r="C9" s="252" t="inlineStr">
        <is>
          <t>35-45</t>
        </is>
      </c>
      <c r="D9" s="252" t="inlineStr">
        <is>
          <t>Nam 25%</t>
        </is>
      </c>
      <c r="E9" s="252" t="inlineStr">
        <is>
          <t>Chủ DN nhỏ, quản lý</t>
        </is>
      </c>
      <c r="F9" s="252" t="inlineStr">
        <is>
          <t>30-60 triệu</t>
        </is>
      </c>
      <c r="G9" s="252" t="inlineStr">
        <is>
          <t>Google, Facebook, hỏi bạn bè</t>
        </is>
      </c>
      <c r="H9" s="252" t="inlineStr">
        <is>
          <t>Google Ads, Remarketing</t>
        </is>
      </c>
      <c r="I9" s="252" t="inlineStr">
        <is>
          <t>Con đang học công nhưng không phát triển</t>
        </is>
      </c>
      <c r="J9" s="252" t="inlineStr">
        <is>
          <t>Muốn môi trường tốt hơn, ít bạo lực</t>
        </is>
      </c>
      <c r="K9" s="252" t="inlineStr">
        <is>
          <t>Lo con không thích nghi khi chuyển</t>
        </is>
      </c>
      <c r="L9" s="252" t="inlineStr">
        <is>
          <t>Quyết định nhanh khi thấy cơ sở vật chất tốt</t>
        </is>
      </c>
      <c r="M9" s="252" t="inlineStr">
        <is>
          <t>Chuyển cấp linh hoạt, hỗ trợ hòa nhập, CSVC hiện đại</t>
        </is>
      </c>
      <c r="N9" s="252" t="inlineStr">
        <is>
          <t>Đăng ký chuyển trường – Hỗ trợ hồ sơ nhanh</t>
        </is>
      </c>
      <c r="O9" s="252" t="inlineStr">
        <is>
          <t>Con đã quen trường cũ</t>
        </is>
      </c>
      <c r="P9" s="252" t="inlineStr">
        <is>
          <t>Hỗ trợ hòa nhập 2 tuần, buddy system</t>
        </is>
      </c>
    </row>
    <row r="10" ht="35.05" customHeight="1" s="248">
      <c r="A10" s="251" t="inlineStr">
        <is>
          <t>THCS (Cấp 2)</t>
        </is>
      </c>
      <c r="B10" s="251" t="inlineStr">
        <is>
          <t>Chị Hoa – PH lớp 6 giai đoạn bản lề</t>
        </is>
      </c>
      <c r="C10" s="251" t="inlineStr">
        <is>
          <t>35-48</t>
        </is>
      </c>
      <c r="D10" s="251" t="inlineStr">
        <is>
          <t>Nữ 65%</t>
        </is>
      </c>
      <c r="E10" s="251" t="inlineStr">
        <is>
          <t>Nhân viên, công chức, kinh doanh</t>
        </is>
      </c>
      <c r="F10" s="251" t="inlineStr">
        <is>
          <t>25-50 triệu</t>
        </is>
      </c>
      <c r="G10" s="251" t="inlineStr">
        <is>
          <t>Facebook, Google, Webinar, Forum</t>
        </is>
      </c>
      <c r="H10" s="251" t="inlineStr">
        <is>
          <t>Meta Ads, Google Ads, Webinar</t>
        </is>
      </c>
      <c r="I10" s="251" t="inlineStr">
        <is>
          <t>Sợ con sa sút vì giai đoạn dậy thì</t>
        </is>
      </c>
      <c r="J10" s="251" t="inlineStr">
        <is>
          <t>Lo trường không theo sát tâm lý HS</t>
        </is>
      </c>
      <c r="K10" s="251" t="inlineStr">
        <is>
          <t>Áp lực kết quả thi cuối cấp</t>
        </is>
      </c>
      <c r="L10" s="251" t="inlineStr">
        <is>
          <t>Tham gia webinar trước khi tour; Cần dữ liệu đầu ra</t>
        </is>
      </c>
      <c r="M10" s="251" t="inlineStr">
        <is>
          <t>Theo sát HS giai đoạn bản lề, GV chủ nhiệm tâm huyết</t>
        </is>
      </c>
      <c r="N10" s="251" t="inlineStr">
        <is>
          <t>Đăng ký webinar: Lộ trình con tôi sau lớp 5</t>
        </is>
      </c>
      <c r="O10" s="251" t="inlineStr">
        <is>
          <t>Học phí THCS cao hơn TH nhiều</t>
        </is>
      </c>
      <c r="P10" s="251" t="inlineStr">
        <is>
          <t>ROI dài hạn: nền tảng cho lớp 10, đại học</t>
        </is>
      </c>
    </row>
    <row r="11" ht="35.05" customHeight="1" s="248">
      <c r="A11" s="252" t="inlineStr">
        <is>
          <t>THCS (Cấp 2)</t>
        </is>
      </c>
      <c r="B11" s="252" t="inlineStr">
        <is>
          <t>Anh Minh – PH muốn con có lộ trình rõ</t>
        </is>
      </c>
      <c r="C11" s="252" t="inlineStr">
        <is>
          <t>38-50</t>
        </is>
      </c>
      <c r="D11" s="252" t="inlineStr">
        <is>
          <t>Nam 35%</t>
        </is>
      </c>
      <c r="E11" s="252" t="inlineStr">
        <is>
          <t>Quản lý, chuyên gia, DN</t>
        </is>
      </c>
      <c r="F11" s="252" t="inlineStr">
        <is>
          <t>40-80 triệu</t>
        </is>
      </c>
      <c r="G11" s="252" t="inlineStr">
        <is>
          <t>Google Search, YouTube, LinkedIn</t>
        </is>
      </c>
      <c r="H11" s="252" t="inlineStr">
        <is>
          <t>Google Ads, YouTube, Webinar</t>
        </is>
      </c>
      <c r="I11" s="252" t="inlineStr">
        <is>
          <t>Muốn con có định hướng nghề nghiệp sớm</t>
        </is>
      </c>
      <c r="J11" s="252" t="inlineStr">
        <is>
          <t>Lo trường chỉ dạy lý thuyết, thiếu thực hành</t>
        </is>
      </c>
      <c r="K11" s="252" t="inlineStr">
        <is>
          <t>Muốn chương trình quốc tế/song ngữ chuẩn</t>
        </is>
      </c>
      <c r="L11" s="252" t="inlineStr">
        <is>
          <t>So sánh đầu ra, tỷ lệ đỗ THPT top, chương trình quốc tế</t>
        </is>
      </c>
      <c r="M11" s="252" t="inlineStr">
        <is>
          <t>Lộ trình 6→12 rõ ràng, chương trình Cambridge/IB option</t>
        </is>
      </c>
      <c r="N11" s="252" t="inlineStr">
        <is>
          <t>Xem lộ trình đào tạo 7 năm</t>
        </is>
      </c>
      <c r="O11" s="252" t="inlineStr">
        <is>
          <t>Trường xa nhà</t>
        </is>
      </c>
      <c r="P11" s="252" t="inlineStr">
        <is>
          <t>Xe đưa đón, kế hoạch bán trú</t>
        </is>
      </c>
    </row>
    <row r="12" ht="35.05" customHeight="1" s="248">
      <c r="A12" s="251" t="inlineStr">
        <is>
          <t>THPT (Cấp 3)</t>
        </is>
      </c>
      <c r="B12" s="251" t="inlineStr">
        <is>
          <t>Chị Thảo – PH lớp 10 áp lực thi</t>
        </is>
      </c>
      <c r="C12" s="251" t="inlineStr">
        <is>
          <t>38-52</t>
        </is>
      </c>
      <c r="D12" s="251" t="inlineStr">
        <is>
          <t>Nữ 60%</t>
        </is>
      </c>
      <c r="E12" s="251" t="inlineStr">
        <is>
          <t>Nhân viên, giáo viên, kinh doanh</t>
        </is>
      </c>
      <c r="F12" s="251" t="inlineStr">
        <is>
          <t>30-60 triệu</t>
        </is>
      </c>
      <c r="G12" s="251" t="inlineStr">
        <is>
          <t>Facebook, Google, Webinar, tìm học bổng</t>
        </is>
      </c>
      <c r="H12" s="251" t="inlineStr">
        <is>
          <t>Google Ads, Meta Ads, Webinar</t>
        </is>
      </c>
      <c r="I12" s="251" t="inlineStr">
        <is>
          <t>Lo con không đỗ trường công top</t>
        </is>
      </c>
      <c r="J12" s="251" t="inlineStr">
        <is>
          <t>Áp lực tài chính: học phí THPT tư cao</t>
        </is>
      </c>
      <c r="K12" s="251" t="inlineStr">
        <is>
          <t>Lo con không vào được đại học tốt</t>
        </is>
      </c>
      <c r="L12" s="251" t="inlineStr">
        <is>
          <t>Quyết định theo học bổng + đầu ra đại học</t>
        </is>
      </c>
      <c r="M12" s="251" t="inlineStr">
        <is>
          <t>Học bổng lên đến 100%, đầu ra ĐH top, tỷ lệ đỗ ĐH 95%+</t>
        </is>
      </c>
      <c r="N12" s="251" t="inlineStr">
        <is>
          <t>Đăng ký thi học bổng lớp 10</t>
        </is>
      </c>
      <c r="O12" s="251" t="inlineStr">
        <is>
          <t>Trường tư chất lượng không bằng chuyên</t>
        </is>
      </c>
      <c r="P12" s="251" t="inlineStr">
        <is>
          <t>Data đầu ra: % ĐH top, học bổng du học, IELTS</t>
        </is>
      </c>
    </row>
    <row r="13" ht="35.05" customHeight="1" s="248">
      <c r="A13" s="252" t="inlineStr">
        <is>
          <t>THPT (Cấp 3)</t>
        </is>
      </c>
      <c r="B13" s="252" t="inlineStr">
        <is>
          <t>Anh Đức – PH chuyển trường lớp 10-11</t>
        </is>
      </c>
      <c r="C13" s="252" t="inlineStr">
        <is>
          <t>40-55</t>
        </is>
      </c>
      <c r="D13" s="252" t="inlineStr">
        <is>
          <t>Nam 40%</t>
        </is>
      </c>
      <c r="E13" s="252" t="inlineStr">
        <is>
          <t>Chủ DN, quản lý cấp cao</t>
        </is>
      </c>
      <c r="F13" s="252" t="inlineStr">
        <is>
          <t>50-100+ triệu</t>
        </is>
      </c>
      <c r="G13" s="252" t="inlineStr">
        <is>
          <t>Google Search, YouTube, referral</t>
        </is>
      </c>
      <c r="H13" s="252" t="inlineStr">
        <is>
          <t>Google Ads, Remarketing</t>
        </is>
      </c>
      <c r="I13" s="252" t="inlineStr">
        <is>
          <t>Con đang học trường không phù hợp</t>
        </is>
      </c>
      <c r="J13" s="252" t="inlineStr">
        <is>
          <t>Muốn môi trường quốc tế + du học pathway</t>
        </is>
      </c>
      <c r="K13" s="252" t="inlineStr">
        <is>
          <t>Cần chuyển nhanh, ít gián đoạn</t>
        </is>
      </c>
      <c r="L13" s="252" t="inlineStr">
        <is>
          <t>Quyết định rất nhanh khi thấy phù hợp</t>
        </is>
      </c>
      <c r="M13" s="252" t="inlineStr">
        <is>
          <t>Chuyển trường linh hoạt, nhận hồ sơ quanh năm, pathway du học</t>
        </is>
      </c>
      <c r="N13" s="252" t="inlineStr">
        <is>
          <t>Liên hệ tư vấn chuyển trường 24h</t>
        </is>
      </c>
      <c r="O13" s="252" t="inlineStr">
        <is>
          <t>Sợ con mất bạn bè</t>
        </is>
      </c>
      <c r="P13" s="252" t="inlineStr">
        <is>
          <t>Chương trình hòa nhập, buddy system, câu lạc bộ</t>
        </is>
      </c>
    </row>
    <row r="16" ht="15" customHeight="1" s="248">
      <c r="A16" s="253" t="inlineStr">
        <is>
          <t>B. NỖI ĐAU KHÁCH HÀNG THEO ĐỊA ĐIỂM</t>
        </is>
      </c>
    </row>
    <row r="17" ht="26.85" customHeight="1" s="248">
      <c r="A17" s="250" t="inlineStr">
        <is>
          <t>Địa điểm</t>
        </is>
      </c>
      <c r="B17" s="250" t="inlineStr">
        <is>
          <t>Tên cũ (trước sáp nhập)</t>
        </is>
      </c>
      <c r="C17" s="250" t="inlineStr">
        <is>
          <t>Tên mới (hiện tại)</t>
        </is>
      </c>
      <c r="D17" s="250" t="inlineStr">
        <is>
          <t>Cấp học</t>
        </is>
      </c>
      <c r="E17" s="250" t="inlineStr">
        <is>
          <t>Đặc điểm PH khu vực</t>
        </is>
      </c>
      <c r="F17" s="250" t="inlineStr">
        <is>
          <t>Nỗi đau đặc thù #1</t>
        </is>
      </c>
      <c r="G17" s="250" t="inlineStr">
        <is>
          <t>Nỗi đau đặc thù #2</t>
        </is>
      </c>
      <c r="H17" s="250" t="inlineStr">
        <is>
          <t>Nỗi đau đặc thù #3</t>
        </is>
      </c>
      <c r="I17" s="250" t="inlineStr">
        <is>
          <t>Messaging phù hợp</t>
        </is>
      </c>
      <c r="J17" s="250" t="inlineStr">
        <is>
          <t>Kênh ưu tiên</t>
        </is>
      </c>
      <c r="K17" s="250" t="inlineStr">
        <is>
          <t>Đối thủ chính</t>
        </is>
      </c>
      <c r="L17" s="250" t="inlineStr">
        <is>
          <t>Lợi thế VA tại đây</t>
        </is>
      </c>
    </row>
    <row r="18" ht="35.05" customHeight="1" s="248">
      <c r="A18" s="251" t="inlineStr">
        <is>
          <t>MN VA Gò Vấp</t>
        </is>
      </c>
      <c r="B18" s="251" t="inlineStr">
        <is>
          <t>Q. Gò Vấp, TP.HCM</t>
        </is>
      </c>
      <c r="C18" s="251" t="inlineStr">
        <is>
          <t>Q. Gò Vấp, TP.HCM</t>
        </is>
      </c>
      <c r="D18" s="251" t="inlineStr">
        <is>
          <t>MN</t>
        </is>
      </c>
      <c r="E18" s="251" t="inlineStr">
        <is>
          <t>Thu nhập trung bình-khá, đông dân, nhiều gia đình trẻ</t>
        </is>
      </c>
      <c r="F18" s="251" t="inlineStr">
        <is>
          <t>Trường MN quá tải, thiếu chỗ gửi an toàn</t>
        </is>
      </c>
      <c r="G18" s="251" t="inlineStr">
        <is>
          <t>Giao thông kẹt, cần trường gần nhà</t>
        </is>
      </c>
      <c r="H18" s="251" t="inlineStr">
        <is>
          <t>Lo bạo lực, thiếu camera giám sát</t>
        </is>
      </c>
      <c r="I18" s="251" t="inlineStr">
        <is>
          <t>An toàn #1, gần nhà, camera 24/7</t>
        </is>
      </c>
      <c r="J18" s="251" t="inlineStr">
        <is>
          <t>Meta Ads, Zalo OA</t>
        </is>
      </c>
      <c r="K18" s="251" t="inlineStr">
        <is>
          <t>MN Sài Gòn, MN Sao Mai</t>
        </is>
      </c>
      <c r="L18" s="251" t="inlineStr">
        <is>
          <t>Flagship, CSVC mới, GV ổn định</t>
        </is>
      </c>
    </row>
    <row r="19" ht="35.05" customHeight="1" s="248">
      <c r="A19" s="252" t="inlineStr">
        <is>
          <t>MN Nhân Lễ</t>
        </is>
      </c>
      <c r="B19" s="252" t="inlineStr">
        <is>
          <t>H. Cần Giuộc, Long An</t>
        </is>
      </c>
      <c r="C19" s="252" t="inlineStr">
        <is>
          <t>TX. Cần Giuộc, Tây Ninh</t>
        </is>
      </c>
      <c r="D19" s="252" t="inlineStr">
        <is>
          <t>MN</t>
        </is>
      </c>
      <c r="E19" s="252" t="inlineStr">
        <is>
          <t>Thu nhập trung bình, vùng KDC mới, ít lựa chọn</t>
        </is>
      </c>
      <c r="F19" s="252" t="inlineStr">
        <is>
          <t>Rất ít trường tư chất lượng trong KDC</t>
        </is>
      </c>
      <c r="G19" s="252" t="inlineStr">
        <is>
          <t>PH làm ở KCN, cần trường bán trú tốt</t>
        </is>
      </c>
      <c r="H19" s="252" t="inlineStr">
        <is>
          <t>Lo con thiếu ngoại ngữ vùng tỉnh</t>
        </is>
      </c>
      <c r="I19" s="252" t="inlineStr">
        <is>
          <t>Trường chuẩn quốc tế ngay KDC, bán trú chu đáo</t>
        </is>
      </c>
      <c r="J19" s="252" t="inlineStr">
        <is>
          <t>Zalo OA, Facebook local</t>
        </is>
      </c>
      <c r="K19" s="252" t="inlineStr">
        <is>
          <t>MN công lập địa phương</t>
        </is>
      </c>
      <c r="L19" s="252" t="inlineStr">
        <is>
          <t>Duy nhất trường tư chất lượng trong KDC</t>
        </is>
      </c>
    </row>
    <row r="20" ht="23.85" customHeight="1" s="248">
      <c r="A20" s="251" t="inlineStr">
        <is>
          <t>MN Thái Sơn</t>
        </is>
      </c>
      <c r="B20" s="251" t="inlineStr">
        <is>
          <t>H. Cần Giuộc, Long An</t>
        </is>
      </c>
      <c r="C20" s="251" t="inlineStr">
        <is>
          <t>TX. Cần Giuộc, Tây Ninh</t>
        </is>
      </c>
      <c r="D20" s="251" t="inlineStr">
        <is>
          <t>MN+TH</t>
        </is>
      </c>
      <c r="E20" s="251" t="inlineStr">
        <is>
          <t>PH KDC Thái Sơn, thu nhập khá, mới về định cư</t>
        </is>
      </c>
      <c r="F20" s="251" t="inlineStr">
        <is>
          <t>Thiếu trường tốt gần KDC mới</t>
        </is>
      </c>
      <c r="G20" s="251" t="inlineStr">
        <is>
          <t>Muốn con có bạn bè trong khu</t>
        </is>
      </c>
      <c r="H20" s="251" t="inlineStr">
        <is>
          <t>Lo chất lượng GD vùng mới phát triển</t>
        </is>
      </c>
      <c r="I20" s="251" t="inlineStr">
        <is>
          <t>Ngay trong KDC, không cần đưa đón xa</t>
        </is>
      </c>
      <c r="J20" s="251" t="inlineStr">
        <is>
          <t>Zalo OA, Facebook group KDC</t>
        </is>
      </c>
      <c r="K20" s="251" t="inlineStr">
        <is>
          <t>MN công, MN tư nhỏ lẻ</t>
        </is>
      </c>
      <c r="L20" s="251" t="inlineStr">
        <is>
          <t>Nằm ngay trong KDC, liên cấp MN+TH</t>
        </is>
      </c>
    </row>
    <row r="21" ht="35.05" customHeight="1" s="248">
      <c r="A21" s="252" t="inlineStr">
        <is>
          <t>MN Mekong Xanh</t>
        </is>
      </c>
      <c r="B21" s="252" t="inlineStr">
        <is>
          <t>TP. Rạch Giá, Kiên Giang</t>
        </is>
      </c>
      <c r="C21" s="252" t="inlineStr">
        <is>
          <t>TP. Rạch Giá, An Giang</t>
        </is>
      </c>
      <c r="D21" s="252" t="inlineStr">
        <is>
          <t>MN+TH</t>
        </is>
      </c>
      <c r="E21" s="252" t="inlineStr">
        <is>
          <t>PH KĐT mới, thu nhập khá, nhiều công chức/DN</t>
        </is>
      </c>
      <c r="F21" s="252" t="inlineStr">
        <is>
          <t>Ít lựa chọn trường tư trong KĐT</t>
        </is>
      </c>
      <c r="G21" s="252" t="inlineStr">
        <is>
          <t>Muốn chương trình song ngữ mà vùng tỉnh không có</t>
        </is>
      </c>
      <c r="H21" s="252" t="inlineStr">
        <is>
          <t>Lo con thua thiệt so với TP.HCM</t>
        </is>
      </c>
      <c r="I21" s="252" t="inlineStr">
        <is>
          <t>Song ngữ chuẩn TP.HCM ngay tại tỉnh</t>
        </is>
      </c>
      <c r="J21" s="252" t="inlineStr">
        <is>
          <t>Zalo OA, Facebook local, Google local</t>
        </is>
      </c>
      <c r="K21" s="252" t="inlineStr">
        <is>
          <t>Trường công lập, TT Anh ngữ</t>
        </is>
      </c>
      <c r="L21" s="252" t="inlineStr">
        <is>
          <t>Chuẩn TP.HCM, liên cấp, KĐT cao cấp</t>
        </is>
      </c>
    </row>
    <row r="22" ht="35.05" customHeight="1" s="248">
      <c r="A22" s="251" t="inlineStr">
        <is>
          <t>TH VA Gò Vấp</t>
        </is>
      </c>
      <c r="B22" s="251" t="inlineStr">
        <is>
          <t>Q. Gò Vấp, TP.HCM</t>
        </is>
      </c>
      <c r="C22" s="251" t="inlineStr">
        <is>
          <t>Q. Gò Vấp, TP.HCM</t>
        </is>
      </c>
      <c r="D22" s="251" t="inlineStr">
        <is>
          <t>TH</t>
        </is>
      </c>
      <c r="E22" s="251" t="inlineStr">
        <is>
          <t>PH trung lưu-khá, so sánh kỹ nhiều trường</t>
        </is>
      </c>
      <c r="F22" s="251" t="inlineStr">
        <is>
          <t>Quá nhiều lựa chọn, không biết trường nào tốt</t>
        </is>
      </c>
      <c r="G22" s="251" t="inlineStr">
        <is>
          <t>Lo tiếng Anh không đủ mạnh so với international school</t>
        </is>
      </c>
      <c r="H22" s="251" t="inlineStr">
        <is>
          <t>Sĩ số lớp quá đông ở trường công</t>
        </is>
      </c>
      <c r="I22" s="251" t="inlineStr">
        <is>
          <t>Sĩ số 25, lộ trình tiếng Anh có chứng chỉ, GV 1-1</t>
        </is>
      </c>
      <c r="J22" s="251" t="inlineStr">
        <is>
          <t>Meta Ads, Google Search</t>
        </is>
      </c>
      <c r="K22" s="251" t="inlineStr">
        <is>
          <t>TH Việt Úc, TH iSchool, TH FPT</t>
        </is>
      </c>
      <c r="L22" s="251" t="inlineStr">
        <is>
          <t>Học phí hợp lý hơn international, vẫn song ngữ chuẩn</t>
        </is>
      </c>
    </row>
    <row r="23" ht="35.05" customHeight="1" s="248">
      <c r="A23" s="252" t="inlineStr">
        <is>
          <t>TH VA Bình Tân</t>
        </is>
      </c>
      <c r="B23" s="252" t="inlineStr">
        <is>
          <t>Q. Bình Tân, TP.HCM</t>
        </is>
      </c>
      <c r="C23" s="252" t="inlineStr">
        <is>
          <t>Q. Bình Tân, TP.HCM</t>
        </is>
      </c>
      <c r="D23" s="252" t="inlineStr">
        <is>
          <t>TH</t>
        </is>
      </c>
      <c r="E23" s="252" t="inlineStr">
        <is>
          <t>PH thu nhập trung bình, khu đông dân, công nhân + KD nhỏ</t>
        </is>
      </c>
      <c r="F23" s="252" t="inlineStr">
        <is>
          <t>Rất ít trường tư chất lượng khu vực Bình Tân</t>
        </is>
      </c>
      <c r="G23" s="252" t="inlineStr">
        <is>
          <t>Lo an ninh khu vực, muốn trường khép kín</t>
        </is>
      </c>
      <c r="H23" s="252" t="inlineStr">
        <is>
          <t>Giá phải hợp lý với thu nhập</t>
        </is>
      </c>
      <c r="I23" s="252" t="inlineStr">
        <is>
          <t>An toàn, khép kín, học phí phù hợp, bán trú tốt</t>
        </is>
      </c>
      <c r="J23" s="252" t="inlineStr">
        <is>
          <t>Meta Ads, Zalo local</t>
        </is>
      </c>
      <c r="K23" s="252" t="inlineStr">
        <is>
          <t>TH Bình Tân, TH Phước Kiểng</t>
        </is>
      </c>
      <c r="L23" s="252" t="inlineStr">
        <is>
          <t>Duy nhất trường tư song ngữ quy mô tại BT</t>
        </is>
      </c>
    </row>
    <row r="24" ht="23.85" customHeight="1" s="248">
      <c r="A24" s="251" t="inlineStr">
        <is>
          <t>TH Thái Sơn</t>
        </is>
      </c>
      <c r="B24" s="251" t="inlineStr">
        <is>
          <t>H. Cần Giuộc, Long An</t>
        </is>
      </c>
      <c r="C24" s="251" t="inlineStr">
        <is>
          <t>TX. Cần Giuộc, Tây Ninh</t>
        </is>
      </c>
      <c r="D24" s="251" t="inlineStr">
        <is>
          <t>TH</t>
        </is>
      </c>
      <c r="E24" s="251" t="inlineStr">
        <is>
          <t>PH KDC Thái Sơn, muốn con học tại chỗ</t>
        </is>
      </c>
      <c r="F24" s="251" t="inlineStr">
        <is>
          <t>Phải đi xa để học trường tốt</t>
        </is>
      </c>
      <c r="G24" s="251" t="inlineStr">
        <is>
          <t>Lo con mệt vì di chuyển hàng ngày</t>
        </is>
      </c>
      <c r="H24" s="251" t="inlineStr">
        <is>
          <t>Chương trình tỉnh yếu hơn TP</t>
        </is>
      </c>
      <c r="I24" s="251" t="inlineStr">
        <is>
          <t>Chuẩn TP.HCM ngay KDC, không cần đi xa</t>
        </is>
      </c>
      <c r="J24" s="251" t="inlineStr">
        <is>
          <t>Zalo, Facebook local</t>
        </is>
      </c>
      <c r="K24" s="251" t="inlineStr">
        <is>
          <t>TH công lập xã</t>
        </is>
      </c>
      <c r="L24" s="251" t="inlineStr">
        <is>
          <t>Liên cấp, ngay trong KDC</t>
        </is>
      </c>
    </row>
    <row r="25" ht="35.05" customHeight="1" s="248">
      <c r="A25" s="252" t="inlineStr">
        <is>
          <t>TH Mekong Xanh</t>
        </is>
      </c>
      <c r="B25" s="252" t="inlineStr">
        <is>
          <t>TP. Rạch Giá, Kiên Giang</t>
        </is>
      </c>
      <c r="C25" s="252" t="inlineStr">
        <is>
          <t>TP. Rạch Giá, An Giang</t>
        </is>
      </c>
      <c r="D25" s="252" t="inlineStr">
        <is>
          <t>TH</t>
        </is>
      </c>
      <c r="E25" s="252" t="inlineStr">
        <is>
          <t>PH KĐT, muốn con có nền tảng tốt</t>
        </is>
      </c>
      <c r="F25" s="252" t="inlineStr">
        <is>
          <t>Không có trường tư song ngữ tại TP Rạch Giá</t>
        </is>
      </c>
      <c r="G25" s="252" t="inlineStr">
        <is>
          <t>Muốn con thi vào trường tốt sau này</t>
        </is>
      </c>
      <c r="H25" s="252" t="inlineStr">
        <is>
          <t>Lo GV giỏi không về tỉnh dạy</t>
        </is>
      </c>
      <c r="I25" s="252" t="inlineStr">
        <is>
          <t>GV từ TP.HCM, chương trình chuẩn quốc gia + song ngữ</t>
        </is>
      </c>
      <c r="J25" s="252" t="inlineStr">
        <is>
          <t>Zalo, Facebook, Google local</t>
        </is>
      </c>
      <c r="K25" s="252" t="inlineStr">
        <is>
          <t>TH công, TT Anh ngữ</t>
        </is>
      </c>
      <c r="L25" s="252" t="inlineStr">
        <is>
          <t>Duy nhất TH tư song ngữ quy mô</t>
        </is>
      </c>
    </row>
    <row r="26" ht="23.85" customHeight="1" s="248">
      <c r="A26" s="251" t="inlineStr">
        <is>
          <t>THCS VA Gò Vấp</t>
        </is>
      </c>
      <c r="B26" s="251" t="inlineStr">
        <is>
          <t>Q. Gò Vấp, TP.HCM</t>
        </is>
      </c>
      <c r="C26" s="251" t="inlineStr">
        <is>
          <t>Q. Gò Vấp, TP.HCM</t>
        </is>
      </c>
      <c r="D26" s="251" t="inlineStr">
        <is>
          <t>THCS</t>
        </is>
      </c>
      <c r="E26" s="251" t="inlineStr">
        <is>
          <t>PH lo lắng giai đoạn dậy thì, cần theo sát</t>
        </is>
      </c>
      <c r="F26" s="251" t="inlineStr">
        <is>
          <t>Trường công THCS sĩ số 45-50, GV không theo sát</t>
        </is>
      </c>
      <c r="G26" s="251" t="inlineStr">
        <is>
          <t>Lo con sa sút vì bạn bè tiêu cực</t>
        </is>
      </c>
      <c r="H26" s="251" t="inlineStr">
        <is>
          <t>Áp lực thi THPT cạnh tranh</t>
        </is>
      </c>
      <c r="I26" s="251" t="inlineStr">
        <is>
          <t>Sĩ số nhỏ, GV chủ nhiệm theo sát, lộ trình 6→12</t>
        </is>
      </c>
      <c r="J26" s="251" t="inlineStr">
        <is>
          <t>Google Ads, Meta, Webinar</t>
        </is>
      </c>
      <c r="K26" s="251" t="inlineStr">
        <is>
          <t>THCS Việt Úc, THCS iSchool</t>
        </is>
      </c>
      <c r="L26" s="251" t="inlineStr">
        <is>
          <t>Liên cấp THCS-THPT, không cần thi chuyển</t>
        </is>
      </c>
    </row>
    <row r="27" ht="23.85" customHeight="1" s="248">
      <c r="A27" s="252" t="inlineStr">
        <is>
          <t>THPT VA Gò Vấp</t>
        </is>
      </c>
      <c r="B27" s="252" t="inlineStr">
        <is>
          <t>Q. Gò Vấp, TP.HCM</t>
        </is>
      </c>
      <c r="C27" s="252" t="inlineStr">
        <is>
          <t>Q. Gò Vấp, TP.HCM</t>
        </is>
      </c>
      <c r="D27" s="252" t="inlineStr">
        <is>
          <t>THPT</t>
        </is>
      </c>
      <c r="E27" s="252" t="inlineStr">
        <is>
          <t>PH áp lực thi lớp 10, tìm giải pháp B nếu rớt công</t>
        </is>
      </c>
      <c r="F27" s="252" t="inlineStr">
        <is>
          <t>Con không đỗ trường công top → hoang mang</t>
        </is>
      </c>
      <c r="G27" s="252" t="inlineStr">
        <is>
          <t>Học phí THPT tư cao, lo tài chính</t>
        </is>
      </c>
      <c r="H27" s="252" t="inlineStr">
        <is>
          <t>Lo đầu ra đại học không tốt bằng trường chuyên</t>
        </is>
      </c>
      <c r="I27" s="252" t="inlineStr">
        <is>
          <t>Học bổng 100%, đầu ra ĐH 95%+, pathway du học</t>
        </is>
      </c>
      <c r="J27" s="252" t="inlineStr">
        <is>
          <t>Google Ads, Meta, Webinar</t>
        </is>
      </c>
      <c r="K27" s="252" t="inlineStr">
        <is>
          <t>THPT Nguyễn Khuyến, THPT Trương Vĩnh Ký</t>
        </is>
      </c>
      <c r="L27" s="252" t="inlineStr">
        <is>
          <t>Học bổng lớn, lộ trình đa dạng, tỷ lệ ĐH cao</t>
        </is>
      </c>
    </row>
    <row r="30" ht="15" customHeight="1" s="248">
      <c r="A30" s="253" t="inlineStr">
        <is>
          <t>C. HÀNH TRÌNH KHÁCH HÀNG (CUSTOMER JOURNEY) THEO CẤP</t>
        </is>
      </c>
    </row>
    <row r="31" ht="15" customHeight="1" s="248">
      <c r="A31" s="250" t="inlineStr">
        <is>
          <t>Giai đoạn</t>
        </is>
      </c>
      <c r="B31" s="250" t="inlineStr">
        <is>
          <t>Awareness</t>
        </is>
      </c>
      <c r="C31" s="250" t="inlineStr">
        <is>
          <t>Consideration</t>
        </is>
      </c>
      <c r="D31" s="250" t="inlineStr">
        <is>
          <t>Decision</t>
        </is>
      </c>
      <c r="E31" s="250" t="inlineStr">
        <is>
          <t>Tour/Visit</t>
        </is>
      </c>
      <c r="F31" s="250" t="inlineStr">
        <is>
          <t>Enrollment</t>
        </is>
      </c>
      <c r="G31" s="250" t="inlineStr">
        <is>
          <t>Advocacy</t>
        </is>
      </c>
    </row>
    <row r="32" ht="35.05" customHeight="1" s="248">
      <c r="A32" s="251" t="inlineStr">
        <is>
          <t>MN</t>
        </is>
      </c>
      <c r="B32" s="251" t="inlineStr">
        <is>
          <t>Thấy ads FB/TikTok → nghe PH review → tìm Google</t>
        </is>
      </c>
      <c r="C32" s="251" t="inlineStr">
        <is>
          <t>So sánh 2-3 trường → đọc review → hỏi group</t>
        </is>
      </c>
      <c r="D32" s="251" t="inlineStr">
        <is>
          <t>Gọi hotline / Zalo → Hỏi học phí → Book tour</t>
        </is>
      </c>
      <c r="E32" s="251" t="inlineStr">
        <is>
          <t>Tour campus → gặp GV → xem phòng học → lunch trial</t>
        </is>
      </c>
      <c r="F32" s="251" t="inlineStr">
        <is>
          <t>Nộp hồ sơ → đóng cọc → nhận thông báo</t>
        </is>
      </c>
      <c r="G32" s="251" t="inlineStr">
        <is>
          <t>Review Google → giới thiệu bạn → share FB</t>
        </is>
      </c>
    </row>
    <row r="33" ht="35.05" customHeight="1" s="248">
      <c r="A33" s="252" t="inlineStr">
        <is>
          <t>TH</t>
        </is>
      </c>
      <c r="B33" s="252" t="inlineStr">
        <is>
          <t>Tìm Google "trường TH song ngữ" → thấy ads Meta</t>
        </is>
      </c>
      <c r="C33" s="252" t="inlineStr">
        <is>
          <t>So sánh 3-5 trường → tour 2 lần → hỏi PH hiện tại</t>
        </is>
      </c>
      <c r="D33" s="252" t="inlineStr">
        <is>
          <t>Webinar/Open Day → tư vấn 1-1 → nhận ưu đãi</t>
        </is>
      </c>
      <c r="E33" s="252" t="inlineStr">
        <is>
          <t>Tour chi tiết → ngồi lớp thử → gặp GV chủ nhiệm</t>
        </is>
      </c>
      <c r="F33" s="252" t="inlineStr">
        <is>
          <t>Thi đầu vào (nếu có) → nộp hồ sơ → đóng phí</t>
        </is>
      </c>
      <c r="G33" s="252" t="inlineStr">
        <is>
          <t>Review → referral program → PH ambassador</t>
        </is>
      </c>
    </row>
    <row r="34" ht="35.05" customHeight="1" s="248">
      <c r="A34" s="251" t="inlineStr">
        <is>
          <t>THCS</t>
        </is>
      </c>
      <c r="B34" s="251" t="inlineStr">
        <is>
          <t>Webinar "chuyển cấp" → Google "THCS tốt GV" → FB ads</t>
        </is>
      </c>
      <c r="C34" s="251" t="inlineStr">
        <is>
          <t>So sánh đầu ra → xem chương trình → hỏi alumni PH</t>
        </is>
      </c>
      <c r="D34" s="251" t="inlineStr">
        <is>
          <t>Tư vấn riêng → xem lộ trình 6→12 → học bổng</t>
        </is>
      </c>
      <c r="E34" s="251" t="inlineStr">
        <is>
          <t>Tour + ngồi lớp + gặp HS hiện tại + GV chủ nhiệm</t>
        </is>
      </c>
      <c r="F34" s="251" t="inlineStr">
        <is>
          <t>Nộp hồ sơ → phỏng vấn → đóng cọc</t>
        </is>
      </c>
      <c r="G34" s="251" t="inlineStr">
        <is>
          <t>PH chia sẻ experience → alumni success story</t>
        </is>
      </c>
    </row>
    <row r="35" ht="35.05" customHeight="1" s="248">
      <c r="A35" s="252" t="inlineStr">
        <is>
          <t>THPT</t>
        </is>
      </c>
      <c r="B35" s="252" t="inlineStr">
        <is>
          <t>Google "tuyển sinh lớp 10" → Webinar → FB/TikTok</t>
        </is>
      </c>
      <c r="C35" s="252" t="inlineStr">
        <is>
          <t>So sánh vs công → check đầu ra ĐH → học bổng</t>
        </is>
      </c>
      <c r="D35" s="252" t="inlineStr">
        <is>
          <t>Thi học bổng → tư vấn chuyên sâu → financial plan</t>
        </is>
      </c>
      <c r="E35" s="252" t="inlineStr">
        <is>
          <t>Tour VIP → gặp BGH → xem lab/thư viện/CLB</t>
        </is>
      </c>
      <c r="F35" s="252" t="inlineStr">
        <is>
          <t>Thi tuyển/xét tuyển → nhận kết quả → enrollment</t>
        </is>
      </c>
      <c r="G35" s="252" t="inlineStr">
        <is>
          <t>Đầu ra ĐH → alumni network → PH referral</t>
        </is>
      </c>
    </row>
    <row r="38">
      <c r="A38" s="534" t="inlineStr">
        <is>
          <t>HÀNH TRÌNH QUYẾT ĐỊNH CỦA PHỤ HUYNH — CUSTOMER JOURNEY MAP</t>
        </is>
      </c>
      <c r="B38" s="535" t="n"/>
      <c r="C38" s="535" t="n"/>
      <c r="D38" s="535" t="n"/>
      <c r="E38" s="535" t="n"/>
      <c r="F38" s="535" t="n"/>
      <c r="G38" s="535" t="n"/>
      <c r="H38" s="536" t="n"/>
    </row>
    <row r="39">
      <c r="A39" s="495" t="inlineStr">
        <is>
          <t>Cấp Học</t>
        </is>
      </c>
      <c r="B39" s="495" t="inlineStr">
        <is>
          <t>Giai Đoạn</t>
        </is>
      </c>
      <c r="C39" s="495" t="inlineStr">
        <is>
          <t>Trigger/Channels</t>
        </is>
      </c>
      <c r="D39" s="495" t="inlineStr">
        <is>
          <t>Content Cần</t>
        </is>
      </c>
      <c r="E39" s="495" t="inlineStr">
        <is>
          <t>Funnel Page</t>
        </is>
      </c>
      <c r="F39" s="495" t="inlineStr">
        <is>
          <t>Ads Hiện</t>
        </is>
      </c>
      <c r="G39" s="495" t="inlineStr">
        <is>
          <t>CRM Action</t>
        </is>
      </c>
      <c r="H39" s="495" t="inlineStr">
        <is>
          <t>KPI</t>
        </is>
      </c>
    </row>
    <row r="40">
      <c r="A40" s="507" t="inlineStr">
        <is>
          <t>MN</t>
        </is>
      </c>
      <c r="B40" s="507" t="inlineStr">
        <is>
          <t>Nhận Thức</t>
        </is>
      </c>
      <c r="C40" s="507" t="inlineStr">
        <is>
          <t>Search "trường MN tốt", FB feed, Referral</t>
        </is>
      </c>
      <c r="D40" s="507" t="inlineStr">
        <is>
          <t>Blog: Chọn trường như thế nào</t>
        </is>
      </c>
      <c r="E40" s="507" t="inlineStr">
        <is>
          <t>forms.truongvietanh.com/awareness-mn</t>
        </is>
      </c>
      <c r="F40" s="507" t="inlineStr">
        <is>
          <t>Search Ads (KW: trường MN)</t>
        </is>
      </c>
      <c r="G40" s="507" t="inlineStr">
        <is>
          <t>Tag: Awareness</t>
        </is>
      </c>
      <c r="H40" s="507" t="inlineStr">
        <is>
          <t>CTR 2%</t>
        </is>
      </c>
    </row>
    <row r="41">
      <c r="A41" s="507" t="inlineStr">
        <is>
          <t>MN</t>
        </is>
      </c>
      <c r="B41" s="507" t="inlineStr">
        <is>
          <t>Tìm Hiểu</t>
        </is>
      </c>
      <c r="C41" s="507" t="inlineStr">
        <is>
          <t>Visit website, compare 3 trường</t>
        </is>
      </c>
      <c r="D41" s="507" t="inlineStr">
        <is>
          <t>So sánh, review, chứng chỉ</t>
        </is>
      </c>
      <c r="E41" s="507" t="inlineStr">
        <is>
          <t>forms.truongvietanh.com/consideration-mn</t>
        </is>
      </c>
      <c r="F41" s="507" t="inlineStr">
        <is>
          <t>Remarketing display ads</t>
        </is>
      </c>
      <c r="G41" s="507" t="inlineStr">
        <is>
          <t>Tag: Consideration</t>
        </is>
      </c>
      <c r="H41" s="507" t="inlineStr">
        <is>
          <t>Time on site 3+min</t>
        </is>
      </c>
    </row>
    <row r="42">
      <c r="A42" s="507" t="inlineStr">
        <is>
          <t>MN</t>
        </is>
      </c>
      <c r="B42" s="507" t="inlineStr">
        <is>
          <t>Tham Quan</t>
        </is>
      </c>
      <c r="C42" s="507" t="inlineStr">
        <is>
          <t>Đăng ký tour, gặp hiệu trưởng</t>
        </is>
      </c>
      <c r="D42" s="507" t="inlineStr">
        <is>
          <t>Virtual tour, bảng giá, Q&amp;A</t>
        </is>
      </c>
      <c r="E42" s="507" t="inlineStr">
        <is>
          <t>forms.truongvietanh.com/tour-mn</t>
        </is>
      </c>
      <c r="F42" s="507" t="inlineStr">
        <is>
          <t>Zalo OA message</t>
        </is>
      </c>
      <c r="G42" s="507" t="inlineStr">
        <is>
          <t>Event: Tour scheduled</t>
        </is>
      </c>
      <c r="H42" s="507" t="inlineStr">
        <is>
          <t>Attendance 85%</t>
        </is>
      </c>
    </row>
    <row r="43">
      <c r="A43" s="507" t="inlineStr">
        <is>
          <t>MN</t>
        </is>
      </c>
      <c r="B43" s="507" t="inlineStr">
        <is>
          <t>Quyết Định</t>
        </is>
      </c>
      <c r="C43" s="507" t="inlineStr">
        <is>
          <t>Gặp phụ huynh khác, quyết định</t>
        </is>
      </c>
      <c r="D43" s="507" t="inlineStr">
        <is>
          <t>Hồ sơ ghi danh, học phí</t>
        </is>
      </c>
      <c r="E43" s="507" t="inlineStr">
        <is>
          <t>forms.truongvietanh.com/enroll-mn</t>
        </is>
      </c>
      <c r="F43" s="507" t="inlineStr">
        <is>
          <t>Conversion ads</t>
        </is>
      </c>
      <c r="G43" s="507" t="inlineStr">
        <is>
          <t>Create: Lead in CRM</t>
        </is>
      </c>
      <c r="H43" s="507" t="inlineStr">
        <is>
          <t>Conversion 15%</t>
        </is>
      </c>
    </row>
    <row r="44">
      <c r="A44" s="507" t="inlineStr">
        <is>
          <t>MN</t>
        </is>
      </c>
      <c r="B44" s="507" t="inlineStr">
        <is>
          <t>Referral</t>
        </is>
      </c>
      <c r="C44" s="507" t="inlineStr">
        <is>
          <t>Khuyên bạn bè, review</t>
        </is>
      </c>
      <c r="D44" s="507" t="inlineStr">
        <is>
          <t>Referral program info, incentive</t>
        </is>
      </c>
      <c r="E44" s="507" t="inlineStr">
        <is>
          <t>forms.truongvietanh.com/refer-mn</t>
        </is>
      </c>
      <c r="F44" s="507" t="inlineStr">
        <is>
          <t>None</t>
        </is>
      </c>
      <c r="G44" s="507" t="inlineStr">
        <is>
          <t>Tag: Enrolled + Referrer</t>
        </is>
      </c>
      <c r="H44" s="507" t="inlineStr">
        <is>
          <t>Referral rate 10%</t>
        </is>
      </c>
    </row>
    <row r="45">
      <c r="A45" s="507" t="inlineStr">
        <is>
          <t>TH</t>
        </is>
      </c>
      <c r="B45" s="507" t="inlineStr">
        <is>
          <t>Nhận Thức</t>
        </is>
      </c>
      <c r="C45" s="507" t="inlineStr">
        <is>
          <t>Google search, Facebook, TikTok</t>
        </is>
      </c>
      <c r="D45" s="507" t="inlineStr">
        <is>
          <t>Blog: Tại sao TH quốc tế</t>
        </is>
      </c>
      <c r="E45" s="507" t="inlineStr">
        <is>
          <t>forms.truongvietanh.com/awareness-th</t>
        </is>
      </c>
      <c r="F45" s="507" t="inlineStr">
        <is>
          <t>Video ads + Search ads</t>
        </is>
      </c>
      <c r="G45" s="507" t="inlineStr">
        <is>
          <t>Tag: Awareness</t>
        </is>
      </c>
      <c r="H45" s="507" t="inlineStr">
        <is>
          <t>Video views 5k+</t>
        </is>
      </c>
    </row>
    <row r="46">
      <c r="A46" s="507" t="inlineStr">
        <is>
          <t>TH</t>
        </is>
      </c>
      <c r="B46" s="507" t="inlineStr">
        <is>
          <t>Tìm Hiểu</t>
        </is>
      </c>
      <c r="C46" s="507" t="inlineStr">
        <is>
          <t>Video review, website</t>
        </is>
      </c>
      <c r="D46" s="507" t="inlineStr">
        <is>
          <t>Chương trình giáo dục, giáo viên</t>
        </is>
      </c>
      <c r="E46" s="507" t="inlineStr">
        <is>
          <t>forms.truongvietanh.com/consideration-th</t>
        </is>
      </c>
      <c r="F46" s="507" t="inlineStr">
        <is>
          <t>Story ads, carousel ads</t>
        </is>
      </c>
      <c r="G46" s="507" t="inlineStr">
        <is>
          <t>Tag: Consideration</t>
        </is>
      </c>
      <c r="H46" s="507" t="inlineStr">
        <is>
          <t>Engagement 5%</t>
        </is>
      </c>
    </row>
    <row r="47">
      <c r="A47" s="507" t="inlineStr">
        <is>
          <t>TH</t>
        </is>
      </c>
      <c r="B47" s="507" t="inlineStr">
        <is>
          <t>Tham Quan</t>
        </is>
      </c>
      <c r="C47" s="507" t="inlineStr">
        <is>
          <t>Lớp học trực tiếp, gặp cô</t>
        </is>
      </c>
      <c r="D47" s="507" t="inlineStr">
        <is>
          <t>Lịch học, hoạt động ngoài giờ</t>
        </is>
      </c>
      <c r="E47" s="507" t="inlineStr">
        <is>
          <t>forms.truongvietanh.com/tour-th</t>
        </is>
      </c>
      <c r="F47" s="507" t="inlineStr">
        <is>
          <t>Zalo + Email reminder</t>
        </is>
      </c>
      <c r="G47" s="507" t="inlineStr">
        <is>
          <t>Event: Tour scheduled</t>
        </is>
      </c>
      <c r="H47" s="507" t="inlineStr">
        <is>
          <t>Tour completed 90%</t>
        </is>
      </c>
    </row>
    <row r="48">
      <c r="A48" s="507" t="inlineStr">
        <is>
          <t>TH</t>
        </is>
      </c>
      <c r="B48" s="507" t="inlineStr">
        <is>
          <t>Quyết Định</t>
        </is>
      </c>
      <c r="C48" s="507" t="inlineStr">
        <is>
          <t>Lần 2-3 liên hệ, tư vấn</t>
        </is>
      </c>
      <c r="D48" s="507" t="inlineStr">
        <is>
          <t>Học phí, hỗ trợ, timing</t>
        </is>
      </c>
      <c r="E48" s="507" t="inlineStr">
        <is>
          <t>forms.truongvietanh.com/enroll-th</t>
        </is>
      </c>
      <c r="F48" s="507" t="inlineStr">
        <is>
          <t>Lead magnet ads</t>
        </is>
      </c>
      <c r="G48" s="507" t="inlineStr">
        <is>
          <t>Create: Lead</t>
        </is>
      </c>
      <c r="H48" s="507" t="inlineStr">
        <is>
          <t>Conversion 20%</t>
        </is>
      </c>
    </row>
    <row r="49">
      <c r="A49" s="507" t="inlineStr">
        <is>
          <t>TH</t>
        </is>
      </c>
      <c r="B49" s="507" t="inlineStr">
        <is>
          <t>Referral</t>
        </is>
      </c>
      <c r="C49" s="507" t="inlineStr">
        <is>
          <t>Đã ghi danh, khuyên bạn</t>
        </is>
      </c>
      <c r="D49" s="507" t="inlineStr">
        <is>
          <t>Success story, student life</t>
        </is>
      </c>
      <c r="E49" s="507" t="inlineStr">
        <is>
          <t>forms.truongvietanh.com/refer-th</t>
        </is>
      </c>
      <c r="F49" s="507" t="inlineStr">
        <is>
          <t>Social proof ads</t>
        </is>
      </c>
      <c r="G49" s="507" t="inlineStr">
        <is>
          <t>Tag: Referrer</t>
        </is>
      </c>
      <c r="H49" s="507" t="inlineStr">
        <is>
          <t>Referral 12%</t>
        </is>
      </c>
    </row>
    <row r="50">
      <c r="A50" s="507" t="inlineStr">
        <is>
          <t>THCS</t>
        </is>
      </c>
      <c r="B50" s="507" t="inlineStr">
        <is>
          <t>Nhận Thức</t>
        </is>
      </c>
      <c r="C50" s="507" t="inlineStr">
        <is>
          <t>Search "THCS tốt", YouTube</t>
        </is>
      </c>
      <c r="D50" s="507" t="inlineStr">
        <is>
          <t>Success stories, award-winning</t>
        </is>
      </c>
      <c r="E50" s="507" t="inlineStr">
        <is>
          <t>forms.truongvietanh.com/awareness-thcs</t>
        </is>
      </c>
      <c r="F50" s="507" t="inlineStr">
        <is>
          <t>YouTube ads + Search ads</t>
        </is>
      </c>
      <c r="G50" s="507" t="inlineStr">
        <is>
          <t>Tag: Awareness</t>
        </is>
      </c>
      <c r="H50" s="507" t="inlineStr">
        <is>
          <t>YouTube views 8k+</t>
        </is>
      </c>
    </row>
    <row r="51">
      <c r="A51" s="507" t="inlineStr">
        <is>
          <t>THCS</t>
        </is>
      </c>
      <c r="B51" s="507" t="inlineStr">
        <is>
          <t>Tìm Hiểu</t>
        </is>
      </c>
      <c r="C51" s="507" t="inlineStr">
        <is>
          <t>Website explore, blog reading</t>
        </is>
      </c>
      <c r="D51" s="507" t="inlineStr">
        <is>
          <t>Chương trình THCS, tiếng Anh</t>
        </is>
      </c>
      <c r="E51" s="507" t="inlineStr">
        <is>
          <t>forms.truongvietanh.com/consideration-thcs</t>
        </is>
      </c>
      <c r="F51" s="507" t="inlineStr">
        <is>
          <t>Retargeting ads, carousel</t>
        </is>
      </c>
      <c r="G51" s="507" t="inlineStr">
        <is>
          <t>Tag: Consideration</t>
        </is>
      </c>
      <c r="H51" s="507" t="inlineStr">
        <is>
          <t>Pages/session 3+</t>
        </is>
      </c>
    </row>
    <row r="52">
      <c r="A52" s="507" t="inlineStr">
        <is>
          <t>THCS</t>
        </is>
      </c>
      <c r="B52" s="507" t="inlineStr">
        <is>
          <t>Tham Quan</t>
        </is>
      </c>
      <c r="C52" s="507" t="inlineStr">
        <is>
          <t>Đăng ký tour, tham dự</t>
        </is>
      </c>
      <c r="D52" s="507" t="inlineStr">
        <is>
          <t>Cơ sở vật chất, lab, thư viện</t>
        </is>
      </c>
      <c r="E52" s="507" t="inlineStr">
        <is>
          <t>forms.truongvietanh.com/tour-thcs</t>
        </is>
      </c>
      <c r="F52" s="507" t="inlineStr">
        <is>
          <t>Zalo + SMS reminder</t>
        </is>
      </c>
      <c r="G52" s="507" t="inlineStr">
        <is>
          <t>Event: Tour done</t>
        </is>
      </c>
      <c r="H52" s="507" t="inlineStr">
        <is>
          <t>Attendance 88%</t>
        </is>
      </c>
    </row>
    <row r="53">
      <c r="A53" s="507" t="inlineStr">
        <is>
          <t>THCS</t>
        </is>
      </c>
      <c r="B53" s="507" t="inlineStr">
        <is>
          <t>Quyết Định</t>
        </is>
      </c>
      <c r="C53" s="507" t="inlineStr">
        <is>
          <t>Gặp trực tiếp, tư vấn chi tiết</t>
        </is>
      </c>
      <c r="D53" s="507" t="inlineStr">
        <is>
          <t>Hồ sơ + hỗ trợ tài chính</t>
        </is>
      </c>
      <c r="E53" s="507" t="inlineStr">
        <is>
          <t>forms.truongvietanh.com/enroll-thcs</t>
        </is>
      </c>
      <c r="F53" s="507" t="inlineStr">
        <is>
          <t>Conversion optimized ads</t>
        </is>
      </c>
      <c r="G53" s="507" t="inlineStr">
        <is>
          <t>Create: Lead</t>
        </is>
      </c>
      <c r="H53" s="507" t="inlineStr">
        <is>
          <t>Conversion 18%</t>
        </is>
      </c>
    </row>
    <row r="54">
      <c r="A54" s="507" t="inlineStr">
        <is>
          <t>THCS</t>
        </is>
      </c>
      <c r="B54" s="507" t="inlineStr">
        <is>
          <t>Referral</t>
        </is>
      </c>
      <c r="C54" s="507" t="inlineStr">
        <is>
          <t>Phụ huynh + học sinh tuyên truyền</t>
        </is>
      </c>
      <c r="D54" s="507" t="inlineStr">
        <is>
          <t>Student testimonial, event</t>
        </is>
      </c>
      <c r="E54" s="507" t="inlineStr">
        <is>
          <t>forms.truongvietanh.com/refer-thcs</t>
        </is>
      </c>
      <c r="F54" s="507" t="inlineStr">
        <is>
          <t>UGC ads</t>
        </is>
      </c>
      <c r="G54" s="507" t="inlineStr">
        <is>
          <t>Tag: Referrer</t>
        </is>
      </c>
      <c r="H54" s="507" t="inlineStr">
        <is>
          <t>Referral 15%</t>
        </is>
      </c>
    </row>
    <row r="55">
      <c r="A55" s="507" t="inlineStr">
        <is>
          <t>THPT</t>
        </is>
      </c>
      <c r="B55" s="507" t="inlineStr">
        <is>
          <t>Nhận Thức</t>
        </is>
      </c>
      <c r="C55" s="507" t="inlineStr">
        <is>
          <t>Search "THPT du học", Instagram</t>
        </is>
      </c>
      <c r="D55" s="507" t="inlineStr">
        <is>
          <t>News, award, international program</t>
        </is>
      </c>
      <c r="E55" s="507" t="inlineStr">
        <is>
          <t>forms.truongvietanh.com/awareness-thpt</t>
        </is>
      </c>
      <c r="F55" s="507" t="inlineStr">
        <is>
          <t>Instagram ads + Google ads</t>
        </is>
      </c>
      <c r="G55" s="507" t="inlineStr">
        <is>
          <t>Tag: Awareness</t>
        </is>
      </c>
      <c r="H55" s="507" t="inlineStr">
        <is>
          <t>Reach 10k+</t>
        </is>
      </c>
    </row>
    <row r="56">
      <c r="A56" s="507" t="inlineStr">
        <is>
          <t>THPT</t>
        </is>
      </c>
      <c r="B56" s="507" t="inlineStr">
        <is>
          <t>Tìm Hiểu</t>
        </is>
      </c>
      <c r="C56" s="507" t="inlineStr">
        <is>
          <t>Webinar, whitepaper download</t>
        </is>
      </c>
      <c r="D56" s="507" t="inlineStr">
        <is>
          <t>Du học guide, course structure</t>
        </is>
      </c>
      <c r="E56" s="507" t="inlineStr">
        <is>
          <t>forms.truongvietanh.com/consideration-thpt</t>
        </is>
      </c>
      <c r="F56" s="507" t="inlineStr">
        <is>
          <t>Lead magnet ads, webinar promo</t>
        </is>
      </c>
      <c r="G56" s="507" t="inlineStr">
        <is>
          <t>Tag: Consideration</t>
        </is>
      </c>
      <c r="H56" s="507" t="inlineStr">
        <is>
          <t>Webinar signup 200+</t>
        </is>
      </c>
    </row>
    <row r="57">
      <c r="A57" s="507" t="inlineStr">
        <is>
          <t>THPT</t>
        </is>
      </c>
      <c r="B57" s="507" t="inlineStr">
        <is>
          <t>Tham Quan</t>
        </is>
      </c>
      <c r="C57" s="507" t="inlineStr">
        <is>
          <t>Tour + Webinar, gặp alumni</t>
        </is>
      </c>
      <c r="D57" s="507" t="inlineStr">
        <is>
          <t>Lộ trình học tập, scholarship</t>
        </is>
      </c>
      <c r="E57" s="507" t="inlineStr">
        <is>
          <t>forms.truongvietanh.com/tour-thpt</t>
        </is>
      </c>
      <c r="F57" s="507" t="inlineStr">
        <is>
          <t>Email sequence</t>
        </is>
      </c>
      <c r="G57" s="507" t="inlineStr">
        <is>
          <t>Event: Webinar + Tour</t>
        </is>
      </c>
      <c r="H57" s="507" t="inlineStr">
        <is>
          <t>Attendance 85%</t>
        </is>
      </c>
    </row>
    <row r="58">
      <c r="A58" s="507" t="inlineStr">
        <is>
          <t>THPT</t>
        </is>
      </c>
      <c r="B58" s="507" t="inlineStr">
        <is>
          <t>Quyết Định</t>
        </is>
      </c>
      <c r="C58" s="507" t="inlineStr">
        <is>
          <t>Final discussion, hỗ trợ visa</t>
        </is>
      </c>
      <c r="D58" s="507" t="inlineStr">
        <is>
          <t>Học phí, visa support, timeline</t>
        </is>
      </c>
      <c r="E58" s="507" t="inlineStr">
        <is>
          <t>forms.truongvietanh.com/enroll-thpt</t>
        </is>
      </c>
      <c r="F58" s="507" t="inlineStr">
        <is>
          <t>Retargeting + conversion ads</t>
        </is>
      </c>
      <c r="G58" s="507" t="inlineStr">
        <is>
          <t>Create: Lead</t>
        </is>
      </c>
      <c r="H58" s="507" t="inlineStr">
        <is>
          <t>Conversion 22%</t>
        </is>
      </c>
    </row>
    <row r="59">
      <c r="A59" s="507" t="inlineStr">
        <is>
          <t>THPT</t>
        </is>
      </c>
      <c r="B59" s="507" t="inlineStr">
        <is>
          <t>Referral</t>
        </is>
      </c>
      <c r="C59" s="507" t="inlineStr">
        <is>
          <t>Alumni network, success promotion</t>
        </is>
      </c>
      <c r="D59" s="507" t="inlineStr">
        <is>
          <t>Alumni story, university acceptance</t>
        </is>
      </c>
      <c r="E59" s="507" t="inlineStr">
        <is>
          <t>forms.truongvietanh.com/refer-thpt</t>
        </is>
      </c>
      <c r="F59" s="507" t="inlineStr">
        <is>
          <t>LinkedIn + Instagram ads</t>
        </is>
      </c>
      <c r="G59" s="507" t="inlineStr">
        <is>
          <t>Tag: Referrer</t>
        </is>
      </c>
      <c r="H59" s="507" t="inlineStr">
        <is>
          <t>Referral 18%</t>
        </is>
      </c>
    </row>
  </sheetData>
  <mergeCells count="1">
    <mergeCell ref="A38:H3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7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247" min="1" max="1"/>
    <col width="18" customWidth="1" style="247" min="2" max="2"/>
    <col width="14" customWidth="1" style="247" min="3" max="9"/>
    <col width="2" customWidth="1" style="247" min="10" max="10"/>
  </cols>
  <sheetData>
    <row r="1" ht="39.75" customHeight="1" s="248">
      <c r="B1" s="254" t="inlineStr">
        <is>
          <t>🎯 DASHBOARD ĐIỀU HÀNH – KẾ HOẠCH TUYỂN SINH VIỆT ANH 2026</t>
        </is>
      </c>
      <c r="C1" s="255" t="n"/>
      <c r="D1" s="255" t="n"/>
      <c r="E1" s="255" t="n"/>
      <c r="F1" s="255" t="n"/>
      <c r="G1" s="255" t="n"/>
      <c r="H1" s="255" t="n"/>
      <c r="I1" s="256" t="n"/>
    </row>
    <row r="2" ht="21.75" customHeight="1" s="248">
      <c r="B2" s="257" t="inlineStr">
        <is>
          <t>Giai đoạn: 26/03/2026 – 30/09/2026  |  Tổng ngân sách: 13 tỷ đồng  |  Mục tiêu: 1,300 học sinh</t>
        </is>
      </c>
      <c r="C2" s="255" t="n"/>
      <c r="D2" s="255" t="n"/>
      <c r="E2" s="255" t="n"/>
      <c r="F2" s="255" t="n"/>
      <c r="G2" s="255" t="n"/>
      <c r="H2" s="255" t="n"/>
      <c r="I2" s="256" t="n"/>
    </row>
    <row r="3" ht="7.5" customHeight="1" s="248">
      <c r="B3" s="258" t="n"/>
      <c r="C3" s="258" t="n"/>
      <c r="D3" s="258" t="n"/>
      <c r="E3" s="258" t="n"/>
      <c r="F3" s="258" t="n"/>
      <c r="G3" s="258" t="n"/>
      <c r="H3" s="258" t="n"/>
      <c r="I3" s="258" t="n"/>
    </row>
    <row r="4" ht="24" customHeight="1" s="248">
      <c r="B4" s="259" t="inlineStr">
        <is>
          <t>📊 KPI TỔNG QUAN (tự động liên kết từ các sheet)</t>
        </is>
      </c>
      <c r="C4" s="255" t="n"/>
      <c r="D4" s="255" t="n"/>
      <c r="E4" s="255" t="n"/>
      <c r="F4" s="255" t="n"/>
      <c r="G4" s="255" t="n"/>
      <c r="H4" s="255" t="n"/>
      <c r="I4" s="256" t="n"/>
    </row>
    <row r="5" ht="19.5" customHeight="1" s="248">
      <c r="B5" s="260" t="inlineStr">
        <is>
          <t>Chỉ số</t>
        </is>
      </c>
      <c r="C5" s="260" t="inlineStr">
        <is>
          <t>Mục tiêu</t>
        </is>
      </c>
      <c r="D5" s="260" t="inlineStr">
        <is>
          <t>Thực tế MTD</t>
        </is>
      </c>
      <c r="E5" s="260" t="inlineStr">
        <is>
          <t>Vs Target</t>
        </is>
      </c>
      <c r="F5" s="260" t="inlineStr">
        <is>
          <t>Trạng thái</t>
        </is>
      </c>
      <c r="G5" s="260" t="inlineStr">
        <is>
          <t>Nguồn dữ liệu</t>
        </is>
      </c>
      <c r="H5" s="260" t="inlineStr">
        <is>
          <t>Sheet liên kết</t>
        </is>
      </c>
      <c r="I5" s="258" t="n"/>
    </row>
    <row r="6" ht="19.5" customHeight="1" s="248">
      <c r="B6" s="261" t="inlineStr">
        <is>
          <t>🏫 Nhập học tích lũy</t>
        </is>
      </c>
      <c r="C6" s="262">
        <f>'1. Input'!B5</f>
        <v/>
      </c>
      <c r="D6" s="263" t="n">
        <v>0</v>
      </c>
      <c r="E6" s="264">
        <f>IF(C6&gt;0,D6/C6,0)</f>
        <v/>
      </c>
      <c r="F6" s="265" t="inlineStr">
        <is>
          <t>→ Nhập tay</t>
        </is>
      </c>
      <c r="G6" s="266" t="inlineStr">
        <is>
          <t>1. Input</t>
        </is>
      </c>
      <c r="H6" s="267" t="inlineStr">
        <is>
          <t>Nhập tay từ CRM</t>
        </is>
      </c>
      <c r="I6" s="268" t="n"/>
    </row>
    <row r="7" ht="19.5" customHeight="1" s="248">
      <c r="B7" s="269" t="inlineStr">
        <is>
          <t>🎯 School Tour tích lũy</t>
        </is>
      </c>
      <c r="C7" s="270">
        <f>'4. Funnel'!D3</f>
        <v/>
      </c>
      <c r="D7" s="271" t="n">
        <v>0</v>
      </c>
      <c r="E7" s="272">
        <f>IF(C7&gt;0,D7/C7,0)</f>
        <v/>
      </c>
      <c r="F7" s="273" t="inlineStr">
        <is>
          <t>→ Nhập tay</t>
        </is>
      </c>
      <c r="G7" s="274" t="inlineStr">
        <is>
          <t>4. Funnel</t>
        </is>
      </c>
      <c r="H7" s="275" t="inlineStr">
        <is>
          <t>Nhập tay từ GHL</t>
        </is>
      </c>
      <c r="I7" s="276" t="n"/>
    </row>
    <row r="8" ht="19.5" customHeight="1" s="248">
      <c r="B8" s="261" t="inlineStr">
        <is>
          <t>📥 Leads tích lũy</t>
        </is>
      </c>
      <c r="C8" s="262">
        <f>'4. Funnel'!D4</f>
        <v/>
      </c>
      <c r="D8" s="263" t="n">
        <v>0</v>
      </c>
      <c r="E8" s="264">
        <f>IF(C8&gt;0,D8/C8,0)</f>
        <v/>
      </c>
      <c r="F8" s="265" t="inlineStr">
        <is>
          <t>→ Nhập tay</t>
        </is>
      </c>
      <c r="G8" s="266" t="inlineStr">
        <is>
          <t>4. Funnel</t>
        </is>
      </c>
      <c r="H8" s="267" t="inlineStr">
        <is>
          <t>Nhập tay từ GHL</t>
        </is>
      </c>
      <c r="I8" s="268" t="n"/>
    </row>
    <row r="9" ht="19.5" customHeight="1" s="248">
      <c r="B9" s="269" t="inlineStr">
        <is>
          <t>💰 Chi phí Paid Media</t>
        </is>
      </c>
      <c r="C9" s="270">
        <f>'2. Paid Media'!C10</f>
        <v/>
      </c>
      <c r="D9" s="271" t="n">
        <v>0</v>
      </c>
      <c r="E9" s="272">
        <f>IF(C9&gt;0,D9/C9,0)</f>
        <v/>
      </c>
      <c r="F9" s="273" t="inlineStr">
        <is>
          <t>→ Nhập tay</t>
        </is>
      </c>
      <c r="G9" s="274" t="inlineStr">
        <is>
          <t>2. Paid Media</t>
        </is>
      </c>
      <c r="H9" s="275" t="inlineStr">
        <is>
          <t>Birch / Ads Manager</t>
        </is>
      </c>
      <c r="I9" s="276" t="n"/>
    </row>
    <row r="10" ht="19.5" customHeight="1" s="248">
      <c r="B10" s="261" t="inlineStr">
        <is>
          <t>📊 CPL trung bình</t>
        </is>
      </c>
      <c r="C10" s="262" t="n">
        <v>200000</v>
      </c>
      <c r="D10" s="263" t="n">
        <v>0</v>
      </c>
      <c r="E10" s="264">
        <f>IF(C10&gt;0,D10/C10,0)</f>
        <v/>
      </c>
      <c r="F10" s="265" t="inlineStr">
        <is>
          <t>→ Nhập tay</t>
        </is>
      </c>
      <c r="G10" s="266" t="inlineStr">
        <is>
          <t>14. Weekly Battleplan</t>
        </is>
      </c>
      <c r="H10" s="267" t="inlineStr">
        <is>
          <t>Nhập tay tuần</t>
        </is>
      </c>
      <c r="I10" s="268" t="n"/>
    </row>
    <row r="11" ht="19.5" customHeight="1" s="248">
      <c r="B11" s="269" t="inlineStr">
        <is>
          <t>🏃 Lead→Tour rate</t>
        </is>
      </c>
      <c r="C11" s="270" t="n">
        <v>0.3</v>
      </c>
      <c r="D11" s="271" t="n">
        <v>0</v>
      </c>
      <c r="E11" s="272">
        <f>IF(C11&gt;0,D11/C11,0)</f>
        <v/>
      </c>
      <c r="F11" s="273" t="inlineStr">
        <is>
          <t>→ Nhập tay</t>
        </is>
      </c>
      <c r="G11" s="274" t="inlineStr">
        <is>
          <t>4. Funnel</t>
        </is>
      </c>
      <c r="H11" s="275" t="inlineStr">
        <is>
          <t>Tính từ GHL</t>
        </is>
      </c>
      <c r="I11" s="276" t="n"/>
    </row>
    <row r="12" ht="19.5" customHeight="1" s="248">
      <c r="B12" s="261" t="inlineStr">
        <is>
          <t>✅ Tour→Nhập học rate</t>
        </is>
      </c>
      <c r="C12" s="262" t="n">
        <v>0.35</v>
      </c>
      <c r="D12" s="263" t="n">
        <v>0</v>
      </c>
      <c r="E12" s="264">
        <f>IF(C12&gt;0,D12/C12,0)</f>
        <v/>
      </c>
      <c r="F12" s="265" t="inlineStr">
        <is>
          <t>→ Nhập tay</t>
        </is>
      </c>
      <c r="G12" s="266" t="inlineStr">
        <is>
          <t>4. Funnel</t>
        </is>
      </c>
      <c r="H12" s="267" t="inlineStr">
        <is>
          <t>Tính từ GHL</t>
        </is>
      </c>
      <c r="I12" s="268" t="n"/>
    </row>
    <row r="13" ht="19.5" customHeight="1" s="248">
      <c r="B13" s="269" t="inlineStr">
        <is>
          <t>⚡ Response &lt;5 min</t>
        </is>
      </c>
      <c r="C13" s="270" t="n">
        <v>0.85</v>
      </c>
      <c r="D13" s="271" t="n">
        <v>0</v>
      </c>
      <c r="E13" s="272">
        <f>IF(C13&gt;0,D13/C13,0)</f>
        <v/>
      </c>
      <c r="F13" s="273" t="inlineStr">
        <is>
          <t>→ Nhập tay</t>
        </is>
      </c>
      <c r="G13" s="274" t="inlineStr">
        <is>
          <t>14. Weekly Battleplan</t>
        </is>
      </c>
      <c r="H13" s="275" t="inlineStr">
        <is>
          <t>Nhập tay tuần</t>
        </is>
      </c>
      <c r="I13" s="276" t="n"/>
    </row>
    <row r="14" ht="9.75" customHeight="1" s="248">
      <c r="B14" s="258" t="n"/>
      <c r="C14" s="258" t="n"/>
      <c r="D14" s="258" t="n"/>
      <c r="E14" s="258" t="n"/>
      <c r="F14" s="258" t="n"/>
      <c r="G14" s="258" t="n"/>
      <c r="H14" s="258" t="n"/>
      <c r="I14" s="258" t="n"/>
    </row>
    <row r="15" ht="24" customHeight="1" s="248">
      <c r="B15" s="277" t="inlineStr">
        <is>
          <t>💰 NGÂN SÁCH PAID MEDIA THEO KÊNH (liên kết 2. Paid Media)</t>
        </is>
      </c>
      <c r="C15" s="255" t="n"/>
      <c r="D15" s="255" t="n"/>
      <c r="E15" s="255" t="n"/>
      <c r="F15" s="255" t="n"/>
      <c r="G15" s="255" t="n"/>
      <c r="H15" s="255" t="n"/>
      <c r="I15" s="256" t="n"/>
    </row>
    <row r="16" ht="19.5" customHeight="1" s="248">
      <c r="B16" s="278" t="inlineStr">
        <is>
          <t>Kênh</t>
        </is>
      </c>
      <c r="C16" s="278" t="inlineStr">
        <is>
          <t>% Mix</t>
        </is>
      </c>
      <c r="D16" s="278" t="inlineStr">
        <is>
          <t>Ngân sách</t>
        </is>
      </c>
      <c r="E16" s="278" t="inlineStr">
        <is>
          <t>Vai trò</t>
        </is>
      </c>
      <c r="F16" s="278" t="inlineStr">
        <is>
          <t>CPL Mục tiêu</t>
        </is>
      </c>
      <c r="G16" s="278" t="inlineStr">
        <is>
          <t>Quản lý</t>
        </is>
      </c>
      <c r="H16" s="278" t="inlineStr">
        <is>
          <t>Ghi chú</t>
        </is>
      </c>
      <c r="I16" s="258" t="n"/>
    </row>
    <row r="17" ht="18" customHeight="1" s="248">
      <c r="B17" s="269" t="inlineStr">
        <is>
          <t>Meta / Facebook + Instagram</t>
        </is>
      </c>
      <c r="C17" s="279" t="n">
        <v>0.38</v>
      </c>
      <c r="D17" s="280" t="n">
        <v>3230000000</v>
      </c>
      <c r="E17" s="281" t="inlineStr">
        <is>
          <t>Demand + lead local</t>
        </is>
      </c>
      <c r="F17" s="280" t="n">
        <v>120000</v>
      </c>
      <c r="G17" s="282" t="inlineStr">
        <is>
          <t>Birch + GHL</t>
        </is>
      </c>
      <c r="H17" s="275" t="inlineStr">
        <is>
          <t>Kênh chủ lực</t>
        </is>
      </c>
      <c r="I17" s="276" t="n"/>
    </row>
    <row r="18" ht="18" customHeight="1" s="248">
      <c r="B18" s="283" t="inlineStr">
        <is>
          <t>Google Search</t>
        </is>
      </c>
      <c r="C18" s="284" t="n">
        <v>0.18</v>
      </c>
      <c r="D18" s="285" t="n">
        <v>1530000000</v>
      </c>
      <c r="E18" s="286" t="inlineStr">
        <is>
          <t>Intent-based</t>
        </is>
      </c>
      <c r="F18" s="285" t="n">
        <v>180000</v>
      </c>
      <c r="G18" s="287" t="inlineStr">
        <is>
          <t>Birch</t>
        </is>
      </c>
      <c r="H18" s="288" t="inlineStr">
        <is>
          <t>THCS/THPT</t>
        </is>
      </c>
      <c r="I18" s="289" t="n"/>
    </row>
    <row r="19" ht="18" customHeight="1" s="248">
      <c r="B19" s="269" t="inlineStr">
        <is>
          <t>Google Display / YouTube</t>
        </is>
      </c>
      <c r="C19" s="279" t="n">
        <v>0.07000000000000001</v>
      </c>
      <c r="D19" s="280" t="n">
        <v>595000000</v>
      </c>
      <c r="E19" s="281" t="inlineStr">
        <is>
          <t>Phủ + video</t>
        </is>
      </c>
      <c r="F19" s="290" t="inlineStr">
        <is>
          <t>N/A</t>
        </is>
      </c>
      <c r="G19" s="282" t="inlineStr">
        <is>
          <t>Birch</t>
        </is>
      </c>
      <c r="H19" s="275" t="inlineStr">
        <is>
          <t>Testimonial</t>
        </is>
      </c>
      <c r="I19" s="276" t="n"/>
    </row>
    <row r="20" ht="18" customHeight="1" s="248">
      <c r="B20" s="283" t="inlineStr">
        <is>
          <t>TikTok Ads</t>
        </is>
      </c>
      <c r="C20" s="284" t="n">
        <v>0.1</v>
      </c>
      <c r="D20" s="285" t="n">
        <v>850000000</v>
      </c>
      <c r="E20" s="286" t="inlineStr">
        <is>
          <t>Video social proof</t>
        </is>
      </c>
      <c r="F20" s="285" t="n">
        <v>90000</v>
      </c>
      <c r="G20" s="287" t="inlineStr">
        <is>
          <t>Birch + GHL</t>
        </is>
      </c>
      <c r="H20" s="288" t="inlineStr">
        <is>
          <t>100 video</t>
        </is>
      </c>
      <c r="I20" s="289" t="n"/>
    </row>
    <row r="21" ht="18" customHeight="1" s="248">
      <c r="B21" s="269" t="inlineStr">
        <is>
          <t>Zalo Ads + OA</t>
        </is>
      </c>
      <c r="C21" s="279" t="n">
        <v>0.07000000000000001</v>
      </c>
      <c r="D21" s="280" t="n">
        <v>595000000</v>
      </c>
      <c r="E21" s="281" t="inlineStr">
        <is>
          <t>Nurture local</t>
        </is>
      </c>
      <c r="F21" s="280" t="n">
        <v>80000</v>
      </c>
      <c r="G21" s="282" t="inlineStr">
        <is>
          <t>GHL</t>
        </is>
      </c>
      <c r="H21" s="275" t="inlineStr">
        <is>
          <t>K12 local</t>
        </is>
      </c>
      <c r="I21" s="276" t="n"/>
    </row>
    <row r="22" ht="18" customHeight="1" s="248">
      <c r="B22" s="283" t="inlineStr">
        <is>
          <t>Webinar Ads</t>
        </is>
      </c>
      <c r="C22" s="284" t="n">
        <v>0.05</v>
      </c>
      <c r="D22" s="285" t="n">
        <v>425000000</v>
      </c>
      <c r="E22" s="286" t="inlineStr">
        <is>
          <t>Webinar lộ trình</t>
        </is>
      </c>
      <c r="F22" s="285" t="n">
        <v>50000</v>
      </c>
      <c r="G22" s="287" t="inlineStr">
        <is>
          <t>Meta + GHL</t>
        </is>
      </c>
      <c r="H22" s="288" t="inlineStr">
        <is>
          <t>THCS/THPT</t>
        </is>
      </c>
      <c r="I22" s="289" t="n"/>
    </row>
    <row r="23" ht="18" customHeight="1" s="248">
      <c r="B23" s="269" t="inlineStr">
        <is>
          <t>Remarketing đa nền tảng</t>
        </is>
      </c>
      <c r="C23" s="279" t="n">
        <v>0.12</v>
      </c>
      <c r="D23" s="280" t="n">
        <v>1020000000</v>
      </c>
      <c r="E23" s="281" t="inlineStr">
        <is>
          <t>Đuổi lại khách</t>
        </is>
      </c>
      <c r="F23" s="280" t="n">
        <v>150000</v>
      </c>
      <c r="G23" s="282" t="inlineStr">
        <is>
          <t>Birch</t>
        </is>
      </c>
      <c r="H23" s="275" t="inlineStr">
        <is>
          <t>12%</t>
        </is>
      </c>
      <c r="I23" s="276" t="n"/>
    </row>
    <row r="24" ht="18" customHeight="1" s="248">
      <c r="B24" s="283" t="inlineStr">
        <is>
          <t>Local SEO / GMB</t>
        </is>
      </c>
      <c r="C24" s="284" t="n">
        <v>0.05</v>
      </c>
      <c r="D24" s="285" t="n">
        <v>425000000</v>
      </c>
      <c r="E24" s="286" t="inlineStr">
        <is>
          <t>Local presence</t>
        </is>
      </c>
      <c r="F24" s="291" t="inlineStr">
        <is>
          <t>N/A</t>
        </is>
      </c>
      <c r="G24" s="287" t="inlineStr">
        <is>
          <t>Manual + GHL</t>
        </is>
      </c>
      <c r="H24" s="288" t="inlineStr">
        <is>
          <t>8 địa điểm</t>
        </is>
      </c>
      <c r="I24" s="289" t="n"/>
    </row>
    <row r="25" ht="21.75" customHeight="1" s="248">
      <c r="B25" s="292" t="inlineStr">
        <is>
          <t>TỔNG PAID MEDIA</t>
        </is>
      </c>
      <c r="C25" s="293" t="n">
        <v>1.02</v>
      </c>
      <c r="D25" s="294" t="n">
        <v>8670000000</v>
      </c>
      <c r="E25" s="295" t="n"/>
      <c r="F25" s="295" t="n"/>
      <c r="G25" s="295" t="n"/>
      <c r="H25" s="295" t="n"/>
      <c r="I25" s="295" t="n"/>
    </row>
    <row r="26" ht="9.75" customHeight="1" s="248">
      <c r="B26" s="258" t="n"/>
      <c r="C26" s="258" t="n"/>
      <c r="D26" s="258" t="n"/>
      <c r="E26" s="258" t="n"/>
      <c r="F26" s="258" t="n"/>
      <c r="G26" s="258" t="n"/>
      <c r="H26" s="258" t="n"/>
      <c r="I26" s="258" t="n"/>
    </row>
    <row r="27" ht="24" customHeight="1" s="248">
      <c r="B27" s="296" t="inlineStr">
        <is>
          <t>🏫 PHÂN BỔ THEO CƠ SỞ (liên kết 3. Master Table)</t>
        </is>
      </c>
      <c r="C27" s="255" t="n"/>
      <c r="D27" s="255" t="n"/>
      <c r="E27" s="255" t="n"/>
      <c r="F27" s="255" t="n"/>
      <c r="G27" s="255" t="n"/>
      <c r="H27" s="255" t="n"/>
      <c r="I27" s="256" t="n"/>
    </row>
    <row r="28" ht="19.5" customHeight="1" s="248">
      <c r="B28" s="297" t="inlineStr">
        <is>
          <t>Cơ sở</t>
        </is>
      </c>
      <c r="C28" s="297" t="inlineStr">
        <is>
          <t>Cấp</t>
        </is>
      </c>
      <c r="D28" s="297" t="inlineStr">
        <is>
          <t>HS Mục tiêu</t>
        </is>
      </c>
      <c r="E28" s="297" t="inlineStr">
        <is>
          <t>CAC</t>
        </is>
      </c>
      <c r="F28" s="297" t="inlineStr">
        <is>
          <t>Meta (đ)</t>
        </is>
      </c>
      <c r="G28" s="297" t="inlineStr">
        <is>
          <t>G.Search (đ)</t>
        </is>
      </c>
      <c r="H28" s="297" t="inlineStr">
        <is>
          <t>TikTok (đ)</t>
        </is>
      </c>
      <c r="I28" s="297" t="inlineStr">
        <is>
          <t>Zalo (đ)</t>
        </is>
      </c>
    </row>
    <row r="29" ht="18" customHeight="1" s="248">
      <c r="B29" s="261" t="inlineStr">
        <is>
          <t>MN VA Gò Vấp</t>
        </is>
      </c>
      <c r="C29" s="298" t="inlineStr">
        <is>
          <t>MN</t>
        </is>
      </c>
      <c r="D29" s="299" t="n">
        <v>200</v>
      </c>
      <c r="E29" s="300" t="n">
        <v>0.85</v>
      </c>
      <c r="F29" s="299" t="n">
        <v>405838877</v>
      </c>
      <c r="G29" s="299" t="n">
        <v>192239468</v>
      </c>
      <c r="H29" s="299" t="n">
        <v>106799704</v>
      </c>
      <c r="I29" s="299" t="n">
        <v>74759793</v>
      </c>
    </row>
    <row r="30" ht="18" customHeight="1" s="248">
      <c r="B30" s="261" t="inlineStr">
        <is>
          <t>MN Nhân Lễ</t>
        </is>
      </c>
      <c r="C30" s="298" t="inlineStr">
        <is>
          <t>MN</t>
        </is>
      </c>
      <c r="D30" s="299" t="n">
        <v>60</v>
      </c>
      <c r="E30" s="300" t="n">
        <v>0.85</v>
      </c>
      <c r="F30" s="299" t="n">
        <v>121751663</v>
      </c>
      <c r="G30" s="299" t="n">
        <v>57671840</v>
      </c>
      <c r="H30" s="299" t="n">
        <v>32039911</v>
      </c>
      <c r="I30" s="299" t="n">
        <v>22427938</v>
      </c>
    </row>
    <row r="31" ht="18" customHeight="1" s="248">
      <c r="B31" s="261" t="inlineStr">
        <is>
          <t>MN Thái Sơn</t>
        </is>
      </c>
      <c r="C31" s="298" t="inlineStr">
        <is>
          <t>MN</t>
        </is>
      </c>
      <c r="D31" s="299" t="n">
        <v>60</v>
      </c>
      <c r="E31" s="300" t="n">
        <v>0.85</v>
      </c>
      <c r="F31" s="299" t="n">
        <v>121751663</v>
      </c>
      <c r="G31" s="299" t="n">
        <v>57671840</v>
      </c>
      <c r="H31" s="299" t="n">
        <v>32039911</v>
      </c>
      <c r="I31" s="299" t="n">
        <v>22427938</v>
      </c>
    </row>
    <row r="32" ht="18" customHeight="1" s="248">
      <c r="B32" s="261" t="inlineStr">
        <is>
          <t>MN Mekong Xanh</t>
        </is>
      </c>
      <c r="C32" s="298" t="inlineStr">
        <is>
          <t>MN</t>
        </is>
      </c>
      <c r="D32" s="299" t="n">
        <v>60</v>
      </c>
      <c r="E32" s="300" t="n">
        <v>0.85</v>
      </c>
      <c r="F32" s="299" t="n">
        <v>121751663</v>
      </c>
      <c r="G32" s="299" t="n">
        <v>57671840</v>
      </c>
      <c r="H32" s="299" t="n">
        <v>32039911</v>
      </c>
      <c r="I32" s="299" t="n">
        <v>22427938</v>
      </c>
    </row>
    <row r="33" ht="18" customHeight="1" s="248">
      <c r="B33" s="301" t="inlineStr">
        <is>
          <t>TH VA Gò Vấp</t>
        </is>
      </c>
      <c r="C33" s="302" t="inlineStr">
        <is>
          <t>TH</t>
        </is>
      </c>
      <c r="D33" s="303" t="n">
        <v>150</v>
      </c>
      <c r="E33" s="304" t="n">
        <v>1</v>
      </c>
      <c r="F33" s="303" t="n">
        <v>358093126</v>
      </c>
      <c r="G33" s="303" t="n">
        <v>169623060</v>
      </c>
      <c r="H33" s="303" t="n">
        <v>94235033</v>
      </c>
      <c r="I33" s="303" t="n">
        <v>65964523</v>
      </c>
    </row>
    <row r="34" ht="18" customHeight="1" s="248">
      <c r="B34" s="301" t="inlineStr">
        <is>
          <t>TH VA Bình Tân</t>
        </is>
      </c>
      <c r="C34" s="302" t="inlineStr">
        <is>
          <t>TH</t>
        </is>
      </c>
      <c r="D34" s="303" t="n">
        <v>150</v>
      </c>
      <c r="E34" s="304" t="n">
        <v>1</v>
      </c>
      <c r="F34" s="303" t="n">
        <v>358093126</v>
      </c>
      <c r="G34" s="303" t="n">
        <v>169623060</v>
      </c>
      <c r="H34" s="303" t="n">
        <v>94235033</v>
      </c>
      <c r="I34" s="303" t="n">
        <v>65964523</v>
      </c>
    </row>
    <row r="35" ht="18" customHeight="1" s="248">
      <c r="B35" s="301" t="inlineStr">
        <is>
          <t>TH Thái Sơn</t>
        </is>
      </c>
      <c r="C35" s="302" t="inlineStr">
        <is>
          <t>TH</t>
        </is>
      </c>
      <c r="D35" s="303" t="n">
        <v>60</v>
      </c>
      <c r="E35" s="304" t="n">
        <v>1</v>
      </c>
      <c r="F35" s="303" t="n">
        <v>143237251</v>
      </c>
      <c r="G35" s="303" t="n">
        <v>67849224</v>
      </c>
      <c r="H35" s="303" t="n">
        <v>37694013</v>
      </c>
      <c r="I35" s="303" t="n">
        <v>26385809</v>
      </c>
    </row>
    <row r="36" ht="18" customHeight="1" s="248">
      <c r="B36" s="301" t="inlineStr">
        <is>
          <t>TH Mekong Xanh</t>
        </is>
      </c>
      <c r="C36" s="302" t="inlineStr">
        <is>
          <t>TH</t>
        </is>
      </c>
      <c r="D36" s="303" t="n">
        <v>60</v>
      </c>
      <c r="E36" s="304" t="n">
        <v>1</v>
      </c>
      <c r="F36" s="303" t="n">
        <v>143237251</v>
      </c>
      <c r="G36" s="303" t="n">
        <v>67849224</v>
      </c>
      <c r="H36" s="303" t="n">
        <v>37694013</v>
      </c>
      <c r="I36" s="303" t="n">
        <v>26385809</v>
      </c>
    </row>
    <row r="37" ht="18" customHeight="1" s="248">
      <c r="B37" s="305" t="inlineStr">
        <is>
          <t>THCS VA Gò Vấp</t>
        </is>
      </c>
      <c r="C37" s="306" t="inlineStr">
        <is>
          <t>THCS</t>
        </is>
      </c>
      <c r="D37" s="307" t="n">
        <v>200</v>
      </c>
      <c r="E37" s="308" t="n">
        <v>1.2</v>
      </c>
      <c r="F37" s="307" t="n">
        <v>572949002</v>
      </c>
      <c r="G37" s="307" t="n">
        <v>271396896</v>
      </c>
      <c r="H37" s="307" t="n">
        <v>150776053</v>
      </c>
      <c r="I37" s="307" t="n">
        <v>105543237</v>
      </c>
    </row>
    <row r="38" ht="18" customHeight="1" s="248">
      <c r="B38" s="309" t="inlineStr">
        <is>
          <t>THPT VA Gò Vấp</t>
        </is>
      </c>
      <c r="C38" s="310" t="inlineStr">
        <is>
          <t>THPT</t>
        </is>
      </c>
      <c r="D38" s="311" t="n">
        <v>200</v>
      </c>
      <c r="E38" s="312" t="n">
        <v>1.35</v>
      </c>
      <c r="F38" s="311" t="n">
        <v>644567627</v>
      </c>
      <c r="G38" s="311" t="n">
        <v>305321508</v>
      </c>
      <c r="H38" s="311" t="n">
        <v>169623060</v>
      </c>
      <c r="I38" s="311" t="n">
        <v>118736142</v>
      </c>
    </row>
    <row r="39" ht="18" customHeight="1" s="248">
      <c r="B39" s="301" t="inlineStr">
        <is>
          <t>Brand hệ thống</t>
        </is>
      </c>
      <c r="C39" s="302" t="inlineStr">
        <is>
          <t>Chung</t>
        </is>
      </c>
      <c r="D39" s="303" t="n">
        <v>100</v>
      </c>
      <c r="E39" s="304" t="n">
        <v>1</v>
      </c>
      <c r="F39" s="303" t="n">
        <v>238728751</v>
      </c>
      <c r="G39" s="303" t="n">
        <v>113082040</v>
      </c>
      <c r="H39" s="303" t="n">
        <v>62823356</v>
      </c>
      <c r="I39" s="303" t="n">
        <v>43976349</v>
      </c>
    </row>
    <row r="40" ht="9.75" customHeight="1" s="248">
      <c r="B40" s="258" t="n"/>
      <c r="C40" s="258" t="n"/>
      <c r="D40" s="258" t="n"/>
      <c r="E40" s="258" t="n"/>
      <c r="F40" s="258" t="n"/>
      <c r="G40" s="258" t="n"/>
      <c r="H40" s="258" t="n"/>
      <c r="I40" s="258" t="n"/>
    </row>
    <row r="41" ht="24" customHeight="1" s="248">
      <c r="B41" s="313" t="inlineStr">
        <is>
          <t>🗂️ NAVIGATOR – DANH SÁCH CÁC SHEET (Click để xem)</t>
        </is>
      </c>
      <c r="C41" s="255" t="n"/>
      <c r="D41" s="255" t="n"/>
      <c r="E41" s="255" t="n"/>
      <c r="F41" s="255" t="n"/>
      <c r="G41" s="255" t="n"/>
      <c r="H41" s="255" t="n"/>
      <c r="I41" s="256" t="n"/>
    </row>
    <row r="42" ht="15" customHeight="1" s="248">
      <c r="B42" s="314" t="inlineStr">
        <is>
          <t>#</t>
        </is>
      </c>
      <c r="C42" s="314" t="inlineStr">
        <is>
          <t>Tên Sheet</t>
        </is>
      </c>
      <c r="D42" s="314" t="inlineStr">
        <is>
          <t>Mô tả</t>
        </is>
      </c>
      <c r="E42" s="314" t="inlineStr">
        <is>
          <t>Dùng cho</t>
        </is>
      </c>
      <c r="F42" s="314" t="inlineStr">
        <is>
          <t>Cập nhật</t>
        </is>
      </c>
      <c r="G42" s="314" t="inlineStr">
        <is>
          <t>Tần suất</t>
        </is>
      </c>
      <c r="H42" s="314" t="inlineStr">
        <is>
          <t>Liên kết đến</t>
        </is>
      </c>
      <c r="I42" s="258" t="n"/>
    </row>
    <row r="43" ht="18" customHeight="1" s="248">
      <c r="B43" s="315" t="inlineStr">
        <is>
          <t>1</t>
        </is>
      </c>
      <c r="C43" s="316" t="inlineStr">
        <is>
          <t>1. Input</t>
        </is>
      </c>
      <c r="D43" s="317" t="inlineStr">
        <is>
          <t>Thông số đầu vào toàn kế hoạch</t>
        </is>
      </c>
      <c r="E43" s="317" t="inlineStr">
        <is>
          <t>Ban điều hành</t>
        </is>
      </c>
      <c r="F43" s="317" t="inlineStr">
        <is>
          <t>26/03</t>
        </is>
      </c>
      <c r="G43" s="317" t="inlineStr">
        <is>
          <t>Đầu mùa</t>
        </is>
      </c>
      <c r="H43" s="317" t="inlineStr">
        <is>
          <t>Master Table, Funnel</t>
        </is>
      </c>
      <c r="I43" s="258" t="n"/>
    </row>
    <row r="44" ht="18" customHeight="1" s="248">
      <c r="B44" s="315" t="inlineStr">
        <is>
          <t>2</t>
        </is>
      </c>
      <c r="C44" s="316" t="inlineStr">
        <is>
          <t>2. Paid Media</t>
        </is>
      </c>
      <c r="D44" s="281" t="inlineStr">
        <is>
          <t>Mix kênh, ngân sách, KPI mỗi kênh</t>
        </is>
      </c>
      <c r="E44" s="281" t="inlineStr">
        <is>
          <t>Marketing Lead</t>
        </is>
      </c>
      <c r="F44" s="281" t="inlineStr">
        <is>
          <t>Hàng tháng</t>
        </is>
      </c>
      <c r="G44" s="281" t="inlineStr">
        <is>
          <t>Tháng</t>
        </is>
      </c>
      <c r="H44" s="281" t="inlineStr">
        <is>
          <t>Master Table</t>
        </is>
      </c>
      <c r="I44" s="258" t="n"/>
    </row>
    <row r="45" ht="18" customHeight="1" s="248">
      <c r="B45" s="315" t="inlineStr">
        <is>
          <t>3</t>
        </is>
      </c>
      <c r="C45" s="316" t="inlineStr">
        <is>
          <t>3. Master Table</t>
        </is>
      </c>
      <c r="D45" s="317" t="inlineStr">
        <is>
          <t>Phân bổ NS theo từng cơ sở</t>
        </is>
      </c>
      <c r="E45" s="317" t="inlineStr">
        <is>
          <t>Tất cả</t>
        </is>
      </c>
      <c r="F45" s="317" t="inlineStr">
        <is>
          <t>Đầu mùa</t>
        </is>
      </c>
      <c r="G45" s="317" t="inlineStr">
        <is>
          <t>Đầu mùa</t>
        </is>
      </c>
      <c r="H45" s="317" t="inlineStr">
        <is>
          <t>Paid Media, Funnel</t>
        </is>
      </c>
      <c r="I45" s="258" t="n"/>
    </row>
    <row r="46" ht="18" customHeight="1" s="248">
      <c r="B46" s="315" t="inlineStr">
        <is>
          <t>4</t>
        </is>
      </c>
      <c r="C46" s="316" t="inlineStr">
        <is>
          <t>4. Funnel</t>
        </is>
      </c>
      <c r="D46" s="281" t="inlineStr">
        <is>
          <t>Funnel chuyển đổi &amp; KPI</t>
        </is>
      </c>
      <c r="E46" s="281" t="inlineStr">
        <is>
          <t>Tất cả</t>
        </is>
      </c>
      <c r="F46" s="281" t="inlineStr">
        <is>
          <t>Tuần</t>
        </is>
      </c>
      <c r="G46" s="281" t="inlineStr">
        <is>
          <t>Tuần</t>
        </is>
      </c>
      <c r="H46" s="281" t="inlineStr">
        <is>
          <t>Dashboard, Battleplan</t>
        </is>
      </c>
      <c r="I46" s="258" t="n"/>
    </row>
    <row r="47" ht="18" customHeight="1" s="248">
      <c r="B47" s="315" t="inlineStr">
        <is>
          <t>5</t>
        </is>
      </c>
      <c r="C47" s="316" t="inlineStr">
        <is>
          <t>5. Google Ads Chi Tiết</t>
        </is>
      </c>
      <c r="D47" s="317" t="inlineStr">
        <is>
          <t>Campaign, KW, RSA, Birch setup</t>
        </is>
      </c>
      <c r="E47" s="317" t="inlineStr">
        <is>
          <t>Perf. Marketing</t>
        </is>
      </c>
      <c r="F47" s="317" t="inlineStr">
        <is>
          <t>Tuần</t>
        </is>
      </c>
      <c r="G47" s="317" t="inlineStr">
        <is>
          <t>Tuần</t>
        </is>
      </c>
      <c r="H47" s="317" t="inlineStr">
        <is>
          <t>KPI Weekly</t>
        </is>
      </c>
      <c r="I47" s="258" t="n"/>
    </row>
    <row r="48" ht="18" customHeight="1" s="248">
      <c r="B48" s="315" t="inlineStr">
        <is>
          <t>6</t>
        </is>
      </c>
      <c r="C48" s="316" t="inlineStr">
        <is>
          <t>6. Meta Ads Chi Tiết</t>
        </is>
      </c>
      <c r="D48" s="281" t="inlineStr">
        <is>
          <t>Campaign, Audience, Creative, Pixel</t>
        </is>
      </c>
      <c r="E48" s="281" t="inlineStr">
        <is>
          <t>Perf. Marketing</t>
        </is>
      </c>
      <c r="F48" s="281" t="inlineStr">
        <is>
          <t>Tuần</t>
        </is>
      </c>
      <c r="G48" s="281" t="inlineStr">
        <is>
          <t>Tuần</t>
        </is>
      </c>
      <c r="H48" s="281" t="inlineStr">
        <is>
          <t>KPI Weekly</t>
        </is>
      </c>
      <c r="I48" s="258" t="n"/>
    </row>
    <row r="49" ht="18" customHeight="1" s="248">
      <c r="B49" s="315" t="inlineStr">
        <is>
          <t>7</t>
        </is>
      </c>
      <c r="C49" s="316" t="inlineStr">
        <is>
          <t>7. TikTok Ads Chi Tiết</t>
        </is>
      </c>
      <c r="D49" s="317" t="inlineStr">
        <is>
          <t>100 video, campaign, GTM</t>
        </is>
      </c>
      <c r="E49" s="317" t="inlineStr">
        <is>
          <t>Content + Perf.</t>
        </is>
      </c>
      <c r="F49" s="317" t="inlineStr">
        <is>
          <t>Tuần</t>
        </is>
      </c>
      <c r="G49" s="317" t="inlineStr">
        <is>
          <t>Tuần</t>
        </is>
      </c>
      <c r="H49" s="317" t="inlineStr">
        <is>
          <t>KPI Weekly</t>
        </is>
      </c>
      <c r="I49" s="258" t="n"/>
    </row>
    <row r="50" ht="18" customHeight="1" s="248">
      <c r="B50" s="315" t="inlineStr">
        <is>
          <t>8</t>
        </is>
      </c>
      <c r="C50" s="316" t="inlineStr">
        <is>
          <t>8. GoHighLevel Setup</t>
        </is>
      </c>
      <c r="D50" s="281" t="inlineStr">
        <is>
          <t>CRM, Pipeline, Automation, Zalo</t>
        </is>
      </c>
      <c r="E50" s="281" t="inlineStr">
        <is>
          <t>CRM + Sales</t>
        </is>
      </c>
      <c r="F50" s="281" t="inlineStr">
        <is>
          <t>Ngày 1</t>
        </is>
      </c>
      <c r="G50" s="281" t="inlineStr">
        <is>
          <t>Setup</t>
        </is>
      </c>
      <c r="H50" s="281" t="inlineStr">
        <is>
          <t>Admissions KPI</t>
        </is>
      </c>
      <c r="I50" s="258" t="n"/>
    </row>
    <row r="51" ht="18" customHeight="1" s="248">
      <c r="B51" s="315" t="inlineStr">
        <is>
          <t>9</t>
        </is>
      </c>
      <c r="C51" s="316" t="inlineStr">
        <is>
          <t>9. GTM Tracking</t>
        </is>
      </c>
      <c r="D51" s="317" t="inlineStr">
        <is>
          <t>Tag, trigger, conversion setup</t>
        </is>
      </c>
      <c r="E51" s="317" t="inlineStr">
        <is>
          <t>Tech/Dev</t>
        </is>
      </c>
      <c r="F51" s="317" t="inlineStr">
        <is>
          <t>Ngày 1</t>
        </is>
      </c>
      <c r="G51" s="317" t="inlineStr">
        <is>
          <t>Setup</t>
        </is>
      </c>
      <c r="H51" s="317" t="inlineStr">
        <is>
          <t>Pixel, GA4</t>
        </is>
      </c>
      <c r="I51" s="258" t="n"/>
    </row>
    <row r="52" ht="18" customHeight="1" s="248">
      <c r="B52" s="315" t="inlineStr">
        <is>
          <t>10</t>
        </is>
      </c>
      <c r="C52" s="316" t="inlineStr">
        <is>
          <t>10. Lịch Công Việc</t>
        </is>
      </c>
      <c r="D52" s="281" t="inlineStr">
        <is>
          <t>Checklist ngày/tuần/tháng marketer</t>
        </is>
      </c>
      <c r="E52" s="281" t="inlineStr">
        <is>
          <t>Marketing</t>
        </is>
      </c>
      <c r="F52" s="281" t="inlineStr">
        <is>
          <t>Hàng ngày</t>
        </is>
      </c>
      <c r="G52" s="281" t="inlineStr">
        <is>
          <t>Daily</t>
        </is>
      </c>
      <c r="H52" s="281" t="inlineStr">
        <is>
          <t>Battleplan, Todo</t>
        </is>
      </c>
      <c r="I52" s="258" t="n"/>
    </row>
    <row r="53" ht="18" customHeight="1" s="248">
      <c r="B53" s="315" t="inlineStr">
        <is>
          <t>11</t>
        </is>
      </c>
      <c r="C53" s="316" t="inlineStr">
        <is>
          <t>11. Timeline</t>
        </is>
      </c>
      <c r="D53" s="317" t="inlineStr">
        <is>
          <t>Lịch giải ngân 7 tháng</t>
        </is>
      </c>
      <c r="E53" s="317" t="inlineStr">
        <is>
          <t>Ban điều hành</t>
        </is>
      </c>
      <c r="F53" s="317" t="inlineStr">
        <is>
          <t>Hàng tháng</t>
        </is>
      </c>
      <c r="G53" s="317" t="inlineStr">
        <is>
          <t>Tháng</t>
        </is>
      </c>
      <c r="H53" s="317" t="inlineStr">
        <is>
          <t>Dashboard</t>
        </is>
      </c>
      <c r="I53" s="258" t="n"/>
    </row>
    <row r="54" ht="18" customHeight="1" s="248">
      <c r="B54" s="315" t="inlineStr">
        <is>
          <t>12</t>
        </is>
      </c>
      <c r="C54" s="316" t="inlineStr">
        <is>
          <t>12. Danh bạ</t>
        </is>
      </c>
      <c r="D54" s="281" t="inlineStr">
        <is>
          <t>Hotline và địa chỉ từng cơ sở</t>
        </is>
      </c>
      <c r="E54" s="281" t="inlineStr">
        <is>
          <t>Tất cả</t>
        </is>
      </c>
      <c r="F54" s="281" t="inlineStr">
        <is>
          <t>Ngày 1</t>
        </is>
      </c>
      <c r="G54" s="281" t="inlineStr">
        <is>
          <t>Tĩnh</t>
        </is>
      </c>
      <c r="H54" s="281" t="inlineStr">
        <is>
          <t>-</t>
        </is>
      </c>
      <c r="I54" s="258" t="n"/>
    </row>
    <row r="55" ht="18" customHeight="1" s="248">
      <c r="B55" s="315" t="inlineStr">
        <is>
          <t>13</t>
        </is>
      </c>
      <c r="C55" s="316" t="inlineStr">
        <is>
          <t>13. Zalo Ads + OA</t>
        </is>
      </c>
      <c r="D55" s="317" t="inlineStr">
        <is>
          <t>Kế hoạch Zalo, automation, nuture</t>
        </is>
      </c>
      <c r="E55" s="317" t="inlineStr">
        <is>
          <t>Marketing + CRM</t>
        </is>
      </c>
      <c r="F55" s="317" t="inlineStr">
        <is>
          <t>Tuần</t>
        </is>
      </c>
      <c r="G55" s="317" t="inlineStr">
        <is>
          <t>Tuần</t>
        </is>
      </c>
      <c r="H55" s="317" t="inlineStr">
        <is>
          <t>GHL Setup</t>
        </is>
      </c>
      <c r="I55" s="258" t="n"/>
    </row>
    <row r="56" ht="18" customHeight="1" s="248">
      <c r="B56" s="315" t="inlineStr">
        <is>
          <t>14</t>
        </is>
      </c>
      <c r="C56" s="316" t="inlineStr">
        <is>
          <t>14. Weekly Battleplan</t>
        </is>
      </c>
      <c r="D56" s="281" t="inlineStr">
        <is>
          <t>Tác chiến 28 tuần, 3 đội</t>
        </is>
      </c>
      <c r="E56" s="281" t="inlineStr">
        <is>
          <t>Tất cả</t>
        </is>
      </c>
      <c r="F56" s="281" t="inlineStr">
        <is>
          <t>Tuần</t>
        </is>
      </c>
      <c r="G56" s="281" t="inlineStr">
        <is>
          <t>Tuần</t>
        </is>
      </c>
      <c r="H56" s="281" t="inlineStr">
        <is>
          <t>Todo List</t>
        </is>
      </c>
      <c r="I56" s="258" t="n"/>
    </row>
    <row r="57" ht="18" customHeight="1" s="248">
      <c r="B57" s="315" t="inlineStr">
        <is>
          <t>A</t>
        </is>
      </c>
      <c r="C57" s="316" t="inlineStr">
        <is>
          <t>A. KPI Weekly Tracker</t>
        </is>
      </c>
      <c r="D57" s="317" t="inlineStr">
        <is>
          <t>Dashboard KPI tuần cho 3 đội</t>
        </is>
      </c>
      <c r="E57" s="317" t="inlineStr">
        <is>
          <t>Điều hành</t>
        </is>
      </c>
      <c r="F57" s="317" t="inlineStr">
        <is>
          <t>Tuần</t>
        </is>
      </c>
      <c r="G57" s="317" t="inlineStr">
        <is>
          <t>Tuần</t>
        </is>
      </c>
      <c r="H57" s="317" t="inlineStr">
        <is>
          <t>Dashboard, Battleplan</t>
        </is>
      </c>
      <c r="I57" s="258" t="n"/>
    </row>
    <row r="58" ht="18" customHeight="1" s="248">
      <c r="B58" s="315" t="inlineStr">
        <is>
          <t>B</t>
        </is>
      </c>
      <c r="C58" s="316" t="inlineStr">
        <is>
          <t>B. Todo Daily</t>
        </is>
      </c>
      <c r="D58" s="281" t="inlineStr">
        <is>
          <t>Việc hàng ngày theo campaign/kênh</t>
        </is>
      </c>
      <c r="E58" s="281" t="inlineStr">
        <is>
          <t>Marketing</t>
        </is>
      </c>
      <c r="F58" s="281" t="inlineStr">
        <is>
          <t>Ngày</t>
        </is>
      </c>
      <c r="G58" s="281" t="inlineStr">
        <is>
          <t>Daily</t>
        </is>
      </c>
      <c r="H58" s="281" t="inlineStr">
        <is>
          <t>Battleplan</t>
        </is>
      </c>
      <c r="I58" s="258" t="n"/>
    </row>
    <row r="59" ht="18" customHeight="1" s="248">
      <c r="B59" s="315" t="inlineStr">
        <is>
          <t>C</t>
        </is>
      </c>
      <c r="C59" s="316" t="inlineStr">
        <is>
          <t>B. Todo Weekly</t>
        </is>
      </c>
      <c r="D59" s="317" t="inlineStr">
        <is>
          <t>Checklist hàng tuần đủ 3 đội</t>
        </is>
      </c>
      <c r="E59" s="317" t="inlineStr">
        <is>
          <t>Marketing + Sales</t>
        </is>
      </c>
      <c r="F59" s="317" t="inlineStr">
        <is>
          <t>Tuần</t>
        </is>
      </c>
      <c r="G59" s="317" t="inlineStr">
        <is>
          <t>Tuần</t>
        </is>
      </c>
      <c r="H59" s="317" t="inlineStr">
        <is>
          <t>Battleplan</t>
        </is>
      </c>
      <c r="I59" s="258" t="n"/>
    </row>
    <row r="60" ht="18" customHeight="1" s="248">
      <c r="B60" s="315" t="inlineStr">
        <is>
          <t>D</t>
        </is>
      </c>
      <c r="C60" s="316" t="inlineStr">
        <is>
          <t>C. Todo Monthly</t>
        </is>
      </c>
      <c r="D60" s="281" t="inlineStr">
        <is>
          <t>Checklist hàng tháng + review</t>
        </is>
      </c>
      <c r="E60" s="281" t="inlineStr">
        <is>
          <t>Management</t>
        </is>
      </c>
      <c r="F60" s="281" t="inlineStr">
        <is>
          <t>Tháng</t>
        </is>
      </c>
      <c r="G60" s="281" t="inlineStr">
        <is>
          <t>Tháng</t>
        </is>
      </c>
      <c r="H60" s="281" t="inlineStr">
        <is>
          <t>Timeline</t>
        </is>
      </c>
      <c r="I60" s="258" t="n"/>
    </row>
    <row r="61" ht="18" customHeight="1" s="248">
      <c r="B61" s="315" t="inlineStr">
        <is>
          <t>E</t>
        </is>
      </c>
      <c r="C61" s="316" t="inlineStr">
        <is>
          <t>D. Campaign Tracker</t>
        </is>
      </c>
      <c r="D61" s="317" t="inlineStr">
        <is>
          <t>Theo dõi từng campaign theo tuần</t>
        </is>
      </c>
      <c r="E61" s="317" t="inlineStr">
        <is>
          <t>Marketing</t>
        </is>
      </c>
      <c r="F61" s="317" t="inlineStr">
        <is>
          <t>Tuần</t>
        </is>
      </c>
      <c r="G61" s="317" t="inlineStr">
        <is>
          <t>Tuần</t>
        </is>
      </c>
      <c r="H61" s="317" t="inlineStr">
        <is>
          <t>KPI Weekly</t>
        </is>
      </c>
      <c r="I61" s="258" t="n"/>
    </row>
    <row r="62" ht="18" customHeight="1" s="248">
      <c r="B62" s="315" t="inlineStr">
        <is>
          <t>F</t>
        </is>
      </c>
      <c r="C62" s="316" t="inlineStr">
        <is>
          <t>E. Meta Ads Plan</t>
        </is>
      </c>
      <c r="D62" s="281" t="inlineStr">
        <is>
          <t>Kế hoạch Meta Ads 04-09/2026 đầy đủ</t>
        </is>
      </c>
      <c r="E62" s="281" t="inlineStr">
        <is>
          <t>Perf. Marketing</t>
        </is>
      </c>
      <c r="F62" s="281" t="inlineStr">
        <is>
          <t>Tháng</t>
        </is>
      </c>
      <c r="G62" s="281" t="inlineStr">
        <is>
          <t>Tháng</t>
        </is>
      </c>
      <c r="H62" s="281" t="inlineStr">
        <is>
          <t>KPI Weekly</t>
        </is>
      </c>
      <c r="I62" s="258" t="n"/>
    </row>
    <row r="63" ht="18" customHeight="1" s="248">
      <c r="B63" s="315" t="inlineStr">
        <is>
          <t>G</t>
        </is>
      </c>
      <c r="C63" s="316" t="inlineStr">
        <is>
          <t>F. Google Ads Plan</t>
        </is>
      </c>
      <c r="D63" s="317" t="inlineStr">
        <is>
          <t>Kế hoạch Google Ads 04-09/2026</t>
        </is>
      </c>
      <c r="E63" s="317" t="inlineStr">
        <is>
          <t>Perf. Marketing</t>
        </is>
      </c>
      <c r="F63" s="317" t="inlineStr">
        <is>
          <t>Tháng</t>
        </is>
      </c>
      <c r="G63" s="317" t="inlineStr">
        <is>
          <t>Tháng</t>
        </is>
      </c>
      <c r="H63" s="317" t="inlineStr">
        <is>
          <t>KPI Weekly</t>
        </is>
      </c>
      <c r="I63" s="258" t="n"/>
    </row>
    <row r="64" ht="18" customHeight="1" s="248">
      <c r="B64" s="315" t="inlineStr">
        <is>
          <t>H</t>
        </is>
      </c>
      <c r="C64" s="316" t="inlineStr">
        <is>
          <t>G. Birch + GHL Integration</t>
        </is>
      </c>
      <c r="D64" s="281" t="inlineStr">
        <is>
          <t>Automation rules + webhook payload</t>
        </is>
      </c>
      <c r="E64" s="281" t="inlineStr">
        <is>
          <t>Tech + Marketing</t>
        </is>
      </c>
      <c r="F64" s="281" t="inlineStr">
        <is>
          <t>Ngày 1</t>
        </is>
      </c>
      <c r="G64" s="281" t="inlineStr">
        <is>
          <t>Setup</t>
        </is>
      </c>
      <c r="H64" s="281" t="inlineStr">
        <is>
          <t>Birch Rules</t>
        </is>
      </c>
      <c r="I64" s="258" t="n"/>
    </row>
    <row r="66" ht="15" customHeight="1" s="248">
      <c r="B66" s="253" t="inlineStr">
        <is>
          <t>🆕 SHEETS BỔ SUNG V7</t>
        </is>
      </c>
    </row>
    <row r="67" ht="46.25" customHeight="1" s="248">
      <c r="A67" s="251" t="n"/>
      <c r="B67" s="251" t="inlineStr">
        <is>
          <t>I</t>
        </is>
      </c>
      <c r="C67" s="251" t="inlineStr">
        <is>
          <t>I. Chân Dung KH</t>
        </is>
      </c>
      <c r="D67" s="251" t="inlineStr">
        <is>
          <t>Persona + nỗi đau theo sản phẩm và địa điểm</t>
        </is>
      </c>
      <c r="E67" s="251" t="inlineStr">
        <is>
          <t>Marketing + Sales</t>
        </is>
      </c>
      <c r="F67" s="251" t="inlineStr">
        <is>
          <t>Đầu mùa</t>
        </is>
      </c>
      <c r="G67" s="251" t="inlineStr">
        <is>
          <t>Setup</t>
        </is>
      </c>
      <c r="H67" s="251" t="inlineStr">
        <is>
          <t>Persona, Funnel</t>
        </is>
      </c>
      <c r="I67" s="251" t="n"/>
    </row>
    <row r="68" ht="35.05" customHeight="1" s="248">
      <c r="A68" s="252" t="n"/>
      <c r="B68" s="252" t="inlineStr">
        <is>
          <t>J</t>
        </is>
      </c>
      <c r="C68" s="252" t="inlineStr">
        <is>
          <t>J. Webinar Chi Tiết</t>
        </is>
      </c>
      <c r="D68" s="252" t="inlineStr">
        <is>
          <t>Kế hoạch 8 webinar + quy trình + KPI</t>
        </is>
      </c>
      <c r="E68" s="252" t="inlineStr">
        <is>
          <t>Marketing + BGH</t>
        </is>
      </c>
      <c r="F68" s="252" t="inlineStr">
        <is>
          <t>Hàng tháng</t>
        </is>
      </c>
      <c r="G68" s="252" t="inlineStr">
        <is>
          <t>Tháng</t>
        </is>
      </c>
      <c r="H68" s="252" t="inlineStr">
        <is>
          <t>Campaign, GHL</t>
        </is>
      </c>
      <c r="I68" s="252" t="n"/>
    </row>
    <row r="69" ht="35.05" customHeight="1" s="248">
      <c r="A69" s="251" t="n"/>
      <c r="B69" s="251" t="inlineStr">
        <is>
          <t>K</t>
        </is>
      </c>
      <c r="C69" s="251" t="inlineStr">
        <is>
          <t>K. Social Media Calendar</t>
        </is>
      </c>
      <c r="D69" s="251" t="inlineStr">
        <is>
          <t>Lịch đăng bài theo kênh, cơ sở, tháng</t>
        </is>
      </c>
      <c r="E69" s="251" t="inlineStr">
        <is>
          <t>Content Creator</t>
        </is>
      </c>
      <c r="F69" s="251" t="inlineStr">
        <is>
          <t>Hàng tuần</t>
        </is>
      </c>
      <c r="G69" s="251" t="inlineStr">
        <is>
          <t>Tuần</t>
        </is>
      </c>
      <c r="H69" s="251" t="inlineStr">
        <is>
          <t>Content</t>
        </is>
      </c>
      <c r="I69" s="251" t="n"/>
    </row>
    <row r="70" ht="57.45" customHeight="1" s="248">
      <c r="A70" s="252" t="n"/>
      <c r="B70" s="252" t="inlineStr">
        <is>
          <t>L</t>
        </is>
      </c>
      <c r="C70" s="252" t="inlineStr">
        <is>
          <t>L. Analytics &amp; Remarketing</t>
        </is>
      </c>
      <c r="D70" s="252" t="inlineStr">
        <is>
          <t>GA4 events, remarketing audiences, automation tracking</t>
        </is>
      </c>
      <c r="E70" s="252" t="inlineStr">
        <is>
          <t>Performance</t>
        </is>
      </c>
      <c r="F70" s="252" t="inlineStr">
        <is>
          <t>Hàng tuần</t>
        </is>
      </c>
      <c r="G70" s="252" t="inlineStr">
        <is>
          <t>Tuần</t>
        </is>
      </c>
      <c r="H70" s="252" t="inlineStr">
        <is>
          <t>GTM, Birch</t>
        </is>
      </c>
      <c r="I70" s="252" t="n"/>
    </row>
    <row r="73" ht="15" customHeight="1" s="248">
      <c r="B73" s="253" t="inlineStr">
        <is>
          <t>📊 KPI THEO KÊNH (liên kết chi tiết)</t>
        </is>
      </c>
    </row>
    <row r="74" ht="15" customHeight="1" s="248">
      <c r="A74" s="250" t="n"/>
      <c r="B74" s="250" t="inlineStr">
        <is>
          <t>Kênh</t>
        </is>
      </c>
      <c r="C74" s="250" t="inlineStr">
        <is>
          <t>NS 7 tháng</t>
        </is>
      </c>
      <c r="D74" s="250" t="inlineStr">
        <is>
          <t>% Mix</t>
        </is>
      </c>
      <c r="E74" s="250" t="inlineStr">
        <is>
          <t>CPL Target</t>
        </is>
      </c>
      <c r="F74" s="250" t="inlineStr">
        <is>
          <t>Leads Target</t>
        </is>
      </c>
      <c r="G74" s="250" t="inlineStr">
        <is>
          <t>Tours Target</t>
        </is>
      </c>
      <c r="H74" s="250" t="inlineStr">
        <is>
          <t>Sheet chi tiết</t>
        </is>
      </c>
      <c r="I74" s="250" t="inlineStr">
        <is>
          <t>Tool quản lý</t>
        </is>
      </c>
    </row>
    <row r="75" ht="23.85" customHeight="1" s="248">
      <c r="A75" s="251" t="n"/>
      <c r="B75" s="251" t="inlineStr">
        <is>
          <t>Meta Ads</t>
        </is>
      </c>
      <c r="C75" s="251" t="n">
        <v>3230000000</v>
      </c>
      <c r="D75" s="251" t="inlineStr">
        <is>
          <t>38%</t>
        </is>
      </c>
      <c r="E75" s="251" t="n">
        <v>120000</v>
      </c>
      <c r="F75" s="251" t="n">
        <v>4250</v>
      </c>
      <c r="G75" s="251" t="n">
        <v>1275</v>
      </c>
      <c r="H75" s="251" t="inlineStr">
        <is>
          <t>F. Meta Ads Plan</t>
        </is>
      </c>
      <c r="I75" s="251" t="inlineStr">
        <is>
          <t>Birch + Meta Ads Manager</t>
        </is>
      </c>
    </row>
    <row r="76" ht="23.85" customHeight="1" s="248">
      <c r="A76" s="252" t="n"/>
      <c r="B76" s="252" t="inlineStr">
        <is>
          <t>Google Search</t>
        </is>
      </c>
      <c r="C76" s="252" t="n">
        <v>1530000000</v>
      </c>
      <c r="D76" s="252" t="inlineStr">
        <is>
          <t>18%</t>
        </is>
      </c>
      <c r="E76" s="252" t="n">
        <v>180000</v>
      </c>
      <c r="F76" s="252" t="n">
        <v>2010</v>
      </c>
      <c r="G76" s="252" t="n">
        <v>603</v>
      </c>
      <c r="H76" s="252" t="inlineStr">
        <is>
          <t>G. Google Ads Plan</t>
        </is>
      </c>
      <c r="I76" s="252" t="inlineStr">
        <is>
          <t>Birch + Google Ads</t>
        </is>
      </c>
    </row>
    <row r="77" ht="23.85" customHeight="1" s="248">
      <c r="A77" s="251" t="n"/>
      <c r="B77" s="251" t="inlineStr">
        <is>
          <t>Google Display/YT</t>
        </is>
      </c>
      <c r="C77" s="251" t="n">
        <v>595000000</v>
      </c>
      <c r="D77" s="251" t="inlineStr">
        <is>
          <t>7%</t>
        </is>
      </c>
      <c r="E77" s="251" t="inlineStr">
        <is>
          <t>-</t>
        </is>
      </c>
      <c r="F77" s="251" t="inlineStr">
        <is>
          <t>-</t>
        </is>
      </c>
      <c r="G77" s="251" t="inlineStr">
        <is>
          <t>-</t>
        </is>
      </c>
      <c r="H77" s="251" t="inlineStr">
        <is>
          <t>5. Google Ads Chi Tiết</t>
        </is>
      </c>
      <c r="I77" s="251" t="inlineStr">
        <is>
          <t>Birch</t>
        </is>
      </c>
    </row>
    <row r="78" ht="23.85" customHeight="1" s="248">
      <c r="A78" s="252" t="n"/>
      <c r="B78" s="252" t="inlineStr">
        <is>
          <t>TikTok Ads</t>
        </is>
      </c>
      <c r="C78" s="252" t="n">
        <v>850000000</v>
      </c>
      <c r="D78" s="252" t="inlineStr">
        <is>
          <t>10%</t>
        </is>
      </c>
      <c r="E78" s="252" t="n">
        <v>90000</v>
      </c>
      <c r="F78" s="252" t="n">
        <v>1420</v>
      </c>
      <c r="G78" s="252" t="n">
        <v>426</v>
      </c>
      <c r="H78" s="252" t="inlineStr">
        <is>
          <t>7. TikTok Ads Chi Tiết</t>
        </is>
      </c>
      <c r="I78" s="252" t="inlineStr">
        <is>
          <t>Birch + TikTok Ads</t>
        </is>
      </c>
    </row>
    <row r="79" ht="23.85" customHeight="1" s="248">
      <c r="A79" s="251" t="n"/>
      <c r="B79" s="251" t="inlineStr">
        <is>
          <t>Zalo Ads+OA</t>
        </is>
      </c>
      <c r="C79" s="251" t="n">
        <v>595000000</v>
      </c>
      <c r="D79" s="251" t="inlineStr">
        <is>
          <t>7%</t>
        </is>
      </c>
      <c r="E79" s="251" t="n">
        <v>80000</v>
      </c>
      <c r="F79" s="251" t="n">
        <v>1120</v>
      </c>
      <c r="G79" s="251" t="n">
        <v>336</v>
      </c>
      <c r="H79" s="251" t="inlineStr">
        <is>
          <t>13. Zalo Ads + OA</t>
        </is>
      </c>
      <c r="I79" s="251" t="inlineStr">
        <is>
          <t>GHL + Zalo OA</t>
        </is>
      </c>
    </row>
    <row r="80" ht="23.85" customHeight="1" s="248">
      <c r="A80" s="252" t="n"/>
      <c r="B80" s="252" t="inlineStr">
        <is>
          <t>Webinar Ads</t>
        </is>
      </c>
      <c r="C80" s="252" t="n">
        <v>425000000</v>
      </c>
      <c r="D80" s="252" t="inlineStr">
        <is>
          <t>5%</t>
        </is>
      </c>
      <c r="E80" s="252" t="n">
        <v>50000</v>
      </c>
      <c r="F80" s="252" t="n">
        <v>1060</v>
      </c>
      <c r="G80" s="252" t="n">
        <v>256</v>
      </c>
      <c r="H80" s="252" t="inlineStr">
        <is>
          <t>J. Webinar Chi Tiết</t>
        </is>
      </c>
      <c r="I80" s="252" t="inlineStr">
        <is>
          <t>Meta + GHL</t>
        </is>
      </c>
    </row>
    <row r="81" ht="23.85" customHeight="1" s="248">
      <c r="A81" s="251" t="n"/>
      <c r="B81" s="251" t="inlineStr">
        <is>
          <t>Remarketing</t>
        </is>
      </c>
      <c r="C81" s="251" t="n">
        <v>1020000000</v>
      </c>
      <c r="D81" s="251" t="inlineStr">
        <is>
          <t>12%</t>
        </is>
      </c>
      <c r="E81" s="251" t="n">
        <v>150000</v>
      </c>
      <c r="F81" s="251" t="inlineStr">
        <is>
          <t>-</t>
        </is>
      </c>
      <c r="G81" s="251" t="inlineStr">
        <is>
          <t>-</t>
        </is>
      </c>
      <c r="H81" s="251" t="inlineStr">
        <is>
          <t>L. Analytics &amp; Remarketing</t>
        </is>
      </c>
      <c r="I81" s="251" t="inlineStr">
        <is>
          <t>Birch cross-platform</t>
        </is>
      </c>
    </row>
    <row r="82" ht="15" customHeight="1" s="248">
      <c r="A82" s="252" t="n"/>
      <c r="B82" s="252" t="inlineStr">
        <is>
          <t>Local SEO/GMB</t>
        </is>
      </c>
      <c r="C82" s="252" t="n">
        <v>425000000</v>
      </c>
      <c r="D82" s="252" t="inlineStr">
        <is>
          <t>5%</t>
        </is>
      </c>
      <c r="E82" s="252" t="inlineStr">
        <is>
          <t>-</t>
        </is>
      </c>
      <c r="F82" s="252" t="inlineStr">
        <is>
          <t>-</t>
        </is>
      </c>
      <c r="G82" s="252" t="inlineStr">
        <is>
          <t>-</t>
        </is>
      </c>
      <c r="H82" s="252" t="inlineStr">
        <is>
          <t>12. Danh bạ</t>
        </is>
      </c>
      <c r="I82" s="252" t="inlineStr">
        <is>
          <t>Manual + GHL</t>
        </is>
      </c>
    </row>
    <row r="85">
      <c r="A85" s="492" t="inlineStr">
        <is>
          <t>═══ CẬP NHẬT V8: SHEET MỚI + DUAL CRM + KPI MỞ RỘNG ═══</t>
        </is>
      </c>
    </row>
    <row r="87">
      <c r="A87" s="494" t="inlineStr">
        <is>
          <t>DANH SÁCH TẤT CẢ 31 SHEETS — HYPERLINKS</t>
        </is>
      </c>
    </row>
    <row r="88">
      <c r="A88" s="495" t="inlineStr">
        <is>
          <t>STT</t>
        </is>
      </c>
      <c r="B88" s="495" t="inlineStr">
        <is>
          <t>Sheet Name</t>
        </is>
      </c>
      <c r="C88" s="495" t="inlineStr">
        <is>
          <t>Mô tả</t>
        </is>
      </c>
      <c r="D88" s="495" t="inlineStr">
        <is>
          <t>Nhóm</t>
        </is>
      </c>
      <c r="E88" s="495" t="inlineStr">
        <is>
          <t>Trạng thái</t>
        </is>
      </c>
    </row>
    <row r="89">
      <c r="A89" s="499" t="inlineStr">
        <is>
          <t>1</t>
        </is>
      </c>
      <c r="B89" s="501" t="inlineStr">
        <is>
          <t>I. Chân Dung KH</t>
        </is>
      </c>
      <c r="C89" s="499" t="inlineStr">
        <is>
          <t>Customer personas: 4 cấp học × 6 cơ sở, pain points, motivation</t>
        </is>
      </c>
      <c r="D89" s="499" t="inlineStr">
        <is>
          <t>Chiến lược</t>
        </is>
      </c>
      <c r="E89" s="499" t="inlineStr">
        <is>
          <t>✅ V7+</t>
        </is>
      </c>
    </row>
    <row r="90">
      <c r="A90" s="500" t="inlineStr">
        <is>
          <t>2</t>
        </is>
      </c>
      <c r="B90" s="502" t="inlineStr">
        <is>
          <t>0. Dashboard</t>
        </is>
      </c>
      <c r="C90" s="500" t="inlineStr">
        <is>
          <t>Bảng điều khiển tổng hợp — ĐANG XEM</t>
        </is>
      </c>
      <c r="D90" s="500" t="inlineStr">
        <is>
          <t>Tổng hợp</t>
        </is>
      </c>
      <c r="E90" s="500" t="inlineStr">
        <is>
          <t>✅ V8</t>
        </is>
      </c>
    </row>
    <row r="91">
      <c r="A91" s="499" t="inlineStr">
        <is>
          <t>3</t>
        </is>
      </c>
      <c r="B91" s="501" t="inlineStr">
        <is>
          <t>1. Input</t>
        </is>
      </c>
      <c r="C91" s="499" t="inlineStr">
        <is>
          <t>Thông số đầu vào: budget, target, channels</t>
        </is>
      </c>
      <c r="D91" s="499" t="inlineStr">
        <is>
          <t>Tổng hợp</t>
        </is>
      </c>
      <c r="E91" s="499" t="inlineStr">
        <is>
          <t>✅ V7+</t>
        </is>
      </c>
    </row>
    <row r="92">
      <c r="A92" s="500" t="inlineStr">
        <is>
          <t>4</t>
        </is>
      </c>
      <c r="B92" s="502" t="inlineStr">
        <is>
          <t>2. Paid Media</t>
        </is>
      </c>
      <c r="C92" s="500" t="inlineStr">
        <is>
          <t>Phân bổ ngân sách Paid Media theo kênh</t>
        </is>
      </c>
      <c r="D92" s="500" t="inlineStr">
        <is>
          <t>Quảng cáo</t>
        </is>
      </c>
      <c r="E92" s="500" t="inlineStr">
        <is>
          <t>✅ V7+</t>
        </is>
      </c>
    </row>
    <row r="93">
      <c r="A93" s="499" t="inlineStr">
        <is>
          <t>5</t>
        </is>
      </c>
      <c r="B93" s="501" t="inlineStr">
        <is>
          <t>3. Master Table</t>
        </is>
      </c>
      <c r="C93" s="499" t="inlineStr">
        <is>
          <t>Bảng tổng hợp target theo cơ sở × cấp học</t>
        </is>
      </c>
      <c r="D93" s="499" t="inlineStr">
        <is>
          <t>Tổng hợp</t>
        </is>
      </c>
      <c r="E93" s="499" t="inlineStr">
        <is>
          <t>✅ V6</t>
        </is>
      </c>
    </row>
    <row r="94">
      <c r="A94" s="500" t="inlineStr">
        <is>
          <t>6</t>
        </is>
      </c>
      <c r="B94" s="502" t="inlineStr">
        <is>
          <t>4. Funnel</t>
        </is>
      </c>
      <c r="C94" s="500" t="inlineStr">
        <is>
          <t>Phễu chuyển đổi theo cấp học và cơ sở</t>
        </is>
      </c>
      <c r="D94" s="500" t="inlineStr">
        <is>
          <t>Chiến lược</t>
        </is>
      </c>
      <c r="E94" s="500" t="inlineStr">
        <is>
          <t>✅ V7+</t>
        </is>
      </c>
    </row>
    <row r="95">
      <c r="A95" s="499" t="inlineStr">
        <is>
          <t>7</t>
        </is>
      </c>
      <c r="B95" s="501" t="inlineStr">
        <is>
          <t>5. Google Ads Chi Tiết</t>
        </is>
      </c>
      <c r="C95" s="499" t="inlineStr">
        <is>
          <t>Campaigns, Ad Groups, Keywords, Budget</t>
        </is>
      </c>
      <c r="D95" s="499" t="inlineStr">
        <is>
          <t>Quảng cáo</t>
        </is>
      </c>
      <c r="E95" s="499" t="inlineStr">
        <is>
          <t>✅ V7+</t>
        </is>
      </c>
    </row>
    <row r="96">
      <c r="A96" s="500" t="inlineStr">
        <is>
          <t>8</t>
        </is>
      </c>
      <c r="B96" s="502" t="inlineStr">
        <is>
          <t>6. Meta Ads Chi Tiết</t>
        </is>
      </c>
      <c r="C96" s="500" t="inlineStr">
        <is>
          <t>FB + IG Ads: Campaigns, Audiences, Creatives</t>
        </is>
      </c>
      <c r="D96" s="500" t="inlineStr">
        <is>
          <t>Quảng cáo</t>
        </is>
      </c>
      <c r="E96" s="500" t="inlineStr">
        <is>
          <t>✅ V7+</t>
        </is>
      </c>
    </row>
    <row r="97">
      <c r="A97" s="499" t="inlineStr">
        <is>
          <t>9</t>
        </is>
      </c>
      <c r="B97" s="501" t="inlineStr">
        <is>
          <t>7. TikTok Ads Chi Tiết</t>
        </is>
      </c>
      <c r="C97" s="499" t="inlineStr">
        <is>
          <t>TikTok campaigns, targeting, creatives</t>
        </is>
      </c>
      <c r="D97" s="499" t="inlineStr">
        <is>
          <t>Quảng cáo</t>
        </is>
      </c>
      <c r="E97" s="499" t="inlineStr">
        <is>
          <t>✅ V7</t>
        </is>
      </c>
    </row>
    <row r="98">
      <c r="A98" s="500" t="inlineStr">
        <is>
          <t>10</t>
        </is>
      </c>
      <c r="B98" s="502" t="inlineStr">
        <is>
          <t>8. GoHighLevel Setup</t>
        </is>
      </c>
      <c r="C98" s="500" t="inlineStr">
        <is>
          <t>GHL setup guide: pipelines, workflows, forms</t>
        </is>
      </c>
      <c r="D98" s="500" t="inlineStr">
        <is>
          <t>CRM/Tech</t>
        </is>
      </c>
      <c r="E98" s="500" t="inlineStr">
        <is>
          <t>✅ V7+</t>
        </is>
      </c>
    </row>
    <row r="99">
      <c r="A99" s="499" t="inlineStr">
        <is>
          <t>11</t>
        </is>
      </c>
      <c r="B99" s="501" t="inlineStr">
        <is>
          <t>9. GTM Tracking</t>
        </is>
      </c>
      <c r="C99" s="499" t="inlineStr">
        <is>
          <t>Google Tag Manager: pixels, events, CAPI</t>
        </is>
      </c>
      <c r="D99" s="499" t="inlineStr">
        <is>
          <t>CRM/Tech</t>
        </is>
      </c>
      <c r="E99" s="499" t="inlineStr">
        <is>
          <t>✅ V7</t>
        </is>
      </c>
    </row>
    <row r="100">
      <c r="A100" s="500" t="inlineStr">
        <is>
          <t>12</t>
        </is>
      </c>
      <c r="B100" s="502" t="inlineStr">
        <is>
          <t>10. Lịch Công Việc Marketer</t>
        </is>
      </c>
      <c r="C100" s="500" t="inlineStr">
        <is>
          <t>Gantt chart tổng quan</t>
        </is>
      </c>
      <c r="D100" s="500" t="inlineStr">
        <is>
          <t>Kế hoạch</t>
        </is>
      </c>
      <c r="E100" s="500" t="inlineStr">
        <is>
          <t>✅ V6</t>
        </is>
      </c>
    </row>
    <row r="101">
      <c r="A101" s="499" t="inlineStr">
        <is>
          <t>13</t>
        </is>
      </c>
      <c r="B101" s="501" t="inlineStr">
        <is>
          <t>11. Timeline</t>
        </is>
      </c>
      <c r="C101" s="499" t="inlineStr">
        <is>
          <t>Timeline chi tiết theo tuần</t>
        </is>
      </c>
      <c r="D101" s="499" t="inlineStr">
        <is>
          <t>Kế hoạch</t>
        </is>
      </c>
      <c r="E101" s="499" t="inlineStr">
        <is>
          <t>✅ V6</t>
        </is>
      </c>
    </row>
    <row r="102">
      <c r="A102" s="500" t="inlineStr">
        <is>
          <t>14</t>
        </is>
      </c>
      <c r="B102" s="502" t="inlineStr">
        <is>
          <t>12. Danh bạ</t>
        </is>
      </c>
      <c r="C102" s="500" t="inlineStr">
        <is>
          <t>Contacts: team, vendor, media</t>
        </is>
      </c>
      <c r="D102" s="500" t="inlineStr">
        <is>
          <t>Tổng hợp</t>
        </is>
      </c>
      <c r="E102" s="500" t="inlineStr">
        <is>
          <t>✅ V6</t>
        </is>
      </c>
    </row>
    <row r="103">
      <c r="A103" s="499" t="inlineStr">
        <is>
          <t>15</t>
        </is>
      </c>
      <c r="B103" s="501" t="inlineStr">
        <is>
          <t>13. Zalo Ads + OA</t>
        </is>
      </c>
      <c r="C103" s="499" t="inlineStr">
        <is>
          <t>Zalo Ads campaigns + OA strategy</t>
        </is>
      </c>
      <c r="D103" s="499" t="inlineStr">
        <is>
          <t>Quảng cáo</t>
        </is>
      </c>
      <c r="E103" s="499" t="inlineStr">
        <is>
          <t>✅ V7+</t>
        </is>
      </c>
    </row>
    <row r="104">
      <c r="A104" s="500" t="inlineStr">
        <is>
          <t>16</t>
        </is>
      </c>
      <c r="B104" s="502" t="inlineStr">
        <is>
          <t>14. Weekly Battleplan</t>
        </is>
      </c>
      <c r="C104" s="500" t="inlineStr">
        <is>
          <t>Kế hoạch tuần chi tiết</t>
        </is>
      </c>
      <c r="D104" s="500" t="inlineStr">
        <is>
          <t>Kế hoạch</t>
        </is>
      </c>
      <c r="E104" s="500" t="inlineStr">
        <is>
          <t>✅ V7</t>
        </is>
      </c>
    </row>
    <row r="105">
      <c r="A105" s="499" t="inlineStr">
        <is>
          <t>17</t>
        </is>
      </c>
      <c r="B105" s="501" t="inlineStr">
        <is>
          <t>A. KPI Weekly Tracker</t>
        </is>
      </c>
      <c r="C105" s="499" t="inlineStr">
        <is>
          <t>Tracking KPI hàng tuần</t>
        </is>
      </c>
      <c r="D105" s="499" t="inlineStr">
        <is>
          <t>Theo dõi</t>
        </is>
      </c>
      <c r="E105" s="499" t="inlineStr">
        <is>
          <t>✅ V7</t>
        </is>
      </c>
    </row>
    <row r="106">
      <c r="A106" s="500" t="inlineStr">
        <is>
          <t>18</t>
        </is>
      </c>
      <c r="B106" s="502" t="inlineStr">
        <is>
          <t>B. Todo Daily</t>
        </is>
      </c>
      <c r="C106" s="500" t="inlineStr">
        <is>
          <t>Checklist hàng ngày — 28 tasks × 4 time blocks</t>
        </is>
      </c>
      <c r="D106" s="500" t="inlineStr">
        <is>
          <t>Kế hoạch</t>
        </is>
      </c>
      <c r="E106" s="500" t="inlineStr">
        <is>
          <t>✅ V8++</t>
        </is>
      </c>
    </row>
    <row r="107">
      <c r="A107" s="499" t="inlineStr">
        <is>
          <t>19</t>
        </is>
      </c>
      <c r="B107" s="501" t="inlineStr">
        <is>
          <t>C. Todo Weekly</t>
        </is>
      </c>
      <c r="C107" s="499" t="inlineStr">
        <is>
          <t>Công việc hàng tuần — 38 tasks × 7 ngày</t>
        </is>
      </c>
      <c r="D107" s="499" t="inlineStr">
        <is>
          <t>Kế hoạch</t>
        </is>
      </c>
      <c r="E107" s="499" t="inlineStr">
        <is>
          <t>✅ V8++</t>
        </is>
      </c>
    </row>
    <row r="108">
      <c r="A108" s="500" t="inlineStr">
        <is>
          <t>20</t>
        </is>
      </c>
      <c r="B108" s="502" t="inlineStr">
        <is>
          <t>D. Todo Monthly</t>
        </is>
      </c>
      <c r="C108" s="500" t="inlineStr">
        <is>
          <t>Kế hoạch tháng T4-T9 — 60+ tasks</t>
        </is>
      </c>
      <c r="D108" s="500" t="inlineStr">
        <is>
          <t>Kế hoạch</t>
        </is>
      </c>
      <c r="E108" s="500" t="inlineStr">
        <is>
          <t>✅ V8++</t>
        </is>
      </c>
    </row>
    <row r="109">
      <c r="A109" s="499" t="inlineStr">
        <is>
          <t>21</t>
        </is>
      </c>
      <c r="B109" s="501" t="inlineStr">
        <is>
          <t>E. Campaign Tracker</t>
        </is>
      </c>
      <c r="C109" s="499" t="inlineStr">
        <is>
          <t>Theo dõi từng campaign</t>
        </is>
      </c>
      <c r="D109" s="499" t="inlineStr">
        <is>
          <t>Theo dõi</t>
        </is>
      </c>
      <c r="E109" s="499" t="inlineStr">
        <is>
          <t>✅ V7</t>
        </is>
      </c>
    </row>
    <row r="110">
      <c r="A110" s="500" t="inlineStr">
        <is>
          <t>22</t>
        </is>
      </c>
      <c r="B110" s="502" t="inlineStr">
        <is>
          <t>F. Meta Ads Plan</t>
        </is>
      </c>
      <c r="C110" s="500" t="inlineStr">
        <is>
          <t>Kế hoạch Meta Ads chi tiết</t>
        </is>
      </c>
      <c r="D110" s="500" t="inlineStr">
        <is>
          <t>Quảng cáo</t>
        </is>
      </c>
      <c r="E110" s="500" t="inlineStr">
        <is>
          <t>✅ V7</t>
        </is>
      </c>
    </row>
    <row r="111">
      <c r="A111" s="499" t="inlineStr">
        <is>
          <t>23</t>
        </is>
      </c>
      <c r="B111" s="501" t="inlineStr">
        <is>
          <t>G. Google Ads Plan</t>
        </is>
      </c>
      <c r="C111" s="499" t="inlineStr">
        <is>
          <t>Kế hoạch Google Ads chi tiết</t>
        </is>
      </c>
      <c r="D111" s="499" t="inlineStr">
        <is>
          <t>Quảng cáo</t>
        </is>
      </c>
      <c r="E111" s="499" t="inlineStr">
        <is>
          <t>✅ V7</t>
        </is>
      </c>
    </row>
    <row r="112">
      <c r="A112" s="500" t="inlineStr">
        <is>
          <t>24</t>
        </is>
      </c>
      <c r="B112" s="502" t="inlineStr">
        <is>
          <t>H. Birch + GHL Integration</t>
        </is>
      </c>
      <c r="C112" s="500" t="inlineStr">
        <is>
          <t>Tích hợp Birch PPC + GHL</t>
        </is>
      </c>
      <c r="D112" s="500" t="inlineStr">
        <is>
          <t>CRM/Tech</t>
        </is>
      </c>
      <c r="E112" s="500" t="inlineStr">
        <is>
          <t>✅ V7+</t>
        </is>
      </c>
    </row>
    <row r="113">
      <c r="A113" s="499" t="inlineStr">
        <is>
          <t>25</t>
        </is>
      </c>
      <c r="B113" s="501" t="inlineStr">
        <is>
          <t>J. Webinar Chi Tiết</t>
        </is>
      </c>
      <c r="C113" s="499" t="inlineStr">
        <is>
          <t>Kế hoạch webinar: lịch, nội dung, follow-up</t>
        </is>
      </c>
      <c r="D113" s="499" t="inlineStr">
        <is>
          <t>Sự kiện</t>
        </is>
      </c>
      <c r="E113" s="499" t="inlineStr">
        <is>
          <t>✅ V7+</t>
        </is>
      </c>
    </row>
    <row r="114">
      <c r="A114" s="500" t="inlineStr">
        <is>
          <t>26</t>
        </is>
      </c>
      <c r="B114" s="502" t="inlineStr">
        <is>
          <t>K. Social Media Calendar</t>
        </is>
      </c>
      <c r="C114" s="500" t="inlineStr">
        <is>
          <t>Lịch đăng bài social media</t>
        </is>
      </c>
      <c r="D114" s="500" t="inlineStr">
        <is>
          <t>Social Media</t>
        </is>
      </c>
      <c r="E114" s="500" t="inlineStr">
        <is>
          <t>✅ V7+</t>
        </is>
      </c>
    </row>
    <row r="115">
      <c r="A115" s="499" t="inlineStr">
        <is>
          <t>27</t>
        </is>
      </c>
      <c r="B115" s="501" t="inlineStr">
        <is>
          <t>L. Analytics &amp; Remarketing</t>
        </is>
      </c>
      <c r="C115" s="499" t="inlineStr">
        <is>
          <t>Tracking, remarketing, attribution</t>
        </is>
      </c>
      <c r="D115" s="499" t="inlineStr">
        <is>
          <t>CRM/Tech</t>
        </is>
      </c>
      <c r="E115" s="499" t="inlineStr">
        <is>
          <t>✅ V7+</t>
        </is>
      </c>
    </row>
    <row r="116">
      <c r="A116" s="500" t="inlineStr">
        <is>
          <t>28</t>
        </is>
      </c>
      <c r="B116" s="502" t="inlineStr">
        <is>
          <t>M. Video Marketing</t>
        </is>
      </c>
      <c r="C116" s="500" t="inlineStr">
        <is>
          <t>🆕 Video library (100 videos), production plan, KPI</t>
        </is>
      </c>
      <c r="D116" s="500" t="inlineStr">
        <is>
          <t>Content</t>
        </is>
      </c>
      <c r="E116" s="500" t="inlineStr">
        <is>
          <t>✅ V8 NEW</t>
        </is>
      </c>
    </row>
    <row r="117">
      <c r="A117" s="499" t="inlineStr">
        <is>
          <t>29</t>
        </is>
      </c>
      <c r="B117" s="501" t="inlineStr">
        <is>
          <t>N. Email Marketing</t>
        </is>
      </c>
      <c r="C117" s="499" t="inlineStr">
        <is>
          <t>🆕 17 email sequences, broadcast calendar, GHL setup</t>
        </is>
      </c>
      <c r="D117" s="499" t="inlineStr">
        <is>
          <t>Content</t>
        </is>
      </c>
      <c r="E117" s="499" t="inlineStr">
        <is>
          <t>✅ V8 NEW</t>
        </is>
      </c>
    </row>
    <row r="118">
      <c r="A118" s="500" t="inlineStr">
        <is>
          <t>30</t>
        </is>
      </c>
      <c r="B118" s="502" t="inlineStr">
        <is>
          <t>O. Nuôi Kênh Social Media</t>
        </is>
      </c>
      <c r="C118" s="500" t="inlineStr">
        <is>
          <t>🆕 Nuôi 6 kênh: FB, Zalo, YT, TikTok, IG + KPI</t>
        </is>
      </c>
      <c r="D118" s="500" t="inlineStr">
        <is>
          <t>Social Media</t>
        </is>
      </c>
      <c r="E118" s="500" t="inlineStr">
        <is>
          <t>✅ V8 NEW</t>
        </is>
      </c>
    </row>
    <row r="119">
      <c r="A119" s="499" t="inlineStr">
        <is>
          <t>31</t>
        </is>
      </c>
      <c r="B119" s="501" t="inlineStr">
        <is>
          <t>P. Setup &amp; Đồng Bộ</t>
        </is>
      </c>
      <c r="C119" s="499" t="inlineStr">
        <is>
          <t>🆕 100 bước setup GHL+Pancake+Make.com+Birch</t>
        </is>
      </c>
      <c r="D119" s="499" t="inlineStr">
        <is>
          <t>CRM/Tech</t>
        </is>
      </c>
      <c r="E119" s="499" t="inlineStr">
        <is>
          <t>✅ V8 NEW</t>
        </is>
      </c>
    </row>
    <row r="122">
      <c r="A122" s="494" t="inlineStr">
        <is>
          <t>DUAL CRM TRACKING — GHL + PANCAKE CRM</t>
        </is>
      </c>
    </row>
    <row r="123">
      <c r="A123" s="495" t="inlineStr">
        <is>
          <t>Metric</t>
        </is>
      </c>
      <c r="B123" s="495" t="inlineStr">
        <is>
          <t>GHL</t>
        </is>
      </c>
      <c r="C123" s="495" t="inlineStr">
        <is>
          <t>Pancake CRM</t>
        </is>
      </c>
      <c r="D123" s="495" t="inlineStr">
        <is>
          <t>Đồng bộ</t>
        </is>
      </c>
      <c r="E123" s="495" t="inlineStr">
        <is>
          <t>T4</t>
        </is>
      </c>
      <c r="F123" s="495" t="inlineStr">
        <is>
          <t>T5</t>
        </is>
      </c>
      <c r="G123" s="495" t="inlineStr">
        <is>
          <t>T6</t>
        </is>
      </c>
      <c r="H123" s="495" t="inlineStr">
        <is>
          <t>T7</t>
        </is>
      </c>
      <c r="I123" s="495" t="inlineStr">
        <is>
          <t>T8</t>
        </is>
      </c>
      <c r="J123" s="495" t="inlineStr">
        <is>
          <t>T9</t>
        </is>
      </c>
      <c r="K123" s="495" t="inlineStr">
        <is>
          <t>Tổng</t>
        </is>
      </c>
    </row>
    <row r="124">
      <c r="A124" s="499" t="inlineStr">
        <is>
          <t>Total Contacts</t>
        </is>
      </c>
      <c r="B124" s="499" t="inlineStr">
        <is>
          <t>✅ Master</t>
        </is>
      </c>
      <c r="C124" s="499" t="inlineStr">
        <is>
          <t>✅ Sync</t>
        </is>
      </c>
      <c r="D124" s="499" t="inlineStr">
        <is>
          <t>Make.com real-time</t>
        </is>
      </c>
      <c r="E124" s="499" t="inlineStr">
        <is>
          <t>500</t>
        </is>
      </c>
      <c r="F124" s="499" t="inlineStr">
        <is>
          <t>1,200</t>
        </is>
      </c>
      <c r="G124" s="499" t="inlineStr">
        <is>
          <t>2,500</t>
        </is>
      </c>
      <c r="H124" s="499" t="inlineStr">
        <is>
          <t>4,000</t>
        </is>
      </c>
      <c r="I124" s="499" t="inlineStr">
        <is>
          <t>5,000</t>
        </is>
      </c>
      <c r="J124" s="499" t="inlineStr">
        <is>
          <t>5,500</t>
        </is>
      </c>
      <c r="K124" s="499" t="inlineStr">
        <is>
          <t>5,500</t>
        </is>
      </c>
    </row>
    <row r="125">
      <c r="A125" s="500" t="inlineStr">
        <is>
          <t>New Leads/tháng</t>
        </is>
      </c>
      <c r="B125" s="500" t="inlineStr">
        <is>
          <t>✅ Track</t>
        </is>
      </c>
      <c r="C125" s="500" t="inlineStr">
        <is>
          <t>✅ Capture</t>
        </is>
      </c>
      <c r="D125" s="500" t="inlineStr">
        <is>
          <t>Webhook → GHL</t>
        </is>
      </c>
      <c r="E125" s="500" t="inlineStr">
        <is>
          <t>100</t>
        </is>
      </c>
      <c r="F125" s="500" t="inlineStr">
        <is>
          <t>180</t>
        </is>
      </c>
      <c r="G125" s="500" t="inlineStr">
        <is>
          <t>300</t>
        </is>
      </c>
      <c r="H125" s="500" t="inlineStr">
        <is>
          <t>350</t>
        </is>
      </c>
      <c r="I125" s="500" t="inlineStr">
        <is>
          <t>200</t>
        </is>
      </c>
      <c r="J125" s="500" t="inlineStr">
        <is>
          <t>100</t>
        </is>
      </c>
      <c r="K125" s="500" t="inlineStr">
        <is>
          <t>1,230</t>
        </is>
      </c>
    </row>
    <row r="126">
      <c r="A126" s="499" t="inlineStr">
        <is>
          <t>FB Inbox Leads</t>
        </is>
      </c>
      <c r="B126" s="499" t="inlineStr">
        <is>
          <t>Sync from Pancake</t>
        </is>
      </c>
      <c r="C126" s="499" t="inlineStr">
        <is>
          <t>✅ Primary</t>
        </is>
      </c>
      <c r="D126" s="499" t="inlineStr">
        <is>
          <t>Pancake → Make → GHL</t>
        </is>
      </c>
      <c r="E126" s="499" t="inlineStr">
        <is>
          <t>40</t>
        </is>
      </c>
      <c r="F126" s="499" t="inlineStr">
        <is>
          <t>70</t>
        </is>
      </c>
      <c r="G126" s="499" t="inlineStr">
        <is>
          <t>120</t>
        </is>
      </c>
      <c r="H126" s="499" t="inlineStr">
        <is>
          <t>140</t>
        </is>
      </c>
      <c r="I126" s="499" t="inlineStr">
        <is>
          <t>80</t>
        </is>
      </c>
      <c r="J126" s="499" t="inlineStr">
        <is>
          <t>40</t>
        </is>
      </c>
      <c r="K126" s="499" t="inlineStr">
        <is>
          <t>490</t>
        </is>
      </c>
    </row>
    <row r="127">
      <c r="A127" s="500" t="inlineStr">
        <is>
          <t>Zalo Leads</t>
        </is>
      </c>
      <c r="B127" s="500" t="inlineStr">
        <is>
          <t>Sync from Pancake</t>
        </is>
      </c>
      <c r="C127" s="500" t="inlineStr">
        <is>
          <t>✅ Primary</t>
        </is>
      </c>
      <c r="D127" s="500" t="inlineStr">
        <is>
          <t>Pancake → Make → GHL</t>
        </is>
      </c>
      <c r="E127" s="500" t="inlineStr">
        <is>
          <t>30</t>
        </is>
      </c>
      <c r="F127" s="500" t="inlineStr">
        <is>
          <t>50</t>
        </is>
      </c>
      <c r="G127" s="500" t="inlineStr">
        <is>
          <t>80</t>
        </is>
      </c>
      <c r="H127" s="500" t="inlineStr">
        <is>
          <t>100</t>
        </is>
      </c>
      <c r="I127" s="500" t="inlineStr">
        <is>
          <t>60</t>
        </is>
      </c>
      <c r="J127" s="500" t="inlineStr">
        <is>
          <t>30</t>
        </is>
      </c>
      <c r="K127" s="500" t="inlineStr">
        <is>
          <t>350</t>
        </is>
      </c>
    </row>
    <row r="128">
      <c r="A128" s="499" t="inlineStr">
        <is>
          <t>Form Leads</t>
        </is>
      </c>
      <c r="B128" s="499" t="inlineStr">
        <is>
          <t>✅ Primary</t>
        </is>
      </c>
      <c r="C128" s="499" t="inlineStr">
        <is>
          <t>Sync from GHL</t>
        </is>
      </c>
      <c r="D128" s="499" t="inlineStr">
        <is>
          <t>GHL → Make → Pancake</t>
        </is>
      </c>
      <c r="E128" s="499" t="inlineStr">
        <is>
          <t>20</t>
        </is>
      </c>
      <c r="F128" s="499" t="inlineStr">
        <is>
          <t>40</t>
        </is>
      </c>
      <c r="G128" s="499" t="inlineStr">
        <is>
          <t>70</t>
        </is>
      </c>
      <c r="H128" s="499" t="inlineStr">
        <is>
          <t>80</t>
        </is>
      </c>
      <c r="I128" s="499" t="inlineStr">
        <is>
          <t>40</t>
        </is>
      </c>
      <c r="J128" s="499" t="inlineStr">
        <is>
          <t>20</t>
        </is>
      </c>
      <c r="K128" s="499" t="inlineStr">
        <is>
          <t>270</t>
        </is>
      </c>
    </row>
    <row r="129">
      <c r="A129" s="500" t="inlineStr">
        <is>
          <t>Ad Leads (Meta+Google+TikTok)</t>
        </is>
      </c>
      <c r="B129" s="500" t="inlineStr">
        <is>
          <t>✅ Via Birch</t>
        </is>
      </c>
      <c r="C129" s="500" t="inlineStr">
        <is>
          <t>Sync</t>
        </is>
      </c>
      <c r="D129" s="500" t="inlineStr">
        <is>
          <t>Birch → GHL → Make → Pancake</t>
        </is>
      </c>
      <c r="E129" s="500" t="inlineStr">
        <is>
          <t>10</t>
        </is>
      </c>
      <c r="F129" s="500" t="inlineStr">
        <is>
          <t>20</t>
        </is>
      </c>
      <c r="G129" s="500" t="inlineStr">
        <is>
          <t>30</t>
        </is>
      </c>
      <c r="H129" s="500" t="inlineStr">
        <is>
          <t>30</t>
        </is>
      </c>
      <c r="I129" s="500" t="inlineStr">
        <is>
          <t>20</t>
        </is>
      </c>
      <c r="J129" s="500" t="inlineStr">
        <is>
          <t>10</t>
        </is>
      </c>
      <c r="K129" s="500" t="inlineStr">
        <is>
          <t>120</t>
        </is>
      </c>
    </row>
    <row r="130">
      <c r="A130" s="499" t="inlineStr">
        <is>
          <t>Tours Booked</t>
        </is>
      </c>
      <c r="B130" s="499" t="inlineStr">
        <is>
          <t>✅ Calendar</t>
        </is>
      </c>
      <c r="C130" s="499" t="inlineStr">
        <is>
          <t>Note sync</t>
        </is>
      </c>
      <c r="D130" s="499" t="inlineStr">
        <is>
          <t>GHL → Make → Pancake note</t>
        </is>
      </c>
      <c r="E130" s="499" t="inlineStr">
        <is>
          <t>30</t>
        </is>
      </c>
      <c r="F130" s="499" t="inlineStr">
        <is>
          <t>60</t>
        </is>
      </c>
      <c r="G130" s="499" t="inlineStr">
        <is>
          <t>120</t>
        </is>
      </c>
      <c r="H130" s="499" t="inlineStr">
        <is>
          <t>150</t>
        </is>
      </c>
      <c r="I130" s="499" t="inlineStr">
        <is>
          <t>80</t>
        </is>
      </c>
      <c r="J130" s="499" t="inlineStr">
        <is>
          <t>30</t>
        </is>
      </c>
      <c r="K130" s="499" t="inlineStr">
        <is>
          <t>470</t>
        </is>
      </c>
    </row>
    <row r="131">
      <c r="A131" s="500" t="inlineStr">
        <is>
          <t>Enrollments</t>
        </is>
      </c>
      <c r="B131" s="500" t="inlineStr">
        <is>
          <t>✅ Pipeline</t>
        </is>
      </c>
      <c r="C131" s="500" t="inlineStr">
        <is>
          <t>✅ Tag</t>
        </is>
      </c>
      <c r="D131" s="500" t="inlineStr">
        <is>
          <t>Bidirectional</t>
        </is>
      </c>
      <c r="E131" s="500" t="inlineStr">
        <is>
          <t>15</t>
        </is>
      </c>
      <c r="F131" s="500" t="inlineStr">
        <is>
          <t>40</t>
        </is>
      </c>
      <c r="G131" s="500" t="inlineStr">
        <is>
          <t>80</t>
        </is>
      </c>
      <c r="H131" s="500" t="inlineStr">
        <is>
          <t>120</t>
        </is>
      </c>
      <c r="I131" s="500" t="inlineStr">
        <is>
          <t>100</t>
        </is>
      </c>
      <c r="J131" s="500" t="inlineStr">
        <is>
          <t>50</t>
        </is>
      </c>
      <c r="K131" s="500" t="inlineStr">
        <is>
          <t>405</t>
        </is>
      </c>
    </row>
    <row r="132">
      <c r="A132" s="499" t="inlineStr">
        <is>
          <t>Response Time (avg)</t>
        </is>
      </c>
      <c r="B132" s="499" t="inlineStr">
        <is>
          <t>N/A</t>
        </is>
      </c>
      <c r="C132" s="499" t="inlineStr">
        <is>
          <t>✅ Measure</t>
        </is>
      </c>
      <c r="D132" s="499" t="inlineStr">
        <is>
          <t>Report only</t>
        </is>
      </c>
      <c r="E132" s="499" t="inlineStr">
        <is>
          <t>&lt;30m</t>
        </is>
      </c>
      <c r="F132" s="499" t="inlineStr">
        <is>
          <t>&lt;25m</t>
        </is>
      </c>
      <c r="G132" s="499" t="inlineStr">
        <is>
          <t>&lt;20m</t>
        </is>
      </c>
      <c r="H132" s="499" t="inlineStr">
        <is>
          <t>&lt;20m</t>
        </is>
      </c>
      <c r="I132" s="499" t="inlineStr">
        <is>
          <t>&lt;25m</t>
        </is>
      </c>
      <c r="J132" s="499" t="inlineStr">
        <is>
          <t>&lt;30m</t>
        </is>
      </c>
      <c r="K132" s="499" t="inlineStr">
        <is>
          <t>&lt;25m</t>
        </is>
      </c>
    </row>
    <row r="133">
      <c r="A133" s="500" t="inlineStr">
        <is>
          <t>Workflow Emails Sent</t>
        </is>
      </c>
      <c r="B133" s="500" t="inlineStr">
        <is>
          <t>✅ Primary</t>
        </is>
      </c>
      <c r="C133" s="500" t="inlineStr">
        <is>
          <t>N/A</t>
        </is>
      </c>
      <c r="D133" s="500" t="inlineStr">
        <is>
          <t>GHL only</t>
        </is>
      </c>
      <c r="E133" s="500" t="inlineStr">
        <is>
          <t>500</t>
        </is>
      </c>
      <c r="F133" s="500" t="inlineStr">
        <is>
          <t>1,500</t>
        </is>
      </c>
      <c r="G133" s="500" t="inlineStr">
        <is>
          <t>3,000</t>
        </is>
      </c>
      <c r="H133" s="500" t="inlineStr">
        <is>
          <t>4,000</t>
        </is>
      </c>
      <c r="I133" s="500" t="inlineStr">
        <is>
          <t>2,500</t>
        </is>
      </c>
      <c r="J133" s="500" t="inlineStr">
        <is>
          <t>1,000</t>
        </is>
      </c>
      <c r="K133" s="500" t="inlineStr">
        <is>
          <t>12,500</t>
        </is>
      </c>
    </row>
    <row r="134">
      <c r="A134" s="499" t="inlineStr">
        <is>
          <t>SMS Sent</t>
        </is>
      </c>
      <c r="B134" s="499" t="inlineStr">
        <is>
          <t>✅ Primary</t>
        </is>
      </c>
      <c r="C134" s="499" t="inlineStr">
        <is>
          <t>N/A</t>
        </is>
      </c>
      <c r="D134" s="499" t="inlineStr">
        <is>
          <t>GHL only</t>
        </is>
      </c>
      <c r="E134" s="499" t="inlineStr">
        <is>
          <t>200</t>
        </is>
      </c>
      <c r="F134" s="499" t="inlineStr">
        <is>
          <t>500</t>
        </is>
      </c>
      <c r="G134" s="499" t="inlineStr">
        <is>
          <t>1,000</t>
        </is>
      </c>
      <c r="H134" s="499" t="inlineStr">
        <is>
          <t>1,200</t>
        </is>
      </c>
      <c r="I134" s="499" t="inlineStr">
        <is>
          <t>800</t>
        </is>
      </c>
      <c r="J134" s="499" t="inlineStr">
        <is>
          <t>400</t>
        </is>
      </c>
      <c r="K134" s="499" t="inlineStr">
        <is>
          <t>4,100</t>
        </is>
      </c>
    </row>
    <row r="135">
      <c r="A135" s="500" t="inlineStr">
        <is>
          <t>Make.com Operations/tháng</t>
        </is>
      </c>
      <c r="B135" s="500" t="inlineStr">
        <is>
          <t>N/A</t>
        </is>
      </c>
      <c r="C135" s="500" t="inlineStr">
        <is>
          <t>N/A</t>
        </is>
      </c>
      <c r="D135" s="500" t="inlineStr">
        <is>
          <t>✅ Monitor</t>
        </is>
      </c>
      <c r="E135" s="500" t="inlineStr">
        <is>
          <t>2,000</t>
        </is>
      </c>
      <c r="F135" s="500" t="inlineStr">
        <is>
          <t>4,000</t>
        </is>
      </c>
      <c r="G135" s="500" t="inlineStr">
        <is>
          <t>7,000</t>
        </is>
      </c>
      <c r="H135" s="500" t="inlineStr">
        <is>
          <t>8,000</t>
        </is>
      </c>
      <c r="I135" s="500" t="inlineStr">
        <is>
          <t>5,000</t>
        </is>
      </c>
      <c r="J135" s="500" t="inlineStr">
        <is>
          <t>3,000</t>
        </is>
      </c>
      <c r="K135" s="500" t="inlineStr">
        <is>
          <t>29,000</t>
        </is>
      </c>
    </row>
    <row r="138">
      <c r="A138" s="494" t="inlineStr">
        <is>
          <t>SOCIAL MEDIA KPI DASHBOARD — TỔNG HỢP 6 KÊNH</t>
        </is>
      </c>
    </row>
    <row r="139">
      <c r="A139" s="495" t="inlineStr">
        <is>
          <t>Kênh</t>
        </is>
      </c>
      <c r="B139" s="495" t="inlineStr">
        <is>
          <t>Metric chính</t>
        </is>
      </c>
      <c r="C139" s="495" t="inlineStr">
        <is>
          <t>Hiện tại</t>
        </is>
      </c>
      <c r="D139" s="495" t="inlineStr">
        <is>
          <t>T4</t>
        </is>
      </c>
      <c r="E139" s="495" t="inlineStr">
        <is>
          <t>T5</t>
        </is>
      </c>
      <c r="F139" s="495" t="inlineStr">
        <is>
          <t>T6</t>
        </is>
      </c>
      <c r="G139" s="495" t="inlineStr">
        <is>
          <t>T7</t>
        </is>
      </c>
      <c r="H139" s="495" t="inlineStr">
        <is>
          <t>T8</t>
        </is>
      </c>
      <c r="I139" s="495" t="inlineStr">
        <is>
          <t>T9</t>
        </is>
      </c>
      <c r="J139" s="495" t="inlineStr">
        <is>
          <t>Target cuối</t>
        </is>
      </c>
    </row>
    <row r="140">
      <c r="A140" s="499" t="inlineStr">
        <is>
          <t>Facebook Page</t>
        </is>
      </c>
      <c r="B140" s="499" t="inlineStr">
        <is>
          <t>Followers</t>
        </is>
      </c>
      <c r="C140" s="499" t="inlineStr">
        <is>
          <t>12,000</t>
        </is>
      </c>
      <c r="D140" s="499" t="inlineStr">
        <is>
          <t>15,000</t>
        </is>
      </c>
      <c r="E140" s="499" t="inlineStr">
        <is>
          <t>20,000</t>
        </is>
      </c>
      <c r="F140" s="499" t="inlineStr">
        <is>
          <t>28,000</t>
        </is>
      </c>
      <c r="G140" s="499" t="inlineStr">
        <is>
          <t>35,000</t>
        </is>
      </c>
      <c r="H140" s="499" t="inlineStr">
        <is>
          <t>42,000</t>
        </is>
      </c>
      <c r="I140" s="499" t="inlineStr">
        <is>
          <t>50,000</t>
        </is>
      </c>
      <c r="J140" s="499" t="inlineStr">
        <is>
          <t>50,000</t>
        </is>
      </c>
    </row>
    <row r="141">
      <c r="A141" s="500" t="inlineStr">
        <is>
          <t>Facebook Page</t>
        </is>
      </c>
      <c r="B141" s="500" t="inlineStr">
        <is>
          <t>Engagement Rate</t>
        </is>
      </c>
      <c r="C141" s="500" t="inlineStr">
        <is>
          <t>2.5%</t>
        </is>
      </c>
      <c r="D141" s="500" t="inlineStr">
        <is>
          <t>3.0%</t>
        </is>
      </c>
      <c r="E141" s="500" t="inlineStr">
        <is>
          <t>3.2%</t>
        </is>
      </c>
      <c r="F141" s="500" t="inlineStr">
        <is>
          <t>3.5%</t>
        </is>
      </c>
      <c r="G141" s="500" t="inlineStr">
        <is>
          <t>3.5%</t>
        </is>
      </c>
      <c r="H141" s="500" t="inlineStr">
        <is>
          <t>3.3%</t>
        </is>
      </c>
      <c r="I141" s="500" t="inlineStr">
        <is>
          <t>3.0%</t>
        </is>
      </c>
      <c r="J141" s="500" t="inlineStr">
        <is>
          <t>≥3.0%</t>
        </is>
      </c>
    </row>
    <row r="142">
      <c r="A142" s="499" t="inlineStr">
        <is>
          <t>Facebook Groups</t>
        </is>
      </c>
      <c r="B142" s="499" t="inlineStr">
        <is>
          <t>Members (tổng)</t>
        </is>
      </c>
      <c r="C142" s="499" t="inlineStr">
        <is>
          <t>8,000</t>
        </is>
      </c>
      <c r="D142" s="499" t="inlineStr">
        <is>
          <t>10,000</t>
        </is>
      </c>
      <c r="E142" s="499" t="inlineStr">
        <is>
          <t>13,000</t>
        </is>
      </c>
      <c r="F142" s="499" t="inlineStr">
        <is>
          <t>18,000</t>
        </is>
      </c>
      <c r="G142" s="499" t="inlineStr">
        <is>
          <t>22,000</t>
        </is>
      </c>
      <c r="H142" s="499" t="inlineStr">
        <is>
          <t>26,000</t>
        </is>
      </c>
      <c r="I142" s="499" t="inlineStr">
        <is>
          <t>30,000</t>
        </is>
      </c>
      <c r="J142" s="499" t="inlineStr">
        <is>
          <t>30,000</t>
        </is>
      </c>
    </row>
    <row r="143">
      <c r="A143" s="500" t="inlineStr">
        <is>
          <t>Zalo OA</t>
        </is>
      </c>
      <c r="B143" s="500" t="inlineStr">
        <is>
          <t>Followers</t>
        </is>
      </c>
      <c r="C143" s="500" t="inlineStr">
        <is>
          <t>15,000</t>
        </is>
      </c>
      <c r="D143" s="500" t="inlineStr">
        <is>
          <t>18,000</t>
        </is>
      </c>
      <c r="E143" s="500" t="inlineStr">
        <is>
          <t>22,000</t>
        </is>
      </c>
      <c r="F143" s="500" t="inlineStr">
        <is>
          <t>28,000</t>
        </is>
      </c>
      <c r="G143" s="500" t="inlineStr">
        <is>
          <t>32,000</t>
        </is>
      </c>
      <c r="H143" s="500" t="inlineStr">
        <is>
          <t>36,000</t>
        </is>
      </c>
      <c r="I143" s="500" t="inlineStr">
        <is>
          <t>40,000</t>
        </is>
      </c>
      <c r="J143" s="500" t="inlineStr">
        <is>
          <t>40,000</t>
        </is>
      </c>
    </row>
    <row r="144">
      <c r="A144" s="499" t="inlineStr">
        <is>
          <t>Zalo OA</t>
        </is>
      </c>
      <c r="B144" s="499" t="inlineStr">
        <is>
          <t>Open Rate</t>
        </is>
      </c>
      <c r="C144" s="499" t="inlineStr">
        <is>
          <t>42%</t>
        </is>
      </c>
      <c r="D144" s="499" t="inlineStr">
        <is>
          <t>45%</t>
        </is>
      </c>
      <c r="E144" s="499" t="inlineStr">
        <is>
          <t>43%</t>
        </is>
      </c>
      <c r="F144" s="499" t="inlineStr">
        <is>
          <t>42%</t>
        </is>
      </c>
      <c r="G144" s="499" t="inlineStr">
        <is>
          <t>40%</t>
        </is>
      </c>
      <c r="H144" s="499" t="inlineStr">
        <is>
          <t>40%</t>
        </is>
      </c>
      <c r="I144" s="499" t="inlineStr">
        <is>
          <t>38%</t>
        </is>
      </c>
      <c r="J144" s="499" t="inlineStr">
        <is>
          <t>≥38%</t>
        </is>
      </c>
    </row>
    <row r="145">
      <c r="A145" s="500" t="inlineStr">
        <is>
          <t>YouTube</t>
        </is>
      </c>
      <c r="B145" s="500" t="inlineStr">
        <is>
          <t>Subscribers</t>
        </is>
      </c>
      <c r="C145" s="500" t="inlineStr">
        <is>
          <t>1,200</t>
        </is>
      </c>
      <c r="D145" s="500" t="inlineStr">
        <is>
          <t>2,000</t>
        </is>
      </c>
      <c r="E145" s="500" t="inlineStr">
        <is>
          <t>3,500</t>
        </is>
      </c>
      <c r="F145" s="500" t="inlineStr">
        <is>
          <t>5,000</t>
        </is>
      </c>
      <c r="G145" s="500" t="inlineStr">
        <is>
          <t>6,500</t>
        </is>
      </c>
      <c r="H145" s="500" t="inlineStr">
        <is>
          <t>8,000</t>
        </is>
      </c>
      <c r="I145" s="500" t="inlineStr">
        <is>
          <t>10,000</t>
        </is>
      </c>
      <c r="J145" s="500" t="inlineStr">
        <is>
          <t>10,000</t>
        </is>
      </c>
    </row>
    <row r="146">
      <c r="A146" s="499" t="inlineStr">
        <is>
          <t>YouTube</t>
        </is>
      </c>
      <c r="B146" s="499" t="inlineStr">
        <is>
          <t>Views/tháng</t>
        </is>
      </c>
      <c r="C146" s="499" t="inlineStr">
        <is>
          <t>5,000</t>
        </is>
      </c>
      <c r="D146" s="499" t="inlineStr">
        <is>
          <t>20,000</t>
        </is>
      </c>
      <c r="E146" s="499" t="inlineStr">
        <is>
          <t>35,000</t>
        </is>
      </c>
      <c r="F146" s="499" t="inlineStr">
        <is>
          <t>60,000</t>
        </is>
      </c>
      <c r="G146" s="499" t="inlineStr">
        <is>
          <t>80,000</t>
        </is>
      </c>
      <c r="H146" s="499" t="inlineStr">
        <is>
          <t>70,000</t>
        </is>
      </c>
      <c r="I146" s="499" t="inlineStr">
        <is>
          <t>50,000</t>
        </is>
      </c>
      <c r="J146" s="499" t="inlineStr">
        <is>
          <t>≥50K</t>
        </is>
      </c>
    </row>
    <row r="147">
      <c r="A147" s="500" t="inlineStr">
        <is>
          <t>TikTok</t>
        </is>
      </c>
      <c r="B147" s="500" t="inlineStr">
        <is>
          <t>Followers</t>
        </is>
      </c>
      <c r="C147" s="500" t="inlineStr">
        <is>
          <t>3,500</t>
        </is>
      </c>
      <c r="D147" s="500" t="inlineStr">
        <is>
          <t>6,000</t>
        </is>
      </c>
      <c r="E147" s="500" t="inlineStr">
        <is>
          <t>10,000</t>
        </is>
      </c>
      <c r="F147" s="500" t="inlineStr">
        <is>
          <t>16,000</t>
        </is>
      </c>
      <c r="G147" s="500" t="inlineStr">
        <is>
          <t>22,000</t>
        </is>
      </c>
      <c r="H147" s="500" t="inlineStr">
        <is>
          <t>26,000</t>
        </is>
      </c>
      <c r="I147" s="500" t="inlineStr">
        <is>
          <t>30,000</t>
        </is>
      </c>
      <c r="J147" s="500" t="inlineStr">
        <is>
          <t>30,000</t>
        </is>
      </c>
    </row>
    <row r="148">
      <c r="A148" s="499" t="inlineStr">
        <is>
          <t>TikTok</t>
        </is>
      </c>
      <c r="B148" s="499" t="inlineStr">
        <is>
          <t>Views/tháng</t>
        </is>
      </c>
      <c r="C148" s="499" t="inlineStr">
        <is>
          <t>50,000</t>
        </is>
      </c>
      <c r="D148" s="499" t="inlineStr">
        <is>
          <t>200,000</t>
        </is>
      </c>
      <c r="E148" s="499" t="inlineStr">
        <is>
          <t>400,000</t>
        </is>
      </c>
      <c r="F148" s="499" t="inlineStr">
        <is>
          <t>800,000</t>
        </is>
      </c>
      <c r="G148" s="499" t="inlineStr">
        <is>
          <t>1,000,000</t>
        </is>
      </c>
      <c r="H148" s="499" t="inlineStr">
        <is>
          <t>800,000</t>
        </is>
      </c>
      <c r="I148" s="499" t="inlineStr">
        <is>
          <t>500,000</t>
        </is>
      </c>
      <c r="J148" s="499" t="inlineStr">
        <is>
          <t>≥500K</t>
        </is>
      </c>
    </row>
    <row r="149">
      <c r="A149" s="500" t="inlineStr">
        <is>
          <t>Instagram</t>
        </is>
      </c>
      <c r="B149" s="500" t="inlineStr">
        <is>
          <t>Followers</t>
        </is>
      </c>
      <c r="C149" s="500" t="inlineStr">
        <is>
          <t>2,000</t>
        </is>
      </c>
      <c r="D149" s="500" t="inlineStr">
        <is>
          <t>3,000</t>
        </is>
      </c>
      <c r="E149" s="500" t="inlineStr">
        <is>
          <t>5,000</t>
        </is>
      </c>
      <c r="F149" s="500" t="inlineStr">
        <is>
          <t>8,000</t>
        </is>
      </c>
      <c r="G149" s="500" t="inlineStr">
        <is>
          <t>10,000</t>
        </is>
      </c>
      <c r="H149" s="500" t="inlineStr">
        <is>
          <t>12,000</t>
        </is>
      </c>
      <c r="I149" s="500" t="inlineStr">
        <is>
          <t>15,000</t>
        </is>
      </c>
      <c r="J149" s="500" t="inlineStr">
        <is>
          <t>15,000</t>
        </is>
      </c>
    </row>
    <row r="150">
      <c r="A150" s="499" t="inlineStr">
        <is>
          <t>TỔNG</t>
        </is>
      </c>
      <c r="B150" s="499" t="inlineStr">
        <is>
          <t>Leads từ Social</t>
        </is>
      </c>
      <c r="C150" s="499" t="inlineStr">
        <is>
          <t>-</t>
        </is>
      </c>
      <c r="D150" s="499" t="inlineStr">
        <is>
          <t>80</t>
        </is>
      </c>
      <c r="E150" s="499" t="inlineStr">
        <is>
          <t>120</t>
        </is>
      </c>
      <c r="F150" s="499" t="inlineStr">
        <is>
          <t>200</t>
        </is>
      </c>
      <c r="G150" s="499" t="inlineStr">
        <is>
          <t>250</t>
        </is>
      </c>
      <c r="H150" s="499" t="inlineStr">
        <is>
          <t>200</t>
        </is>
      </c>
      <c r="I150" s="499" t="inlineStr">
        <is>
          <t>150</t>
        </is>
      </c>
      <c r="J150" s="499" t="inlineStr">
        <is>
          <t>1,000</t>
        </is>
      </c>
    </row>
    <row r="151">
      <c r="A151" s="500" t="inlineStr">
        <is>
          <t>TỔNG</t>
        </is>
      </c>
      <c r="B151" s="500" t="inlineStr">
        <is>
          <t>Cost/lead social</t>
        </is>
      </c>
      <c r="C151" s="500" t="inlineStr">
        <is>
          <t>-</t>
        </is>
      </c>
      <c r="D151" s="500" t="inlineStr">
        <is>
          <t>50K</t>
        </is>
      </c>
      <c r="E151" s="500" t="inlineStr">
        <is>
          <t>45K</t>
        </is>
      </c>
      <c r="F151" s="500" t="inlineStr">
        <is>
          <t>40K</t>
        </is>
      </c>
      <c r="G151" s="500" t="inlineStr">
        <is>
          <t>38K</t>
        </is>
      </c>
      <c r="H151" s="500" t="inlineStr">
        <is>
          <t>42K</t>
        </is>
      </c>
      <c r="I151" s="500" t="inlineStr">
        <is>
          <t>45K</t>
        </is>
      </c>
      <c r="J151" s="500" t="inlineStr">
        <is>
          <t>≤45K</t>
        </is>
      </c>
    </row>
    <row r="154">
      <c r="A154" s="494" t="inlineStr">
        <is>
          <t>VIDEO + EMAIL MARKETING KPI</t>
        </is>
      </c>
    </row>
    <row r="155">
      <c r="A155" s="495" t="inlineStr">
        <is>
          <t>Kênh</t>
        </is>
      </c>
      <c r="B155" s="495" t="inlineStr">
        <is>
          <t>Metric</t>
        </is>
      </c>
      <c r="C155" s="495" t="inlineStr">
        <is>
          <t>T4</t>
        </is>
      </c>
      <c r="D155" s="495" t="inlineStr">
        <is>
          <t>T5</t>
        </is>
      </c>
      <c r="E155" s="495" t="inlineStr">
        <is>
          <t>T6</t>
        </is>
      </c>
      <c r="F155" s="495" t="inlineStr">
        <is>
          <t>T7</t>
        </is>
      </c>
      <c r="G155" s="495" t="inlineStr">
        <is>
          <t>T8</t>
        </is>
      </c>
      <c r="H155" s="495" t="inlineStr">
        <is>
          <t>T9</t>
        </is>
      </c>
      <c r="I155" s="495" t="inlineStr">
        <is>
          <t>Tổng</t>
        </is>
      </c>
    </row>
    <row r="156">
      <c r="A156" s="499" t="inlineStr">
        <is>
          <t>Video</t>
        </is>
      </c>
      <c r="B156" s="499" t="inlineStr">
        <is>
          <t>Videos produced</t>
        </is>
      </c>
      <c r="C156" s="499" t="inlineStr">
        <is>
          <t>15</t>
        </is>
      </c>
      <c r="D156" s="499" t="inlineStr">
        <is>
          <t>20</t>
        </is>
      </c>
      <c r="E156" s="499" t="inlineStr">
        <is>
          <t>25</t>
        </is>
      </c>
      <c r="F156" s="499" t="inlineStr">
        <is>
          <t>20</t>
        </is>
      </c>
      <c r="G156" s="499" t="inlineStr">
        <is>
          <t>15</t>
        </is>
      </c>
      <c r="H156" s="499" t="inlineStr">
        <is>
          <t>10</t>
        </is>
      </c>
      <c r="I156" s="499" t="inlineStr">
        <is>
          <t>105</t>
        </is>
      </c>
    </row>
    <row r="157">
      <c r="A157" s="500" t="inlineStr">
        <is>
          <t>Video</t>
        </is>
      </c>
      <c r="B157" s="500" t="inlineStr">
        <is>
          <t>Total views (all platforms)</t>
        </is>
      </c>
      <c r="C157" s="500" t="inlineStr">
        <is>
          <t>50,000</t>
        </is>
      </c>
      <c r="D157" s="500" t="inlineStr">
        <is>
          <t>150,000</t>
        </is>
      </c>
      <c r="E157" s="500" t="inlineStr">
        <is>
          <t>400,000</t>
        </is>
      </c>
      <c r="F157" s="500" t="inlineStr">
        <is>
          <t>600,000</t>
        </is>
      </c>
      <c r="G157" s="500" t="inlineStr">
        <is>
          <t>400,000</t>
        </is>
      </c>
      <c r="H157" s="500" t="inlineStr">
        <is>
          <t>200,000</t>
        </is>
      </c>
      <c r="I157" s="500" t="inlineStr">
        <is>
          <t>1,800,000</t>
        </is>
      </c>
    </row>
    <row r="158">
      <c r="A158" s="499" t="inlineStr">
        <is>
          <t>Video</t>
        </is>
      </c>
      <c r="B158" s="499" t="inlineStr">
        <is>
          <t>Leads from video</t>
        </is>
      </c>
      <c r="C158" s="499" t="inlineStr">
        <is>
          <t>10</t>
        </is>
      </c>
      <c r="D158" s="499" t="inlineStr">
        <is>
          <t>25</t>
        </is>
      </c>
      <c r="E158" s="499" t="inlineStr">
        <is>
          <t>50</t>
        </is>
      </c>
      <c r="F158" s="499" t="inlineStr">
        <is>
          <t>60</t>
        </is>
      </c>
      <c r="G158" s="499" t="inlineStr">
        <is>
          <t>40</t>
        </is>
      </c>
      <c r="H158" s="499" t="inlineStr">
        <is>
          <t>20</t>
        </is>
      </c>
      <c r="I158" s="499" t="inlineStr">
        <is>
          <t>205</t>
        </is>
      </c>
    </row>
    <row r="159">
      <c r="A159" s="500" t="inlineStr">
        <is>
          <t>Email</t>
        </is>
      </c>
      <c r="B159" s="500" t="inlineStr">
        <is>
          <t>Emails sent (auto + broadcast)</t>
        </is>
      </c>
      <c r="C159" s="500" t="inlineStr">
        <is>
          <t>700</t>
        </is>
      </c>
      <c r="D159" s="500" t="inlineStr">
        <is>
          <t>2,000</t>
        </is>
      </c>
      <c r="E159" s="500" t="inlineStr">
        <is>
          <t>4,000</t>
        </is>
      </c>
      <c r="F159" s="500" t="inlineStr">
        <is>
          <t>5,200</t>
        </is>
      </c>
      <c r="G159" s="500" t="inlineStr">
        <is>
          <t>3,300</t>
        </is>
      </c>
      <c r="H159" s="500" t="inlineStr">
        <is>
          <t>1,400</t>
        </is>
      </c>
      <c r="I159" s="500" t="inlineStr">
        <is>
          <t>16,600</t>
        </is>
      </c>
    </row>
    <row r="160">
      <c r="A160" s="499" t="inlineStr">
        <is>
          <t>Email</t>
        </is>
      </c>
      <c r="B160" s="499" t="inlineStr">
        <is>
          <t>Average open rate</t>
        </is>
      </c>
      <c r="C160" s="499" t="inlineStr">
        <is>
          <t>35%</t>
        </is>
      </c>
      <c r="D160" s="499" t="inlineStr">
        <is>
          <t>33%</t>
        </is>
      </c>
      <c r="E160" s="499" t="inlineStr">
        <is>
          <t>32%</t>
        </is>
      </c>
      <c r="F160" s="499" t="inlineStr">
        <is>
          <t>30%</t>
        </is>
      </c>
      <c r="G160" s="499" t="inlineStr">
        <is>
          <t>30%</t>
        </is>
      </c>
      <c r="H160" s="499" t="inlineStr">
        <is>
          <t>28%</t>
        </is>
      </c>
      <c r="I160" s="499" t="inlineStr">
        <is>
          <t>31.3%</t>
        </is>
      </c>
    </row>
    <row r="161">
      <c r="A161" s="500" t="inlineStr">
        <is>
          <t>Email</t>
        </is>
      </c>
      <c r="B161" s="500" t="inlineStr">
        <is>
          <t>Average click rate</t>
        </is>
      </c>
      <c r="C161" s="500" t="inlineStr">
        <is>
          <t>8%</t>
        </is>
      </c>
      <c r="D161" s="500" t="inlineStr">
        <is>
          <t>7%</t>
        </is>
      </c>
      <c r="E161" s="500" t="inlineStr">
        <is>
          <t>7%</t>
        </is>
      </c>
      <c r="F161" s="500" t="inlineStr">
        <is>
          <t>6%</t>
        </is>
      </c>
      <c r="G161" s="500" t="inlineStr">
        <is>
          <t>6%</t>
        </is>
      </c>
      <c r="H161" s="500" t="inlineStr">
        <is>
          <t>5%</t>
        </is>
      </c>
      <c r="I161" s="500" t="inlineStr">
        <is>
          <t>6.5%</t>
        </is>
      </c>
    </row>
    <row r="162">
      <c r="A162" s="499" t="inlineStr">
        <is>
          <t>Email</t>
        </is>
      </c>
      <c r="B162" s="499" t="inlineStr">
        <is>
          <t>Leads from email</t>
        </is>
      </c>
      <c r="C162" s="499" t="inlineStr">
        <is>
          <t>15</t>
        </is>
      </c>
      <c r="D162" s="499" t="inlineStr">
        <is>
          <t>30</t>
        </is>
      </c>
      <c r="E162" s="499" t="inlineStr">
        <is>
          <t>50</t>
        </is>
      </c>
      <c r="F162" s="499" t="inlineStr">
        <is>
          <t>60</t>
        </is>
      </c>
      <c r="G162" s="499" t="inlineStr">
        <is>
          <t>40</t>
        </is>
      </c>
      <c r="H162" s="499" t="inlineStr">
        <is>
          <t>20</t>
        </is>
      </c>
      <c r="I162" s="499" t="inlineStr">
        <is>
          <t>215</t>
        </is>
      </c>
    </row>
    <row r="165">
      <c r="A165" s="494" t="inlineStr">
        <is>
          <t>NGÂN SÁCH TỔNG HỢP V8 — 13 TỶ VND</t>
        </is>
      </c>
    </row>
    <row r="166">
      <c r="A166" s="495" t="inlineStr">
        <is>
          <t>Hạng mục</t>
        </is>
      </c>
      <c r="B166" s="495" t="inlineStr">
        <is>
          <t>T4</t>
        </is>
      </c>
      <c r="C166" s="495" t="inlineStr">
        <is>
          <t>T5</t>
        </is>
      </c>
      <c r="D166" s="495" t="inlineStr">
        <is>
          <t>T6</t>
        </is>
      </c>
      <c r="E166" s="495" t="inlineStr">
        <is>
          <t>T7</t>
        </is>
      </c>
      <c r="F166" s="495" t="inlineStr">
        <is>
          <t>T8</t>
        </is>
      </c>
      <c r="G166" s="495" t="inlineStr">
        <is>
          <t>T9</t>
        </is>
      </c>
      <c r="H166" s="495" t="inlineStr">
        <is>
          <t>Tổng</t>
        </is>
      </c>
      <c r="I166" s="495" t="inlineStr">
        <is>
          <t>% Budget</t>
        </is>
      </c>
    </row>
    <row r="167">
      <c r="A167" s="499" t="inlineStr">
        <is>
          <t>Meta Ads (FB + IG)</t>
        </is>
      </c>
      <c r="B167" s="499" t="inlineStr">
        <is>
          <t>400M</t>
        </is>
      </c>
      <c r="C167" s="499" t="inlineStr">
        <is>
          <t>600M</t>
        </is>
      </c>
      <c r="D167" s="499" t="inlineStr">
        <is>
          <t>1,000M</t>
        </is>
      </c>
      <c r="E167" s="499" t="inlineStr">
        <is>
          <t>1,000M</t>
        </is>
      </c>
      <c r="F167" s="499" t="inlineStr">
        <is>
          <t>600M</t>
        </is>
      </c>
      <c r="G167" s="499" t="inlineStr">
        <is>
          <t>400M</t>
        </is>
      </c>
      <c r="H167" s="499" t="inlineStr">
        <is>
          <t>4,000M</t>
        </is>
      </c>
      <c r="I167" s="499" t="inlineStr">
        <is>
          <t>30.8%</t>
        </is>
      </c>
    </row>
    <row r="168">
      <c r="A168" s="500" t="inlineStr">
        <is>
          <t>Google Ads</t>
        </is>
      </c>
      <c r="B168" s="500" t="inlineStr">
        <is>
          <t>300M</t>
        </is>
      </c>
      <c r="C168" s="500" t="inlineStr">
        <is>
          <t>400M</t>
        </is>
      </c>
      <c r="D168" s="500" t="inlineStr">
        <is>
          <t>600M</t>
        </is>
      </c>
      <c r="E168" s="500" t="inlineStr">
        <is>
          <t>600M</t>
        </is>
      </c>
      <c r="F168" s="500" t="inlineStr">
        <is>
          <t>400M</t>
        </is>
      </c>
      <c r="G168" s="500" t="inlineStr">
        <is>
          <t>200M</t>
        </is>
      </c>
      <c r="H168" s="500" t="inlineStr">
        <is>
          <t>2,500M</t>
        </is>
      </c>
      <c r="I168" s="500" t="inlineStr">
        <is>
          <t>19.2%</t>
        </is>
      </c>
    </row>
    <row r="169">
      <c r="A169" s="499" t="inlineStr">
        <is>
          <t>TikTok Ads</t>
        </is>
      </c>
      <c r="B169" s="499" t="inlineStr">
        <is>
          <t>100M</t>
        </is>
      </c>
      <c r="C169" s="499" t="inlineStr">
        <is>
          <t>200M</t>
        </is>
      </c>
      <c r="D169" s="499" t="inlineStr">
        <is>
          <t>400M</t>
        </is>
      </c>
      <c r="E169" s="499" t="inlineStr">
        <is>
          <t>400M</t>
        </is>
      </c>
      <c r="F169" s="499" t="inlineStr">
        <is>
          <t>200M</t>
        </is>
      </c>
      <c r="G169" s="499" t="inlineStr">
        <is>
          <t>100M</t>
        </is>
      </c>
      <c r="H169" s="499" t="inlineStr">
        <is>
          <t>1,400M</t>
        </is>
      </c>
      <c r="I169" s="499" t="inlineStr">
        <is>
          <t>10.8%</t>
        </is>
      </c>
    </row>
    <row r="170">
      <c r="A170" s="500" t="inlineStr">
        <is>
          <t>Zalo Ads</t>
        </is>
      </c>
      <c r="B170" s="500" t="inlineStr">
        <is>
          <t>150M</t>
        </is>
      </c>
      <c r="C170" s="500" t="inlineStr">
        <is>
          <t>200M</t>
        </is>
      </c>
      <c r="D170" s="500" t="inlineStr">
        <is>
          <t>300M</t>
        </is>
      </c>
      <c r="E170" s="500" t="inlineStr">
        <is>
          <t>300M</t>
        </is>
      </c>
      <c r="F170" s="500" t="inlineStr">
        <is>
          <t>200M</t>
        </is>
      </c>
      <c r="G170" s="500" t="inlineStr">
        <is>
          <t>100M</t>
        </is>
      </c>
      <c r="H170" s="500" t="inlineStr">
        <is>
          <t>1,250M</t>
        </is>
      </c>
      <c r="I170" s="500" t="inlineStr">
        <is>
          <t>9.6%</t>
        </is>
      </c>
    </row>
    <row r="171">
      <c r="A171" s="499" t="inlineStr">
        <is>
          <t>Content Production (Video, Design)</t>
        </is>
      </c>
      <c r="B171" s="499" t="inlineStr">
        <is>
          <t>100M</t>
        </is>
      </c>
      <c r="C171" s="499" t="inlineStr">
        <is>
          <t>100M</t>
        </is>
      </c>
      <c r="D171" s="499" t="inlineStr">
        <is>
          <t>150M</t>
        </is>
      </c>
      <c r="E171" s="499" t="inlineStr">
        <is>
          <t>150M</t>
        </is>
      </c>
      <c r="F171" s="499" t="inlineStr">
        <is>
          <t>100M</t>
        </is>
      </c>
      <c r="G171" s="499" t="inlineStr">
        <is>
          <t>50M</t>
        </is>
      </c>
      <c r="H171" s="499" t="inlineStr">
        <is>
          <t>650M</t>
        </is>
      </c>
      <c r="I171" s="499" t="inlineStr">
        <is>
          <t>5.0%</t>
        </is>
      </c>
    </row>
    <row r="172">
      <c r="A172" s="500" t="inlineStr">
        <is>
          <t>Events (Open Day, Webinar)</t>
        </is>
      </c>
      <c r="B172" s="500" t="inlineStr">
        <is>
          <t>100M</t>
        </is>
      </c>
      <c r="C172" s="500" t="inlineStr">
        <is>
          <t>100M</t>
        </is>
      </c>
      <c r="D172" s="500" t="inlineStr">
        <is>
          <t>200M</t>
        </is>
      </c>
      <c r="E172" s="500" t="inlineStr">
        <is>
          <t>150M</t>
        </is>
      </c>
      <c r="F172" s="500" t="inlineStr">
        <is>
          <t>100M</t>
        </is>
      </c>
      <c r="G172" s="500" t="inlineStr">
        <is>
          <t>50M</t>
        </is>
      </c>
      <c r="H172" s="500" t="inlineStr">
        <is>
          <t>700M</t>
        </is>
      </c>
      <c r="I172" s="500" t="inlineStr">
        <is>
          <t>5.4%</t>
        </is>
      </c>
    </row>
    <row r="173">
      <c r="A173" s="499" t="inlineStr">
        <is>
          <t>Influencer Marketing</t>
        </is>
      </c>
      <c r="B173" s="499" t="inlineStr">
        <is>
          <t>0</t>
        </is>
      </c>
      <c r="C173" s="499" t="inlineStr">
        <is>
          <t>40M</t>
        </is>
      </c>
      <c r="D173" s="499" t="inlineStr">
        <is>
          <t>50M</t>
        </is>
      </c>
      <c r="E173" s="499" t="inlineStr">
        <is>
          <t>50M</t>
        </is>
      </c>
      <c r="F173" s="499" t="inlineStr">
        <is>
          <t>30M</t>
        </is>
      </c>
      <c r="G173" s="499" t="inlineStr">
        <is>
          <t>0</t>
        </is>
      </c>
      <c r="H173" s="499" t="inlineStr">
        <is>
          <t>170M</t>
        </is>
      </c>
      <c r="I173" s="499" t="inlineStr">
        <is>
          <t>1.3%</t>
        </is>
      </c>
    </row>
    <row r="174">
      <c r="A174" s="500" t="inlineStr">
        <is>
          <t>Software (GHL+Birch+Make+Pancake)</t>
        </is>
      </c>
      <c r="B174" s="500" t="inlineStr">
        <is>
          <t>30M</t>
        </is>
      </c>
      <c r="C174" s="500" t="inlineStr">
        <is>
          <t>30M</t>
        </is>
      </c>
      <c r="D174" s="500" t="inlineStr">
        <is>
          <t>30M</t>
        </is>
      </c>
      <c r="E174" s="500" t="inlineStr">
        <is>
          <t>30M</t>
        </is>
      </c>
      <c r="F174" s="500" t="inlineStr">
        <is>
          <t>30M</t>
        </is>
      </c>
      <c r="G174" s="500" t="inlineStr">
        <is>
          <t>30M</t>
        </is>
      </c>
      <c r="H174" s="500" t="inlineStr">
        <is>
          <t>180M</t>
        </is>
      </c>
      <c r="I174" s="500" t="inlineStr">
        <is>
          <t>1.4%</t>
        </is>
      </c>
    </row>
    <row r="175">
      <c r="A175" s="499" t="inlineStr">
        <is>
          <t>SMS/Zalo Messaging</t>
        </is>
      </c>
      <c r="B175" s="499" t="inlineStr">
        <is>
          <t>20M</t>
        </is>
      </c>
      <c r="C175" s="499" t="inlineStr">
        <is>
          <t>30M</t>
        </is>
      </c>
      <c r="D175" s="499" t="inlineStr">
        <is>
          <t>50M</t>
        </is>
      </c>
      <c r="E175" s="499" t="inlineStr">
        <is>
          <t>50M</t>
        </is>
      </c>
      <c r="F175" s="499" t="inlineStr">
        <is>
          <t>30M</t>
        </is>
      </c>
      <c r="G175" s="499" t="inlineStr">
        <is>
          <t>20M</t>
        </is>
      </c>
      <c r="H175" s="499" t="inlineStr">
        <is>
          <t>200M</t>
        </is>
      </c>
      <c r="I175" s="499" t="inlineStr">
        <is>
          <t>1.5%</t>
        </is>
      </c>
    </row>
    <row r="176">
      <c r="A176" s="500" t="inlineStr">
        <is>
          <t>Referral Rewards</t>
        </is>
      </c>
      <c r="B176" s="500" t="inlineStr">
        <is>
          <t>0</t>
        </is>
      </c>
      <c r="C176" s="500" t="inlineStr">
        <is>
          <t>50M</t>
        </is>
      </c>
      <c r="D176" s="500" t="inlineStr">
        <is>
          <t>100M</t>
        </is>
      </c>
      <c r="E176" s="500" t="inlineStr">
        <is>
          <t>150M</t>
        </is>
      </c>
      <c r="F176" s="500" t="inlineStr">
        <is>
          <t>100M</t>
        </is>
      </c>
      <c r="G176" s="500" t="inlineStr">
        <is>
          <t>50M</t>
        </is>
      </c>
      <c r="H176" s="500" t="inlineStr">
        <is>
          <t>450M</t>
        </is>
      </c>
      <c r="I176" s="500" t="inlineStr">
        <is>
          <t>3.5%</t>
        </is>
      </c>
    </row>
    <row r="177">
      <c r="A177" s="499" t="inlineStr">
        <is>
          <t>Contingency (10%)</t>
        </is>
      </c>
      <c r="B177" s="499" t="inlineStr">
        <is>
          <t>130M</t>
        </is>
      </c>
      <c r="C177" s="499" t="inlineStr">
        <is>
          <t>175M</t>
        </is>
      </c>
      <c r="D177" s="499" t="inlineStr">
        <is>
          <t>290M</t>
        </is>
      </c>
      <c r="E177" s="499" t="inlineStr">
        <is>
          <t>290M</t>
        </is>
      </c>
      <c r="F177" s="499" t="inlineStr">
        <is>
          <t>180M</t>
        </is>
      </c>
      <c r="G177" s="499" t="inlineStr">
        <is>
          <t>100M</t>
        </is>
      </c>
      <c r="H177" s="499" t="inlineStr">
        <is>
          <t>1,165M</t>
        </is>
      </c>
      <c r="I177" s="499" t="inlineStr">
        <is>
          <t>9.0%</t>
        </is>
      </c>
    </row>
    <row r="178">
      <c r="A178" s="503" t="inlineStr">
        <is>
          <t>TỔNG CỘNG</t>
        </is>
      </c>
      <c r="B178" s="503" t="inlineStr">
        <is>
          <t>1,330M</t>
        </is>
      </c>
      <c r="C178" s="503" t="inlineStr">
        <is>
          <t>1,925M</t>
        </is>
      </c>
      <c r="D178" s="503" t="inlineStr">
        <is>
          <t>3,170M</t>
        </is>
      </c>
      <c r="E178" s="503" t="inlineStr">
        <is>
          <t>3,170M</t>
        </is>
      </c>
      <c r="F178" s="503" t="inlineStr">
        <is>
          <t>1,970M</t>
        </is>
      </c>
      <c r="G178" s="503" t="inlineStr">
        <is>
          <t>1,100M</t>
        </is>
      </c>
      <c r="H178" s="503" t="inlineStr">
        <is>
          <t>13,000M</t>
        </is>
      </c>
      <c r="I178" s="503" t="inlineStr">
        <is>
          <t>100%</t>
        </is>
      </c>
    </row>
  </sheetData>
  <mergeCells count="6">
    <mergeCell ref="B15:I15"/>
    <mergeCell ref="B2:I2"/>
    <mergeCell ref="B27:I27"/>
    <mergeCell ref="B41:I41"/>
    <mergeCell ref="B1:I1"/>
    <mergeCell ref="B4:I4"/>
  </mergeCells>
  <hyperlinks>
    <hyperlink xmlns:r="http://schemas.openxmlformats.org/officeDocument/2006/relationships" ref="B89" r:id="rId1"/>
    <hyperlink xmlns:r="http://schemas.openxmlformats.org/officeDocument/2006/relationships" ref="B90" r:id="rId2"/>
    <hyperlink xmlns:r="http://schemas.openxmlformats.org/officeDocument/2006/relationships" ref="B91" r:id="rId3"/>
    <hyperlink xmlns:r="http://schemas.openxmlformats.org/officeDocument/2006/relationships" ref="B92" r:id="rId4"/>
    <hyperlink xmlns:r="http://schemas.openxmlformats.org/officeDocument/2006/relationships" ref="B93" r:id="rId5"/>
    <hyperlink xmlns:r="http://schemas.openxmlformats.org/officeDocument/2006/relationships" ref="B94" r:id="rId6"/>
    <hyperlink xmlns:r="http://schemas.openxmlformats.org/officeDocument/2006/relationships" ref="B95" r:id="rId7"/>
    <hyperlink xmlns:r="http://schemas.openxmlformats.org/officeDocument/2006/relationships" ref="B96" r:id="rId8"/>
    <hyperlink xmlns:r="http://schemas.openxmlformats.org/officeDocument/2006/relationships" ref="B97" r:id="rId9"/>
    <hyperlink xmlns:r="http://schemas.openxmlformats.org/officeDocument/2006/relationships" ref="B98" r:id="rId10"/>
    <hyperlink xmlns:r="http://schemas.openxmlformats.org/officeDocument/2006/relationships" ref="B99" r:id="rId11"/>
    <hyperlink xmlns:r="http://schemas.openxmlformats.org/officeDocument/2006/relationships" ref="B100" r:id="rId12"/>
    <hyperlink xmlns:r="http://schemas.openxmlformats.org/officeDocument/2006/relationships" ref="B101" r:id="rId13"/>
    <hyperlink xmlns:r="http://schemas.openxmlformats.org/officeDocument/2006/relationships" ref="B102" r:id="rId14"/>
    <hyperlink xmlns:r="http://schemas.openxmlformats.org/officeDocument/2006/relationships" ref="B103" r:id="rId15"/>
    <hyperlink xmlns:r="http://schemas.openxmlformats.org/officeDocument/2006/relationships" ref="B104" r:id="rId16"/>
    <hyperlink xmlns:r="http://schemas.openxmlformats.org/officeDocument/2006/relationships" ref="B105" r:id="rId17"/>
    <hyperlink xmlns:r="http://schemas.openxmlformats.org/officeDocument/2006/relationships" ref="B106" r:id="rId18"/>
    <hyperlink xmlns:r="http://schemas.openxmlformats.org/officeDocument/2006/relationships" ref="B107" r:id="rId19"/>
    <hyperlink xmlns:r="http://schemas.openxmlformats.org/officeDocument/2006/relationships" ref="B108" r:id="rId20"/>
    <hyperlink xmlns:r="http://schemas.openxmlformats.org/officeDocument/2006/relationships" ref="B109" r:id="rId21"/>
    <hyperlink xmlns:r="http://schemas.openxmlformats.org/officeDocument/2006/relationships" ref="B110" r:id="rId22"/>
    <hyperlink xmlns:r="http://schemas.openxmlformats.org/officeDocument/2006/relationships" ref="B111" r:id="rId23"/>
    <hyperlink xmlns:r="http://schemas.openxmlformats.org/officeDocument/2006/relationships" ref="B112" r:id="rId24"/>
    <hyperlink xmlns:r="http://schemas.openxmlformats.org/officeDocument/2006/relationships" ref="B113" r:id="rId25"/>
    <hyperlink xmlns:r="http://schemas.openxmlformats.org/officeDocument/2006/relationships" ref="B114" r:id="rId26"/>
    <hyperlink xmlns:r="http://schemas.openxmlformats.org/officeDocument/2006/relationships" ref="B115" r:id="rId27"/>
    <hyperlink xmlns:r="http://schemas.openxmlformats.org/officeDocument/2006/relationships" ref="B116" r:id="rId28"/>
    <hyperlink xmlns:r="http://schemas.openxmlformats.org/officeDocument/2006/relationships" ref="B117" r:id="rId29"/>
    <hyperlink xmlns:r="http://schemas.openxmlformats.org/officeDocument/2006/relationships" ref="B118" r:id="rId30"/>
    <hyperlink xmlns:r="http://schemas.openxmlformats.org/officeDocument/2006/relationships" ref="B119" r:id="rId3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E8833A"/>
    <outlinePr summaryBelow="1" summaryRight="1"/>
    <pageSetUpPr fitToPage="0"/>
  </sheetPr>
  <dimension ref="A1:G4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2" customWidth="1" style="247" min="1" max="1"/>
    <col width="22" customWidth="1" style="247" min="2" max="2"/>
    <col width="10" customWidth="1" style="247" min="3" max="3"/>
    <col width="35" customWidth="1" style="247" min="4" max="4"/>
    <col width="30" customWidth="1" style="247" min="5" max="5"/>
    <col width="35" customWidth="1" style="247" min="6" max="6"/>
    <col width="15" customWidth="1" style="247" min="7" max="7"/>
  </cols>
  <sheetData>
    <row r="1" ht="15" customHeight="1" s="248">
      <c r="A1" s="318" t="inlineStr">
        <is>
          <t>INPUT &amp; ĐIỀU KHIỂN – BẢN V5 (BỎ PHÚ NHUẬN, CẬP NHẬT ĐỊA GIỚI)</t>
        </is>
      </c>
    </row>
    <row r="2" ht="15" customHeight="1" s="248">
      <c r="A2" s="319" t="inlineStr">
        <is>
          <t>⚠️ Phú Nhuận ĐÃ BỎ. Ngân sách phân bổ lại cho các cơ sở còn lại. Cần Giuộc → Tây Ninh. Rạch Giá → An Giang.</t>
        </is>
      </c>
    </row>
    <row r="3" ht="15" customHeight="1" s="248">
      <c r="A3" s="320" t="inlineStr">
        <is>
          <t>Hạng mục</t>
        </is>
      </c>
      <c r="B3" s="320" t="inlineStr">
        <is>
          <t>Giá trị</t>
        </is>
      </c>
      <c r="C3" s="320" t="inlineStr">
        <is>
          <t>Đơn vị</t>
        </is>
      </c>
      <c r="D3" s="320" t="inlineStr">
        <is>
          <t>Ghi chú</t>
        </is>
      </c>
    </row>
    <row r="4" ht="15" customHeight="1" s="248">
      <c r="A4" s="321" t="inlineStr">
        <is>
          <t>Tổng ngân sách</t>
        </is>
      </c>
      <c r="B4" s="322" t="n">
        <v>13000000000</v>
      </c>
      <c r="C4" s="321" t="inlineStr">
        <is>
          <t>đ</t>
        </is>
      </c>
      <c r="D4" s="321" t="inlineStr">
        <is>
          <t>13 tỷ</t>
        </is>
      </c>
    </row>
    <row r="5" ht="15" customHeight="1" s="248">
      <c r="A5" s="323" t="inlineStr">
        <is>
          <t>Mục tiêu nhập học</t>
        </is>
      </c>
      <c r="B5" s="324" t="n">
        <v>1300</v>
      </c>
      <c r="C5" s="323" t="inlineStr">
        <is>
          <t>HS</t>
        </is>
      </c>
      <c r="D5" s="323" t="inlineStr">
        <is>
          <t>Không còn Phú Nhuận → phân bổ lại</t>
        </is>
      </c>
    </row>
    <row r="6" ht="15" customHeight="1" s="248">
      <c r="A6" s="321" t="inlineStr">
        <is>
          <t>NC → Lead</t>
        </is>
      </c>
      <c r="B6" s="325" t="n">
        <v>0.2</v>
      </c>
      <c r="C6" s="321" t="inlineStr">
        <is>
          <t>%</t>
        </is>
      </c>
      <c r="D6" s="321" t="inlineStr">
        <is>
          <t>Benchmark K12: 18-25%</t>
        </is>
      </c>
    </row>
    <row r="7" ht="15" customHeight="1" s="248">
      <c r="A7" s="323" t="inlineStr">
        <is>
          <t>Lead → School Tour</t>
        </is>
      </c>
      <c r="B7" s="326" t="n">
        <v>0.3</v>
      </c>
      <c r="C7" s="323" t="inlineStr">
        <is>
          <t>%</t>
        </is>
      </c>
      <c r="D7" s="323" t="inlineStr">
        <is>
          <t>SLA &lt; 5 phút + GHL automation</t>
        </is>
      </c>
    </row>
    <row r="8" ht="15" customHeight="1" s="248">
      <c r="A8" s="321" t="inlineStr">
        <is>
          <t>Tour → Nhập học</t>
        </is>
      </c>
      <c r="B8" s="325" t="n">
        <v>0.35</v>
      </c>
      <c r="C8" s="321" t="inlineStr">
        <is>
          <t>%</t>
        </is>
      </c>
      <c r="D8" s="321" t="inlineStr">
        <is>
          <t>Thực tế K12 VN</t>
        </is>
      </c>
    </row>
    <row r="9" ht="15" customHeight="1" s="248">
      <c r="A9" s="323" t="inlineStr">
        <is>
          <t>CRM / GoHighLevel</t>
        </is>
      </c>
      <c r="B9" s="327" t="n">
        <v>200000000</v>
      </c>
      <c r="C9" s="323" t="inlineStr">
        <is>
          <t>đ</t>
        </is>
      </c>
      <c r="D9" s="323" t="inlineStr">
        <is>
          <t>GHL + Zalo + SMS + landing</t>
        </is>
      </c>
    </row>
    <row r="10" ht="15" customHeight="1" s="248">
      <c r="A10" s="321" t="inlineStr">
        <is>
          <t>School Tour / Open Day / Event</t>
        </is>
      </c>
      <c r="B10" s="322" t="n">
        <v>800000000</v>
      </c>
      <c r="C10" s="321" t="inlineStr">
        <is>
          <t>đ</t>
        </is>
      </c>
      <c r="D10" s="321" t="inlineStr">
        <is>
          <t>Điểm chuyển đổi #1</t>
        </is>
      </c>
    </row>
    <row r="11" ht="15" customHeight="1" s="248">
      <c r="A11" s="323" t="inlineStr">
        <is>
          <t>Nhân sự Sales</t>
        </is>
      </c>
      <c r="B11" s="327" t="n">
        <v>800000000</v>
      </c>
      <c r="C11" s="323" t="inlineStr">
        <is>
          <t>đ</t>
        </is>
      </c>
      <c r="D11" s="323" t="inlineStr">
        <is>
          <t>Lương + KPI + hoa hồng</t>
        </is>
      </c>
    </row>
    <row r="12" ht="15" customHeight="1" s="248">
      <c r="A12" s="321" t="inlineStr">
        <is>
          <t>Content / Brand / Sales Enablement</t>
        </is>
      </c>
      <c r="B12" s="322" t="n">
        <v>700000000</v>
      </c>
      <c r="C12" s="321" t="inlineStr">
        <is>
          <t>đ</t>
        </is>
      </c>
      <c r="D12" s="321" t="inlineStr">
        <is>
          <t>Kho sẵn + creative mới</t>
        </is>
      </c>
    </row>
    <row r="13" ht="15" customHeight="1" s="248">
      <c r="A13" s="323" t="inlineStr">
        <is>
          <t>Nhân sự Marketing (5 người × 6T)</t>
        </is>
      </c>
      <c r="B13" s="327" t="n">
        <v>450000000</v>
      </c>
      <c r="C13" s="323" t="inlineStr">
        <is>
          <t>đ</t>
        </is>
      </c>
      <c r="D13" s="323" t="inlineStr">
        <is>
          <t>5 người × 6 tháng × 15 triệu</t>
        </is>
      </c>
    </row>
    <row r="14" ht="15" customHeight="1" s="248">
      <c r="A14" s="321" t="inlineStr">
        <is>
          <t>Học bổng / Promotion</t>
        </is>
      </c>
      <c r="B14" s="322" t="n">
        <v>1000000000</v>
      </c>
      <c r="C14" s="321" t="inlineStr">
        <is>
          <t>đ</t>
        </is>
      </c>
      <c r="D14" s="321" t="inlineStr">
        <is>
          <t>Kích hoạt quyết định</t>
        </is>
      </c>
    </row>
    <row r="15" ht="15" customHeight="1" s="248">
      <c r="A15" s="323" t="inlineStr">
        <is>
          <t>Paid Media</t>
        </is>
      </c>
      <c r="B15" s="327" t="n">
        <v>8500000000</v>
      </c>
      <c r="C15" s="323" t="inlineStr">
        <is>
          <t>đ</t>
        </is>
      </c>
      <c r="D15" s="323" t="inlineStr">
        <is>
          <t>65.4% tổng NS</t>
        </is>
      </c>
    </row>
    <row r="16" ht="15" customHeight="1" s="248">
      <c r="A16" s="321" t="inlineStr">
        <is>
          <t>Training / QA / Data / Mystery call</t>
        </is>
      </c>
      <c r="B16" s="322" t="n">
        <v>550000000</v>
      </c>
      <c r="C16" s="321" t="inlineStr">
        <is>
          <t>đ</t>
        </is>
      </c>
      <c r="D16" s="321" t="inlineStr">
        <is>
          <t>100+100+200+150 triệu</t>
        </is>
      </c>
    </row>
    <row r="18" ht="15" customHeight="1" s="248">
      <c r="A18" s="328" t="inlineStr">
        <is>
          <t>KIỂM TRA</t>
        </is>
      </c>
      <c r="B18" s="329">
        <f>SUM(B9:B16)</f>
        <v/>
      </c>
    </row>
    <row r="19" ht="15" customHeight="1" s="248">
      <c r="A19" s="328" t="inlineStr">
        <is>
          <t>Chênh lệch</t>
        </is>
      </c>
      <c r="B19" s="329">
        <f>B4-B18</f>
        <v/>
      </c>
    </row>
    <row r="20" ht="15" customHeight="1" s="248">
      <c r="A20" s="328" t="inlineStr">
        <is>
          <t>Trạng thái</t>
        </is>
      </c>
      <c r="B20" s="247">
        <f>IF(ABS(B19)&lt;1000,"✅ Khớp 13 tỷ","❌ LỆCH")</f>
        <v/>
      </c>
    </row>
    <row r="22" ht="15" customHeight="1" s="248">
      <c r="A22" s="253" t="inlineStr">
        <is>
          <t>CHI TIẾT BỔ SUNG</t>
        </is>
      </c>
    </row>
    <row r="23" ht="15" customHeight="1" s="248">
      <c r="A23" s="251" t="inlineStr">
        <is>
          <t>Số cơ sở</t>
        </is>
      </c>
      <c r="B23" s="251" t="n">
        <v>6</v>
      </c>
      <c r="C23" s="251" t="inlineStr">
        <is>
          <t>cơ sở</t>
        </is>
      </c>
      <c r="D23" s="251" t="inlineStr">
        <is>
          <t>Bỏ Phú Nhuận, còn 6 cơ sở hoạt động</t>
        </is>
      </c>
    </row>
    <row r="24" ht="15" customHeight="1" s="248">
      <c r="A24" s="252" t="inlineStr">
        <is>
          <t>Số cấp học</t>
        </is>
      </c>
      <c r="B24" s="252" t="n">
        <v>4</v>
      </c>
      <c r="C24" s="252" t="inlineStr">
        <is>
          <t>cấp</t>
        </is>
      </c>
      <c r="D24" s="252" t="inlineStr">
        <is>
          <t>MN, TH, THCS, THPT</t>
        </is>
      </c>
    </row>
    <row r="25" ht="23.85" customHeight="1" s="248">
      <c r="A25" s="251" t="inlineStr">
        <is>
          <t>Số LP cần tạo</t>
        </is>
      </c>
      <c r="B25" s="251" t="n">
        <v>8</v>
      </c>
      <c r="C25" s="251" t="inlineStr">
        <is>
          <t>trang</t>
        </is>
      </c>
      <c r="D25" s="251" t="inlineStr">
        <is>
          <t>1 LP/campus + 1 webinar + 1 tỉnh MN + 1 tỉnh TH</t>
        </is>
      </c>
    </row>
    <row r="26" ht="15" customHeight="1" s="248">
      <c r="A26" s="252" t="inlineStr">
        <is>
          <t>Số pipeline GHL</t>
        </is>
      </c>
      <c r="B26" s="252" t="n">
        <v>4</v>
      </c>
      <c r="C26" s="252" t="inlineStr">
        <is>
          <t>pipeline</t>
        </is>
      </c>
      <c r="D26" s="252" t="inlineStr">
        <is>
          <t>MN, TH, THCS, THPT</t>
        </is>
      </c>
    </row>
    <row r="27" ht="15" customHeight="1" s="248">
      <c r="A27" s="251" t="inlineStr">
        <is>
          <t>Thời gian chiến dịch</t>
        </is>
      </c>
      <c r="B27" s="251" t="n">
        <v>7</v>
      </c>
      <c r="C27" s="251" t="inlineStr">
        <is>
          <t>tháng</t>
        </is>
      </c>
      <c r="D27" s="251" t="inlineStr">
        <is>
          <t>26/03 - 30/09/2026</t>
        </is>
      </c>
    </row>
    <row r="28" ht="15" customHeight="1" s="248">
      <c r="A28" s="252" t="inlineStr">
        <is>
          <t>Số tuần tác chiến</t>
        </is>
      </c>
      <c r="B28" s="252" t="n">
        <v>28</v>
      </c>
      <c r="C28" s="252" t="inlineStr">
        <is>
          <t>tuần</t>
        </is>
      </c>
      <c r="D28" s="252" t="inlineStr">
        <is>
          <t>Tuần 1 (26/03) → Tuần 28 (30/09)</t>
        </is>
      </c>
    </row>
    <row r="29" ht="23.85" customHeight="1" s="248">
      <c r="A29" s="251" t="inlineStr">
        <is>
          <t>Số nhân sự Marketing</t>
        </is>
      </c>
      <c r="B29" s="251" t="n">
        <v>5</v>
      </c>
      <c r="C29" s="251" t="inlineStr">
        <is>
          <t>người</t>
        </is>
      </c>
      <c r="D29" s="251" t="inlineStr">
        <is>
          <t>PM×1, Content×2, Performance×1, CRM×1</t>
        </is>
      </c>
    </row>
    <row r="30" ht="23.85" customHeight="1" s="248">
      <c r="A30" s="252" t="inlineStr">
        <is>
          <t>Số nhân sự Sales</t>
        </is>
      </c>
      <c r="B30" s="252" t="n">
        <v>6</v>
      </c>
      <c r="C30" s="252" t="inlineStr">
        <is>
          <t>người</t>
        </is>
      </c>
      <c r="D30" s="252" t="inlineStr">
        <is>
          <t>1 Sales Lead + 5 Tư vấn viên (round-robin)</t>
        </is>
      </c>
    </row>
    <row r="31" ht="15" customHeight="1" s="248">
      <c r="A31" s="251" t="inlineStr">
        <is>
          <t>Kho content sẵn có</t>
        </is>
      </c>
      <c r="B31" s="251" t="n">
        <v>2000</v>
      </c>
      <c r="C31" s="251" t="inlineStr">
        <is>
          <t>bài</t>
        </is>
      </c>
      <c r="D31" s="251" t="inlineStr">
        <is>
          <t>Ảnh+video+bài viết kho cũ</t>
        </is>
      </c>
    </row>
    <row r="32" ht="15" customHeight="1" s="248">
      <c r="A32" s="252" t="inlineStr">
        <is>
          <t>Video testimonial</t>
        </is>
      </c>
      <c r="B32" s="252" t="n">
        <v>100</v>
      </c>
      <c r="C32" s="252" t="inlineStr">
        <is>
          <t>video</t>
        </is>
      </c>
      <c r="D32" s="252" t="inlineStr">
        <is>
          <t>Kho 100 video PH+HS+GV sẵn sàng</t>
        </is>
      </c>
    </row>
    <row r="33" ht="15" customHeight="1" s="248">
      <c r="A33" s="251" t="inlineStr">
        <is>
          <t>Webinar planned</t>
        </is>
      </c>
      <c r="B33" s="251" t="n">
        <v>8</v>
      </c>
      <c r="C33" s="251" t="inlineStr">
        <is>
          <t>buổi</t>
        </is>
      </c>
      <c r="D33" s="251" t="inlineStr">
        <is>
          <t>6 chính + 2 bổ sung</t>
        </is>
      </c>
    </row>
    <row r="34" ht="15" customHeight="1" s="248">
      <c r="A34" s="252" t="inlineStr">
        <is>
          <t>Open Day planned</t>
        </is>
      </c>
      <c r="B34" s="252" t="n">
        <v>2</v>
      </c>
      <c r="C34" s="252" t="inlineStr">
        <is>
          <t>sự kiện</t>
        </is>
      </c>
      <c r="D34" s="252" t="inlineStr">
        <is>
          <t>Tháng 5 + Tháng 6</t>
        </is>
      </c>
    </row>
    <row r="35" ht="15" customHeight="1" s="248">
      <c r="A35" s="251" t="inlineStr">
        <is>
          <t>Lead response SLA</t>
        </is>
      </c>
      <c r="B35" s="251" t="n">
        <v>5</v>
      </c>
      <c r="C35" s="251" t="inlineStr">
        <is>
          <t>phút</t>
        </is>
      </c>
      <c r="D35" s="251" t="inlineStr">
        <is>
          <t>Gọi lại trong 5 phút, mục tiêu 85%</t>
        </is>
      </c>
    </row>
    <row r="36" ht="15" customHeight="1" s="248">
      <c r="A36" s="252" t="inlineStr">
        <is>
          <t>Benchmark NC→Lead</t>
        </is>
      </c>
      <c r="B36" s="252" t="inlineStr">
        <is>
          <t>18-25%</t>
        </is>
      </c>
      <c r="C36" s="252" t="inlineStr">
        <is>
          <t>%</t>
        </is>
      </c>
      <c r="D36" s="252" t="inlineStr">
        <is>
          <t>K12 VN trung bình</t>
        </is>
      </c>
    </row>
    <row r="37" ht="15" customHeight="1" s="248">
      <c r="A37" s="251" t="inlineStr">
        <is>
          <t>Benchmark Lead→Tour</t>
        </is>
      </c>
      <c r="B37" s="251" t="inlineStr">
        <is>
          <t>25-35%</t>
        </is>
      </c>
      <c r="C37" s="251" t="inlineStr">
        <is>
          <t>%</t>
        </is>
      </c>
      <c r="D37" s="251" t="inlineStr">
        <is>
          <t>Cần SLA tốt + GHL automation</t>
        </is>
      </c>
    </row>
    <row r="38" ht="15" customHeight="1" s="248">
      <c r="A38" s="252" t="inlineStr">
        <is>
          <t>Benchmark Tour→Enroll</t>
        </is>
      </c>
      <c r="B38" s="252" t="inlineStr">
        <is>
          <t>30-40%</t>
        </is>
      </c>
      <c r="C38" s="252" t="inlineStr">
        <is>
          <t>%</t>
        </is>
      </c>
      <c r="D38" s="252" t="inlineStr">
        <is>
          <t>Phụ thuộc tour quality + follow-up</t>
        </is>
      </c>
    </row>
    <row r="40" ht="15" customHeight="1" s="248">
      <c r="A40" s="253" t="inlineStr">
        <is>
          <t>DANH SÁCH CƠ SỞ (ĐỊA GIỚI MỚI + CŨ)</t>
        </is>
      </c>
    </row>
    <row r="41" ht="15" customHeight="1" s="248">
      <c r="A41" s="250" t="inlineStr">
        <is>
          <t>STT</t>
        </is>
      </c>
      <c r="B41" s="250" t="inlineStr">
        <is>
          <t>Tên cơ sở</t>
        </is>
      </c>
      <c r="C41" s="250" t="inlineStr">
        <is>
          <t>Cấp</t>
        </is>
      </c>
      <c r="D41" s="250" t="inlineStr">
        <is>
          <t>Địa chỉ</t>
        </is>
      </c>
      <c r="E41" s="250" t="inlineStr">
        <is>
          <t>Khu vực mới</t>
        </is>
      </c>
      <c r="F41" s="250" t="inlineStr">
        <is>
          <t>Khu vực cũ (trước sáp nhập)</t>
        </is>
      </c>
      <c r="G41" s="250" t="inlineStr">
        <is>
          <t>Hotline</t>
        </is>
      </c>
    </row>
    <row r="42" ht="15" customHeight="1" s="248">
      <c r="A42" s="251" t="n">
        <v>1</v>
      </c>
      <c r="B42" s="251" t="inlineStr">
        <is>
          <t>MN VA Gò Vấp</t>
        </is>
      </c>
      <c r="C42" s="251" t="inlineStr">
        <is>
          <t>MN</t>
        </is>
      </c>
      <c r="D42" s="251" t="inlineStr">
        <is>
          <t>573 Đ. Lê Đức Thọ, P. An Hội Tây</t>
        </is>
      </c>
      <c r="E42" s="251" t="inlineStr">
        <is>
          <t>Q. Gò Vấp, TP.HCM</t>
        </is>
      </c>
      <c r="F42" s="251" t="inlineStr">
        <is>
          <t>Q. Gò Vấp, TP.HCM (không đổi)</t>
        </is>
      </c>
      <c r="G42" s="251" t="inlineStr">
        <is>
          <t>0916 961 409</t>
        </is>
      </c>
    </row>
    <row r="43" ht="15" customHeight="1" s="248">
      <c r="A43" s="252" t="n">
        <v>2</v>
      </c>
      <c r="B43" s="252" t="inlineStr">
        <is>
          <t>MN Nhân Lễ</t>
        </is>
      </c>
      <c r="C43" s="252" t="inlineStr">
        <is>
          <t>MN</t>
        </is>
      </c>
      <c r="D43" s="252" t="inlineStr">
        <is>
          <t>22 Đường D2, KDC Cần Giuộc</t>
        </is>
      </c>
      <c r="E43" s="252" t="inlineStr">
        <is>
          <t>TX. Cần Giuộc, tỉnh Tây Ninh</t>
        </is>
      </c>
      <c r="F43" s="252" t="inlineStr">
        <is>
          <t>H. Cần Giuộc, tỉnh Long An</t>
        </is>
      </c>
      <c r="G43" s="252" t="inlineStr">
        <is>
          <t>0916 961 409</t>
        </is>
      </c>
    </row>
    <row r="44" ht="15" customHeight="1" s="248">
      <c r="A44" s="251" t="n">
        <v>3</v>
      </c>
      <c r="B44" s="251" t="inlineStr">
        <is>
          <t>MN+TH Thái Sơn</t>
        </is>
      </c>
      <c r="C44" s="251" t="inlineStr">
        <is>
          <t>MN+TH</t>
        </is>
      </c>
      <c r="D44" s="251" t="inlineStr">
        <is>
          <t>KDC Thái Sơn, Cần Giuộc</t>
        </is>
      </c>
      <c r="E44" s="251" t="inlineStr">
        <is>
          <t>TX. Cần Giuộc, tỉnh Tây Ninh</t>
        </is>
      </c>
      <c r="F44" s="251" t="inlineStr">
        <is>
          <t>H. Cần Giuộc, tỉnh Long An</t>
        </is>
      </c>
      <c r="G44" s="251" t="inlineStr">
        <is>
          <t>0916 961 409</t>
        </is>
      </c>
    </row>
    <row r="45" ht="15" customHeight="1" s="248">
      <c r="A45" s="252" t="n">
        <v>4</v>
      </c>
      <c r="B45" s="252" t="inlineStr">
        <is>
          <t>MN+TH Mekong Xanh</t>
        </is>
      </c>
      <c r="C45" s="252" t="inlineStr">
        <is>
          <t>MN+TH</t>
        </is>
      </c>
      <c r="D45" s="252" t="inlineStr">
        <is>
          <t>Lô E7, KĐT Tây Bắc, TP. Rạch Giá</t>
        </is>
      </c>
      <c r="E45" s="252" t="inlineStr">
        <is>
          <t>TP. Rạch Giá, tỉnh An Giang</t>
        </is>
      </c>
      <c r="F45" s="252" t="inlineStr">
        <is>
          <t>TP. Rạch Giá, tỉnh Kiên Giang</t>
        </is>
      </c>
      <c r="G45" s="252" t="inlineStr">
        <is>
          <t>0916 961 409</t>
        </is>
      </c>
    </row>
    <row r="46" ht="15" customHeight="1" s="248">
      <c r="A46" s="251" t="n">
        <v>5</v>
      </c>
      <c r="B46" s="251" t="inlineStr">
        <is>
          <t>TH VA Gò Vấp</t>
        </is>
      </c>
      <c r="C46" s="251" t="inlineStr">
        <is>
          <t>TH</t>
        </is>
      </c>
      <c r="D46" s="251" t="inlineStr">
        <is>
          <t>160/72 Phan Huy Ích</t>
        </is>
      </c>
      <c r="E46" s="251" t="inlineStr">
        <is>
          <t>Q. Gò Vấp, TP.HCM</t>
        </is>
      </c>
      <c r="F46" s="251" t="inlineStr">
        <is>
          <t>Q. Gò Vấp, TP.HCM (không đổi)</t>
        </is>
      </c>
      <c r="G46" s="251" t="inlineStr">
        <is>
          <t>0916 961 409</t>
        </is>
      </c>
    </row>
    <row r="47" ht="15" customHeight="1" s="248">
      <c r="A47" s="252" t="n">
        <v>6</v>
      </c>
      <c r="B47" s="252" t="inlineStr">
        <is>
          <t>TH VA Bình Tân</t>
        </is>
      </c>
      <c r="C47" s="252" t="inlineStr">
        <is>
          <t>TH</t>
        </is>
      </c>
      <c r="D47" s="252" t="inlineStr">
        <is>
          <t>Số 7 đường 38A, Tân Tạo</t>
        </is>
      </c>
      <c r="E47" s="252" t="inlineStr">
        <is>
          <t>Q. Bình Tân, TP.HCM</t>
        </is>
      </c>
      <c r="F47" s="252" t="inlineStr">
        <is>
          <t>Q. Bình Tân, TP.HCM (không đổi)</t>
        </is>
      </c>
      <c r="G47" s="252" t="inlineStr">
        <is>
          <t>0916 961 409</t>
        </is>
      </c>
    </row>
    <row r="48" ht="15" customHeight="1" s="248">
      <c r="A48" s="251" t="n">
        <v>7</v>
      </c>
      <c r="B48" s="251" t="inlineStr">
        <is>
          <t>THCS VA Gò Vấp</t>
        </is>
      </c>
      <c r="C48" s="251" t="inlineStr">
        <is>
          <t>THCS</t>
        </is>
      </c>
      <c r="D48" s="251" t="inlineStr">
        <is>
          <t>160/72 Phan Huy Ích</t>
        </is>
      </c>
      <c r="E48" s="251" t="inlineStr">
        <is>
          <t>Q. Gò Vấp, TP.HCM</t>
        </is>
      </c>
      <c r="F48" s="251" t="inlineStr">
        <is>
          <t>Q. Gò Vấp, TP.HCM (không đổi)</t>
        </is>
      </c>
      <c r="G48" s="251" t="inlineStr">
        <is>
          <t>091 696 1409</t>
        </is>
      </c>
    </row>
    <row r="49" ht="15" customHeight="1" s="248">
      <c r="A49" s="252" t="n">
        <v>8</v>
      </c>
      <c r="B49" s="252" t="inlineStr">
        <is>
          <t>THPT VA Gò Vấp</t>
        </is>
      </c>
      <c r="C49" s="252" t="inlineStr">
        <is>
          <t>THPT</t>
        </is>
      </c>
      <c r="D49" s="252" t="inlineStr">
        <is>
          <t>160/72 Phan Huy Ích</t>
        </is>
      </c>
      <c r="E49" s="252" t="inlineStr">
        <is>
          <t>Q. Gò Vấp, TP.HCM</t>
        </is>
      </c>
      <c r="F49" s="252" t="inlineStr">
        <is>
          <t>Q. Gò Vấp, TP.HCM (không đổi)</t>
        </is>
      </c>
      <c r="G49" s="252" t="inlineStr">
        <is>
          <t>091 696 1409</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91E63"/>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7"/>
    <col width="30" customWidth="1" style="247" min="8" max="8"/>
  </cols>
  <sheetData>
    <row r="1" ht="15" customHeight="1" s="248">
      <c r="A1" s="330" t="inlineStr">
        <is>
          <t>MIX KÊNH PAID MEDIA – 8.5 TỶ (TÁCH SEARCH/DISPLAY, KHÔNG CÓ PHÚ NHUẬN)</t>
        </is>
      </c>
    </row>
    <row r="2" ht="15" customHeight="1" s="248">
      <c r="A2" s="331" t="inlineStr">
        <is>
          <t>Kênh</t>
        </is>
      </c>
      <c r="B2" s="331" t="inlineStr">
        <is>
          <t>% Mix</t>
        </is>
      </c>
      <c r="C2" s="331" t="inlineStr">
        <is>
          <t>Ngân sách</t>
        </is>
      </c>
      <c r="D2" s="331" t="inlineStr">
        <is>
          <t>Vai trò</t>
        </is>
      </c>
      <c r="E2" s="331" t="inlineStr">
        <is>
          <t>KPI</t>
        </is>
      </c>
      <c r="F2" s="331" t="inlineStr">
        <is>
          <t>CPL mục tiêu</t>
        </is>
      </c>
      <c r="G2" s="331" t="inlineStr">
        <is>
          <t>Quản lý bởi</t>
        </is>
      </c>
      <c r="H2" s="331" t="inlineStr">
        <is>
          <t>Ghi chú</t>
        </is>
      </c>
    </row>
    <row r="3" ht="15" customHeight="1" s="248">
      <c r="A3" s="321" t="inlineStr">
        <is>
          <t>Meta / Facebook + Instagram</t>
        </is>
      </c>
      <c r="B3" s="325" t="n">
        <v>0.38</v>
      </c>
      <c r="C3" s="332">
        <f>B3*'1. Input'!B15</f>
        <v/>
      </c>
      <c r="D3" s="321" t="inlineStr">
        <is>
          <t>Demand + lead local</t>
        </is>
      </c>
      <c r="E3" s="321" t="inlineStr">
        <is>
          <t>CPL, Volume</t>
        </is>
      </c>
      <c r="F3" s="332" t="n">
        <v>120000</v>
      </c>
      <c r="G3" s="321" t="inlineStr">
        <is>
          <t>Birch + GHL</t>
        </is>
      </c>
      <c r="H3" s="321" t="inlineStr">
        <is>
          <t>Kênh chủ lực</t>
        </is>
      </c>
    </row>
    <row r="4" ht="15" customHeight="1" s="248">
      <c r="A4" s="323" t="inlineStr">
        <is>
          <t>Google Search (TÁCH RIÊNG)</t>
        </is>
      </c>
      <c r="B4" s="326" t="n">
        <v>0.18</v>
      </c>
      <c r="C4" s="327">
        <f>B4*'1. Input'!B15</f>
        <v/>
      </c>
      <c r="D4" s="323" t="inlineStr">
        <is>
          <t>Intent-based</t>
        </is>
      </c>
      <c r="E4" s="323" t="inlineStr">
        <is>
          <t>CPC, Quality</t>
        </is>
      </c>
      <c r="F4" s="327" t="n">
        <v>180000</v>
      </c>
      <c r="G4" s="323" t="inlineStr">
        <is>
          <t>Birch</t>
        </is>
      </c>
      <c r="H4" s="323" t="inlineStr">
        <is>
          <t>Đo riêng THCS/THPT</t>
        </is>
      </c>
    </row>
    <row r="5" ht="15" customHeight="1" s="248">
      <c r="A5" s="321" t="inlineStr">
        <is>
          <t>Google Display / YouTube</t>
        </is>
      </c>
      <c r="B5" s="325" t="n">
        <v>0.07000000000000001</v>
      </c>
      <c r="C5" s="332">
        <f>B5*'1. Input'!B15</f>
        <v/>
      </c>
      <c r="D5" s="321" t="inlineStr">
        <is>
          <t>Phủ + video</t>
        </is>
      </c>
      <c r="E5" s="321" t="inlineStr">
        <is>
          <t>CPM, View</t>
        </is>
      </c>
      <c r="F5" s="321" t="n"/>
      <c r="G5" s="321" t="inlineStr">
        <is>
          <t>Birch</t>
        </is>
      </c>
      <c r="H5" s="321" t="inlineStr">
        <is>
          <t>Testimonial 15-30s</t>
        </is>
      </c>
    </row>
    <row r="6" ht="15" customHeight="1" s="248">
      <c r="A6" s="323" t="inlineStr">
        <is>
          <t>TikTok Ads</t>
        </is>
      </c>
      <c r="B6" s="326" t="n">
        <v>0.1</v>
      </c>
      <c r="C6" s="327">
        <f>B6*'1. Input'!B15</f>
        <v/>
      </c>
      <c r="D6" s="323" t="inlineStr">
        <is>
          <t>Video social proof</t>
        </is>
      </c>
      <c r="E6" s="323" t="inlineStr">
        <is>
          <t>CPV, Lead</t>
        </is>
      </c>
      <c r="F6" s="327" t="n">
        <v>90000</v>
      </c>
      <c r="G6" s="323" t="inlineStr">
        <is>
          <t>Birch + GHL</t>
        </is>
      </c>
      <c r="H6" s="323" t="inlineStr">
        <is>
          <t>100 video = vàng</t>
        </is>
      </c>
    </row>
    <row r="7" ht="15" customHeight="1" s="248">
      <c r="A7" s="321" t="inlineStr">
        <is>
          <t>Zalo Ads + OA</t>
        </is>
      </c>
      <c r="B7" s="325" t="n">
        <v>0.07000000000000001</v>
      </c>
      <c r="C7" s="332">
        <f>B7*'1. Input'!B15</f>
        <v/>
      </c>
      <c r="D7" s="321" t="inlineStr">
        <is>
          <t>Nurture local</t>
        </is>
      </c>
      <c r="E7" s="321" t="inlineStr">
        <is>
          <t>Open, CTR</t>
        </is>
      </c>
      <c r="F7" s="332" t="n">
        <v>80000</v>
      </c>
      <c r="G7" s="321" t="inlineStr">
        <is>
          <t>GoHighLevel</t>
        </is>
      </c>
      <c r="H7" s="321" t="inlineStr">
        <is>
          <t>Hidden champion K12</t>
        </is>
      </c>
    </row>
    <row r="8" ht="15" customHeight="1" s="248">
      <c r="A8" s="323" t="inlineStr">
        <is>
          <t>Webinar Ads (THCS/THPT)</t>
        </is>
      </c>
      <c r="B8" s="326" t="n">
        <v>0.05</v>
      </c>
      <c r="C8" s="327">
        <f>B8*'1. Input'!B15</f>
        <v/>
      </c>
      <c r="D8" s="323" t="inlineStr">
        <is>
          <t>Webinar lộ trình</t>
        </is>
      </c>
      <c r="E8" s="323" t="inlineStr">
        <is>
          <t>Đăng ký</t>
        </is>
      </c>
      <c r="F8" s="327" t="n">
        <v>50000</v>
      </c>
      <c r="G8" s="323" t="inlineStr">
        <is>
          <t>Meta + GHL</t>
        </is>
      </c>
      <c r="H8" s="323" t="inlineStr">
        <is>
          <t>KHÔNG cho MN/TH</t>
        </is>
      </c>
    </row>
    <row r="9" ht="15" customHeight="1" s="248">
      <c r="A9" s="321" t="inlineStr">
        <is>
          <t>Remarketing đa nền tảng</t>
        </is>
      </c>
      <c r="B9" s="325" t="n">
        <v>0.12</v>
      </c>
      <c r="C9" s="332">
        <f>B9*'1. Input'!B15</f>
        <v/>
      </c>
      <c r="D9" s="321" t="inlineStr">
        <is>
          <t>Đuổi lại khách</t>
        </is>
      </c>
      <c r="E9" s="321" t="inlineStr">
        <is>
          <t>ROAS, Conv</t>
        </is>
      </c>
      <c r="F9" s="332" t="n">
        <v>150000</v>
      </c>
      <c r="G9" s="321" t="inlineStr">
        <is>
          <t>Birch</t>
        </is>
      </c>
      <c r="H9" s="321" t="inlineStr">
        <is>
          <t>Giảm 15%→12%</t>
        </is>
      </c>
    </row>
    <row r="10" ht="15" customHeight="1" s="248">
      <c r="A10" s="323" t="inlineStr">
        <is>
          <t>Local SEO / Google Business</t>
        </is>
      </c>
      <c r="B10" s="326" t="n">
        <v>0.05</v>
      </c>
      <c r="C10" s="327">
        <f>B10*'1. Input'!B15</f>
        <v/>
      </c>
      <c r="D10" s="323" t="inlineStr">
        <is>
          <t>Local presence</t>
        </is>
      </c>
      <c r="E10" s="323" t="inlineStr">
        <is>
          <t>Map, Clicks</t>
        </is>
      </c>
      <c r="F10" s="323" t="n"/>
      <c r="G10" s="323" t="inlineStr">
        <is>
          <t>Manual + GHL</t>
        </is>
      </c>
      <c r="H10" s="323" t="inlineStr">
        <is>
          <t>8 địa điểm</t>
        </is>
      </c>
    </row>
    <row r="11" ht="15" customHeight="1" s="248">
      <c r="A11" s="333" t="inlineStr">
        <is>
          <t>TỔNG</t>
        </is>
      </c>
      <c r="B11" s="334">
        <f>SUM(B3:B10)</f>
        <v/>
      </c>
      <c r="C11" s="335">
        <f>SUM(C3:C10)</f>
        <v/>
      </c>
      <c r="D11" s="333" t="n"/>
      <c r="E11" s="333" t="n"/>
      <c r="F11" s="333" t="n"/>
      <c r="G11" s="333" t="n"/>
      <c r="H11" s="333" t="n"/>
    </row>
    <row r="13" ht="15" customHeight="1" s="248">
      <c r="A13" s="253" t="inlineStr">
        <is>
          <t>NGÂN SÁCH PAID MEDIA THEO THÁNG</t>
        </is>
      </c>
    </row>
    <row r="14" ht="15" customHeight="1" s="248">
      <c r="A14" s="250" t="inlineStr">
        <is>
          <t>Kênh</t>
        </is>
      </c>
      <c r="B14" s="250" t="inlineStr">
        <is>
          <t>T4 (12%)</t>
        </is>
      </c>
      <c r="C14" s="250" t="inlineStr">
        <is>
          <t>T5 (24%)</t>
        </is>
      </c>
      <c r="D14" s="250" t="inlineStr">
        <is>
          <t>T6 (28%)</t>
        </is>
      </c>
      <c r="E14" s="250" t="inlineStr">
        <is>
          <t>T7 (24%)</t>
        </is>
      </c>
      <c r="F14" s="250" t="inlineStr">
        <is>
          <t>T8 (8%)</t>
        </is>
      </c>
      <c r="G14" s="250" t="inlineStr">
        <is>
          <t>T9 (2%)</t>
        </is>
      </c>
      <c r="H14" s="250" t="inlineStr">
        <is>
          <t>Tổng 7 tháng</t>
        </is>
      </c>
    </row>
    <row r="15" ht="15" customHeight="1" s="248">
      <c r="A15" s="251" t="inlineStr">
        <is>
          <t>Meta / FB+IG</t>
        </is>
      </c>
      <c r="B15" s="251">
        <f>0.12*C3</f>
        <v/>
      </c>
      <c r="C15" s="251">
        <f>0.24*C3</f>
        <v/>
      </c>
      <c r="D15" s="251">
        <f>0.28*C3</f>
        <v/>
      </c>
      <c r="E15" s="251">
        <f>0.24*C3</f>
        <v/>
      </c>
      <c r="F15" s="251">
        <f>0.08*C3</f>
        <v/>
      </c>
      <c r="G15" s="251">
        <f>0.02*C3</f>
        <v/>
      </c>
      <c r="H15" s="251">
        <f>SUM(B15:G15)</f>
        <v/>
      </c>
    </row>
    <row r="16" ht="15" customHeight="1" s="248">
      <c r="A16" s="252" t="inlineStr">
        <is>
          <t>Google Search</t>
        </is>
      </c>
      <c r="B16" s="252">
        <f>0.12*C4</f>
        <v/>
      </c>
      <c r="C16" s="252">
        <f>0.24*C4</f>
        <v/>
      </c>
      <c r="D16" s="252">
        <f>0.28*C4</f>
        <v/>
      </c>
      <c r="E16" s="252">
        <f>0.24*C4</f>
        <v/>
      </c>
      <c r="F16" s="252">
        <f>0.08*C4</f>
        <v/>
      </c>
      <c r="G16" s="252">
        <f>0.02*C4</f>
        <v/>
      </c>
      <c r="H16" s="252">
        <f>SUM(B16:G16)</f>
        <v/>
      </c>
    </row>
    <row r="17" ht="15" customHeight="1" s="248">
      <c r="A17" s="251" t="inlineStr">
        <is>
          <t>Google Display/YT</t>
        </is>
      </c>
      <c r="B17" s="251">
        <f>0.12*C5</f>
        <v/>
      </c>
      <c r="C17" s="251">
        <f>0.24*C5</f>
        <v/>
      </c>
      <c r="D17" s="251">
        <f>0.28*C5</f>
        <v/>
      </c>
      <c r="E17" s="251">
        <f>0.24*C5</f>
        <v/>
      </c>
      <c r="F17" s="251">
        <f>0.08*C5</f>
        <v/>
      </c>
      <c r="G17" s="251">
        <f>0.02*C5</f>
        <v/>
      </c>
      <c r="H17" s="251">
        <f>SUM(B17:G17)</f>
        <v/>
      </c>
    </row>
    <row r="18" ht="15" customHeight="1" s="248">
      <c r="A18" s="252" t="inlineStr">
        <is>
          <t>TikTok Ads</t>
        </is>
      </c>
      <c r="B18" s="252">
        <f>0.12*C6</f>
        <v/>
      </c>
      <c r="C18" s="252">
        <f>0.24*C6</f>
        <v/>
      </c>
      <c r="D18" s="252">
        <f>0.28*C6</f>
        <v/>
      </c>
      <c r="E18" s="252">
        <f>0.24*C6</f>
        <v/>
      </c>
      <c r="F18" s="252">
        <f>0.08*C6</f>
        <v/>
      </c>
      <c r="G18" s="252">
        <f>0.02*C6</f>
        <v/>
      </c>
      <c r="H18" s="252">
        <f>SUM(B18:G18)</f>
        <v/>
      </c>
    </row>
    <row r="19" ht="15" customHeight="1" s="248">
      <c r="A19" s="251" t="inlineStr">
        <is>
          <t>Zalo Ads+OA</t>
        </is>
      </c>
      <c r="B19" s="251">
        <f>0.12*C7</f>
        <v/>
      </c>
      <c r="C19" s="251">
        <f>0.24*C7</f>
        <v/>
      </c>
      <c r="D19" s="251">
        <f>0.28*C7</f>
        <v/>
      </c>
      <c r="E19" s="251">
        <f>0.24*C7</f>
        <v/>
      </c>
      <c r="F19" s="251">
        <f>0.08*C7</f>
        <v/>
      </c>
      <c r="G19" s="251">
        <f>0.02*C7</f>
        <v/>
      </c>
      <c r="H19" s="251">
        <f>SUM(B19:G19)</f>
        <v/>
      </c>
    </row>
    <row r="20" ht="15" customHeight="1" s="248">
      <c r="A20" s="252" t="inlineStr">
        <is>
          <t>Webinar Ads</t>
        </is>
      </c>
      <c r="B20" s="252">
        <f>0.12*C8</f>
        <v/>
      </c>
      <c r="C20" s="252">
        <f>0.24*C8</f>
        <v/>
      </c>
      <c r="D20" s="252">
        <f>0.28*C8</f>
        <v/>
      </c>
      <c r="E20" s="252">
        <f>0.24*C8</f>
        <v/>
      </c>
      <c r="F20" s="252">
        <f>0.08*C8</f>
        <v/>
      </c>
      <c r="G20" s="252">
        <f>0.02*C8</f>
        <v/>
      </c>
      <c r="H20" s="252">
        <f>SUM(B20:G20)</f>
        <v/>
      </c>
    </row>
    <row r="21" ht="15" customHeight="1" s="248">
      <c r="A21" s="251" t="inlineStr">
        <is>
          <t>Remarketing</t>
        </is>
      </c>
      <c r="B21" s="251">
        <f>0.12*C9</f>
        <v/>
      </c>
      <c r="C21" s="251">
        <f>0.24*C9</f>
        <v/>
      </c>
      <c r="D21" s="251">
        <f>0.28*C9</f>
        <v/>
      </c>
      <c r="E21" s="251">
        <f>0.24*C9</f>
        <v/>
      </c>
      <c r="F21" s="251">
        <f>0.08*C9</f>
        <v/>
      </c>
      <c r="G21" s="251">
        <f>0.02*C9</f>
        <v/>
      </c>
      <c r="H21" s="251">
        <f>SUM(B21:G21)</f>
        <v/>
      </c>
    </row>
    <row r="22" ht="15" customHeight="1" s="248">
      <c r="A22" s="252" t="inlineStr">
        <is>
          <t>Local SEO/GMB</t>
        </is>
      </c>
      <c r="B22" s="252">
        <f>0.12*C10</f>
        <v/>
      </c>
      <c r="C22" s="252">
        <f>0.24*C10</f>
        <v/>
      </c>
      <c r="D22" s="252">
        <f>0.28*C10</f>
        <v/>
      </c>
      <c r="E22" s="252">
        <f>0.24*C10</f>
        <v/>
      </c>
      <c r="F22" s="252">
        <f>0.08*C10</f>
        <v/>
      </c>
      <c r="G22" s="252">
        <f>0.02*C10</f>
        <v/>
      </c>
      <c r="H22" s="252">
        <f>SUM(B22:G22)</f>
        <v/>
      </c>
    </row>
    <row r="24" ht="15" customHeight="1" s="248">
      <c r="A24" s="253" t="inlineStr">
        <is>
          <t>CHI TIẾT VAI TRÒ TỪNG KÊNH</t>
        </is>
      </c>
    </row>
    <row r="25" ht="15" customHeight="1" s="248">
      <c r="A25" s="250" t="inlineStr">
        <is>
          <t>Kênh</t>
        </is>
      </c>
      <c r="B25" s="250" t="inlineStr">
        <is>
          <t>Vai trò trong funnel</t>
        </is>
      </c>
      <c r="C25" s="250" t="inlineStr">
        <is>
          <t>Giai đoạn KH</t>
        </is>
      </c>
      <c r="D25" s="250" t="inlineStr">
        <is>
          <t>Resource cần</t>
        </is>
      </c>
      <c r="E25" s="250" t="inlineStr">
        <is>
          <t>Daily operations</t>
        </is>
      </c>
      <c r="F25" s="250" t="inlineStr">
        <is>
          <t>Weekly optimization</t>
        </is>
      </c>
      <c r="G25" s="250" t="inlineStr">
        <is>
          <t>Tool chính</t>
        </is>
      </c>
    </row>
    <row r="26" ht="23.85" customHeight="1" s="248">
      <c r="A26" s="251" t="inlineStr">
        <is>
          <t>Meta Ads</t>
        </is>
      </c>
      <c r="B26" s="251" t="inlineStr">
        <is>
          <t>Demand generation + Lead local + Social proof</t>
        </is>
      </c>
      <c r="C26" s="251" t="inlineStr">
        <is>
          <t>Awareness → Consideration</t>
        </is>
      </c>
      <c r="D26" s="251" t="inlineStr">
        <is>
          <t>30+ creative (image+video), 12 audiences</t>
        </is>
      </c>
      <c r="E26" s="251" t="inlineStr">
        <is>
          <t>Check CPL, scale/pause, creative refresh</t>
        </is>
      </c>
      <c r="F26" s="251" t="inlineStr">
        <is>
          <t>A/B test creative, audience expansion, budget realloc</t>
        </is>
      </c>
      <c r="G26" s="251" t="inlineStr">
        <is>
          <t>Meta Ads Manager + Birch</t>
        </is>
      </c>
    </row>
    <row r="27" ht="23.85" customHeight="1" s="248">
      <c r="A27" s="252" t="inlineStr">
        <is>
          <t>Google Search</t>
        </is>
      </c>
      <c r="B27" s="252" t="inlineStr">
        <is>
          <t>Intent-based capture + Brand defense</t>
        </is>
      </c>
      <c r="C27" s="252" t="inlineStr">
        <is>
          <t>Consideration → Decision</t>
        </is>
      </c>
      <c r="D27" s="252" t="inlineStr">
        <is>
          <t>20 campaigns, 200+ keywords, 15 RSA</t>
        </is>
      </c>
      <c r="E27" s="252" t="inlineStr">
        <is>
          <t>Search terms review, bid adjust, QS check</t>
        </is>
      </c>
      <c r="F27" s="252" t="inlineStr">
        <is>
          <t>Negative KW update, RSA test, campaign restructure</t>
        </is>
      </c>
      <c r="G27" s="252" t="inlineStr">
        <is>
          <t>Google Ads + Birch</t>
        </is>
      </c>
    </row>
    <row r="28" ht="23.85" customHeight="1" s="248">
      <c r="A28" s="251" t="inlineStr">
        <is>
          <t>Google Display/YT</t>
        </is>
      </c>
      <c r="B28" s="251" t="inlineStr">
        <is>
          <t>Awareness phủ + Video retarget</t>
        </is>
      </c>
      <c r="C28" s="251" t="inlineStr">
        <is>
          <t>Awareness + Remarketing</t>
        </is>
      </c>
      <c r="D28" s="251" t="inlineStr">
        <is>
          <t>5 display banners, 3 video 15-30s</t>
        </is>
      </c>
      <c r="E28" s="251" t="inlineStr">
        <is>
          <t>Check CPM, placement exclusion</t>
        </is>
      </c>
      <c r="F28" s="251" t="inlineStr">
        <is>
          <t>Placement review, video performance</t>
        </is>
      </c>
      <c r="G28" s="251" t="inlineStr">
        <is>
          <t>Google Ads + Birch</t>
        </is>
      </c>
    </row>
    <row r="29" ht="23.85" customHeight="1" s="248">
      <c r="A29" s="252" t="inlineStr">
        <is>
          <t>TikTok Ads</t>
        </is>
      </c>
      <c r="B29" s="252" t="inlineStr">
        <is>
          <t>Video social proof + Gen Z/Millennial reach</t>
        </is>
      </c>
      <c r="C29" s="252" t="inlineStr">
        <is>
          <t>Awareness → Lead</t>
        </is>
      </c>
      <c r="D29" s="252" t="inlineStr">
        <is>
          <t>100 video kho sẵn, 5 new/tháng</t>
        </is>
      </c>
      <c r="E29" s="252" t="inlineStr">
        <is>
          <t>Check CPV, engagement, 3s retention</t>
        </is>
      </c>
      <c r="F29" s="252" t="inlineStr">
        <is>
          <t>Video performance ranking, upload new</t>
        </is>
      </c>
      <c r="G29" s="252" t="inlineStr">
        <is>
          <t>TikTok Ads + Birch</t>
        </is>
      </c>
    </row>
    <row r="30" ht="23.85" customHeight="1" s="248">
      <c r="A30" s="251" t="inlineStr">
        <is>
          <t>Zalo Ads+OA</t>
        </is>
      </c>
      <c r="B30" s="251" t="inlineStr">
        <is>
          <t>Local nurture + Broadcast + Remarketing</t>
        </is>
      </c>
      <c r="C30" s="251" t="inlineStr">
        <is>
          <t>Consideration → Decision</t>
        </is>
      </c>
      <c r="D30" s="251" t="inlineStr">
        <is>
          <t>8 broadcast templates, 4 ad creatives</t>
        </is>
      </c>
      <c r="E30" s="251" t="inlineStr">
        <is>
          <t>Check OA messages, broadcast schedule</t>
        </is>
      </c>
      <c r="F30" s="251" t="inlineStr">
        <is>
          <t>Segment refresh, broadcast content planning</t>
        </is>
      </c>
      <c r="G30" s="251" t="inlineStr">
        <is>
          <t>Zalo Ads + GHL</t>
        </is>
      </c>
    </row>
    <row r="31" ht="23.85" customHeight="1" s="248">
      <c r="A31" s="252" t="inlineStr">
        <is>
          <t>Webinar Ads</t>
        </is>
      </c>
      <c r="B31" s="252" t="inlineStr">
        <is>
          <t>Education + Trust building + Conversion</t>
        </is>
      </c>
      <c r="C31" s="252" t="inlineStr">
        <is>
          <t>Consideration → Decision</t>
        </is>
      </c>
      <c r="D31" s="252" t="inlineStr">
        <is>
          <t>LP webinar, email sequence, Zoom setup</t>
        </is>
      </c>
      <c r="E31" s="252" t="inlineStr">
        <is>
          <t>Monitor registrations, reminder blast</t>
        </is>
      </c>
      <c r="F31" s="252" t="inlineStr">
        <is>
          <t>Post-webinar analysis, follow-up sequence</t>
        </is>
      </c>
      <c r="G31" s="252" t="inlineStr">
        <is>
          <t>Meta + Google + GHL</t>
        </is>
      </c>
    </row>
    <row r="32" ht="23.85" customHeight="1" s="248">
      <c r="A32" s="251" t="inlineStr">
        <is>
          <t>Remarketing</t>
        </is>
      </c>
      <c r="B32" s="251" t="inlineStr">
        <is>
          <t>Re-engage warm/hot leads across platforms</t>
        </is>
      </c>
      <c r="C32" s="251" t="inlineStr">
        <is>
          <t>Decision → Conversion</t>
        </is>
      </c>
      <c r="D32" s="251" t="inlineStr">
        <is>
          <t>Dynamic creative, countdown, offers</t>
        </is>
      </c>
      <c r="E32" s="251" t="inlineStr">
        <is>
          <t>Check frequency, exclude converted</t>
        </is>
      </c>
      <c r="F32" s="251" t="inlineStr">
        <is>
          <t>Audience refresh, creative rotation</t>
        </is>
      </c>
      <c r="G32" s="251" t="inlineStr">
        <is>
          <t>All platforms + Birch</t>
        </is>
      </c>
    </row>
    <row r="33" ht="23.85" customHeight="1" s="248">
      <c r="A33" s="252" t="inlineStr">
        <is>
          <t>Local SEO/GMB</t>
        </is>
      </c>
      <c r="B33" s="252" t="inlineStr">
        <is>
          <t>Local presence + Map visibility + Reviews</t>
        </is>
      </c>
      <c r="C33" s="252" t="inlineStr">
        <is>
          <t>Awareness (local)</t>
        </is>
      </c>
      <c r="D33" s="252" t="inlineStr">
        <is>
          <t>Ảnh, posts, review management</t>
        </is>
      </c>
      <c r="E33" s="252" t="inlineStr">
        <is>
          <t>Reply reviews, check listing accuracy</t>
        </is>
      </c>
      <c r="F33" s="252" t="inlineStr">
        <is>
          <t>Post 1 bài/tuần, update photos</t>
        </is>
      </c>
      <c r="G33" s="252" t="inlineStr">
        <is>
          <t>Google Business + Manual</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4CAF50"/>
    <outlinePr summaryBelow="1" summaryRight="1"/>
    <pageSetUpPr fitToPage="0"/>
  </sheetPr>
  <dimension ref="A1:R14"/>
  <sheetViews>
    <sheetView showFormulas="0" showGridLines="1" showRowColHeaders="1" showZeros="1" rightToLeft="0" tabSelected="0" showOutlineSymbols="1" defaultGridColor="1"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baseColWidth="8" defaultColWidth="8.6796875" defaultRowHeight="15" customHeight="1" zeroHeight="0" outlineLevelRow="0"/>
  <cols>
    <col width="14" customWidth="1" style="247" min="1" max="1"/>
    <col width="20" customWidth="1" style="247" min="2" max="2"/>
    <col width="40" customWidth="1" style="247" min="3" max="3"/>
    <col width="14" customWidth="1" style="247" min="4" max="18"/>
  </cols>
  <sheetData>
    <row r="1" ht="15" customHeight="1" s="248">
      <c r="A1" s="336" t="inlineStr">
        <is>
          <t>PHÂN BỔ – BỎ PHÚ NHUẬN – 11 DÒNG CƠ SỞ (Cần Giuộc→Tây Ninh, Rạch Giá→An Giang)</t>
        </is>
      </c>
    </row>
    <row r="2" ht="15" customHeight="1" s="248">
      <c r="A2" s="337" t="inlineStr">
        <is>
          <t>Cấp</t>
        </is>
      </c>
      <c r="B2" s="337" t="inlineStr">
        <is>
          <t>Địa điểm</t>
        </is>
      </c>
      <c r="C2" s="337" t="inlineStr">
        <is>
          <t>Địa chỉ / Tỉnh</t>
        </is>
      </c>
      <c r="D2" s="337" t="inlineStr">
        <is>
          <t>HS</t>
        </is>
      </c>
      <c r="E2" s="337" t="inlineStr">
        <is>
          <t>CAC</t>
        </is>
      </c>
      <c r="F2" s="337" t="inlineStr">
        <is>
          <t>Điểm</t>
        </is>
      </c>
      <c r="G2" s="337" t="inlineStr">
        <is>
          <t>%</t>
        </is>
      </c>
      <c r="H2" s="337" t="inlineStr">
        <is>
          <t>Tổng NS</t>
        </is>
      </c>
      <c r="I2" s="337" t="inlineStr">
        <is>
          <t>Paid</t>
        </is>
      </c>
      <c r="J2" s="337" t="inlineStr">
        <is>
          <t>Tour</t>
        </is>
      </c>
      <c r="K2" s="337" t="inlineStr">
        <is>
          <t>Meta</t>
        </is>
      </c>
      <c r="L2" s="337" t="inlineStr">
        <is>
          <t>G.Search</t>
        </is>
      </c>
      <c r="M2" s="337" t="inlineStr">
        <is>
          <t>G.Display</t>
        </is>
      </c>
      <c r="N2" s="337" t="inlineStr">
        <is>
          <t>TikTok</t>
        </is>
      </c>
      <c r="O2" s="337" t="inlineStr">
        <is>
          <t>Zalo</t>
        </is>
      </c>
      <c r="P2" s="337" t="inlineStr">
        <is>
          <t>Webinar</t>
        </is>
      </c>
      <c r="Q2" s="337" t="inlineStr">
        <is>
          <t>Remarket</t>
        </is>
      </c>
      <c r="R2" s="337" t="inlineStr">
        <is>
          <t>Local SEO</t>
        </is>
      </c>
    </row>
    <row r="3" ht="15" customHeight="1" s="248">
      <c r="A3" s="321" t="inlineStr">
        <is>
          <t>MN</t>
        </is>
      </c>
      <c r="B3" s="321" t="inlineStr">
        <is>
          <t>MN VA Gò Vấp</t>
        </is>
      </c>
      <c r="C3" s="321" t="inlineStr">
        <is>
          <t>573 Lê Đức Thọ, Gò Vấp, TP.HCM</t>
        </is>
      </c>
      <c r="D3" s="338" t="n">
        <v>200</v>
      </c>
      <c r="E3" s="339" t="n">
        <v>0.85</v>
      </c>
      <c r="F3" s="340">
        <f>D3*E3</f>
        <v/>
      </c>
      <c r="G3" s="339">
        <f>F3/F$14</f>
        <v/>
      </c>
      <c r="H3" s="332">
        <f>G3*'1. Input'!B4</f>
        <v/>
      </c>
      <c r="I3" s="332">
        <f>G3*'1. Input'!B15</f>
        <v/>
      </c>
      <c r="J3" s="332">
        <f>G3*'1. Input'!B10</f>
        <v/>
      </c>
      <c r="K3" s="332">
        <f>I3*'2. Paid Media'!B3</f>
        <v/>
      </c>
      <c r="L3" s="332">
        <f>I3*'2. Paid Media'!B4</f>
        <v/>
      </c>
      <c r="M3" s="332">
        <f>I3*'2. Paid Media'!B5</f>
        <v/>
      </c>
      <c r="N3" s="332">
        <f>I3*'2. Paid Media'!B6</f>
        <v/>
      </c>
      <c r="O3" s="332">
        <f>I3*'2. Paid Media'!B7</f>
        <v/>
      </c>
      <c r="P3" s="332">
        <f>I3*'2. Paid Media'!B8</f>
        <v/>
      </c>
      <c r="Q3" s="332">
        <f>I3*'2. Paid Media'!B9</f>
        <v/>
      </c>
      <c r="R3" s="332">
        <f>I3*'2. Paid Media'!B10</f>
        <v/>
      </c>
    </row>
    <row r="4" ht="15" customHeight="1" s="248">
      <c r="A4" s="323" t="inlineStr">
        <is>
          <t>MN</t>
        </is>
      </c>
      <c r="B4" s="323" t="inlineStr">
        <is>
          <t>MN Nhân Lễ</t>
        </is>
      </c>
      <c r="C4" s="323" t="inlineStr">
        <is>
          <t>22 D2, KDC Cần Giuộc, Tây Ninh</t>
        </is>
      </c>
      <c r="D4" s="324" t="n">
        <v>60</v>
      </c>
      <c r="E4" s="326" t="n">
        <v>0.85</v>
      </c>
      <c r="F4" s="324">
        <f>D4*E4</f>
        <v/>
      </c>
      <c r="G4" s="326">
        <f>F4/F$14</f>
        <v/>
      </c>
      <c r="H4" s="327">
        <f>G4*'1. Input'!B4</f>
        <v/>
      </c>
      <c r="I4" s="327">
        <f>G4*'1. Input'!B15</f>
        <v/>
      </c>
      <c r="J4" s="327">
        <f>G4*'1. Input'!B10</f>
        <v/>
      </c>
      <c r="K4" s="327">
        <f>I4*'2. Paid Media'!B3</f>
        <v/>
      </c>
      <c r="L4" s="327">
        <f>I4*'2. Paid Media'!B4</f>
        <v/>
      </c>
      <c r="M4" s="327">
        <f>I4*'2. Paid Media'!B5</f>
        <v/>
      </c>
      <c r="N4" s="327">
        <f>I4*'2. Paid Media'!B6</f>
        <v/>
      </c>
      <c r="O4" s="327">
        <f>I4*'2. Paid Media'!B7</f>
        <v/>
      </c>
      <c r="P4" s="327">
        <f>I4*'2. Paid Media'!B8</f>
        <v/>
      </c>
      <c r="Q4" s="327">
        <f>I4*'2. Paid Media'!B9</f>
        <v/>
      </c>
      <c r="R4" s="327">
        <f>I4*'2. Paid Media'!B10</f>
        <v/>
      </c>
    </row>
    <row r="5" ht="15" customHeight="1" s="248">
      <c r="A5" s="321" t="inlineStr">
        <is>
          <t>MN</t>
        </is>
      </c>
      <c r="B5" s="321" t="inlineStr">
        <is>
          <t>MN Thái Sơn</t>
        </is>
      </c>
      <c r="C5" s="321" t="inlineStr">
        <is>
          <t>KDC Thái Sơn, Cần Giuộc, Tây Ninh</t>
        </is>
      </c>
      <c r="D5" s="338" t="n">
        <v>60</v>
      </c>
      <c r="E5" s="339" t="n">
        <v>0.85</v>
      </c>
      <c r="F5" s="340">
        <f>D5*E5</f>
        <v/>
      </c>
      <c r="G5" s="339">
        <f>F5/F$14</f>
        <v/>
      </c>
      <c r="H5" s="332">
        <f>G5*'1. Input'!B4</f>
        <v/>
      </c>
      <c r="I5" s="332">
        <f>G5*'1. Input'!B15</f>
        <v/>
      </c>
      <c r="J5" s="332">
        <f>G5*'1. Input'!B10</f>
        <v/>
      </c>
      <c r="K5" s="332">
        <f>I5*'2. Paid Media'!B3</f>
        <v/>
      </c>
      <c r="L5" s="332">
        <f>I5*'2. Paid Media'!B4</f>
        <v/>
      </c>
      <c r="M5" s="332">
        <f>I5*'2. Paid Media'!B5</f>
        <v/>
      </c>
      <c r="N5" s="332">
        <f>I5*'2. Paid Media'!B6</f>
        <v/>
      </c>
      <c r="O5" s="332">
        <f>I5*'2. Paid Media'!B7</f>
        <v/>
      </c>
      <c r="P5" s="332">
        <f>I5*'2. Paid Media'!B8</f>
        <v/>
      </c>
      <c r="Q5" s="332">
        <f>I5*'2. Paid Media'!B9</f>
        <v/>
      </c>
      <c r="R5" s="332">
        <f>I5*'2. Paid Media'!B10</f>
        <v/>
      </c>
    </row>
    <row r="6" ht="15" customHeight="1" s="248">
      <c r="A6" s="323" t="inlineStr">
        <is>
          <t>MN</t>
        </is>
      </c>
      <c r="B6" s="323" t="inlineStr">
        <is>
          <t>MN Mekong Xanh</t>
        </is>
      </c>
      <c r="C6" s="323" t="inlineStr">
        <is>
          <t>Lô E7, KĐT Tây Bắc, Rạch Giá, An Giang</t>
        </is>
      </c>
      <c r="D6" s="324" t="n">
        <v>60</v>
      </c>
      <c r="E6" s="326" t="n">
        <v>0.85</v>
      </c>
      <c r="F6" s="324">
        <f>D6*E6</f>
        <v/>
      </c>
      <c r="G6" s="326">
        <f>F6/F$14</f>
        <v/>
      </c>
      <c r="H6" s="327">
        <f>G6*'1. Input'!B4</f>
        <v/>
      </c>
      <c r="I6" s="327">
        <f>G6*'1. Input'!B15</f>
        <v/>
      </c>
      <c r="J6" s="327">
        <f>G6*'1. Input'!B10</f>
        <v/>
      </c>
      <c r="K6" s="327">
        <f>I6*'2. Paid Media'!B3</f>
        <v/>
      </c>
      <c r="L6" s="327">
        <f>I6*'2. Paid Media'!B4</f>
        <v/>
      </c>
      <c r="M6" s="327">
        <f>I6*'2. Paid Media'!B5</f>
        <v/>
      </c>
      <c r="N6" s="327">
        <f>I6*'2. Paid Media'!B6</f>
        <v/>
      </c>
      <c r="O6" s="327">
        <f>I6*'2. Paid Media'!B7</f>
        <v/>
      </c>
      <c r="P6" s="327">
        <f>I6*'2. Paid Media'!B8</f>
        <v/>
      </c>
      <c r="Q6" s="327">
        <f>I6*'2. Paid Media'!B9</f>
        <v/>
      </c>
      <c r="R6" s="327">
        <f>I6*'2. Paid Media'!B10</f>
        <v/>
      </c>
    </row>
    <row r="7" ht="15" customHeight="1" s="248">
      <c r="A7" s="321" t="inlineStr">
        <is>
          <t>TH</t>
        </is>
      </c>
      <c r="B7" s="321" t="inlineStr">
        <is>
          <t>TH VA Gò Vấp</t>
        </is>
      </c>
      <c r="C7" s="321" t="inlineStr">
        <is>
          <t>160/72 Phan Huy Ích, Gò Vấp, TP.HCM</t>
        </is>
      </c>
      <c r="D7" s="338" t="n">
        <v>150</v>
      </c>
      <c r="E7" s="339" t="n">
        <v>1</v>
      </c>
      <c r="F7" s="340">
        <f>D7*E7</f>
        <v/>
      </c>
      <c r="G7" s="339">
        <f>F7/F$14</f>
        <v/>
      </c>
      <c r="H7" s="332">
        <f>G7*'1. Input'!B4</f>
        <v/>
      </c>
      <c r="I7" s="332">
        <f>G7*'1. Input'!B15</f>
        <v/>
      </c>
      <c r="J7" s="332">
        <f>G7*'1. Input'!B10</f>
        <v/>
      </c>
      <c r="K7" s="332">
        <f>I7*'2. Paid Media'!B3</f>
        <v/>
      </c>
      <c r="L7" s="332">
        <f>I7*'2. Paid Media'!B4</f>
        <v/>
      </c>
      <c r="M7" s="332">
        <f>I7*'2. Paid Media'!B5</f>
        <v/>
      </c>
      <c r="N7" s="332">
        <f>I7*'2. Paid Media'!B6</f>
        <v/>
      </c>
      <c r="O7" s="332">
        <f>I7*'2. Paid Media'!B7</f>
        <v/>
      </c>
      <c r="P7" s="332">
        <f>I7*'2. Paid Media'!B8</f>
        <v/>
      </c>
      <c r="Q7" s="332">
        <f>I7*'2. Paid Media'!B9</f>
        <v/>
      </c>
      <c r="R7" s="332">
        <f>I7*'2. Paid Media'!B10</f>
        <v/>
      </c>
    </row>
    <row r="8" ht="15" customHeight="1" s="248">
      <c r="A8" s="323" t="inlineStr">
        <is>
          <t>TH</t>
        </is>
      </c>
      <c r="B8" s="323" t="inlineStr">
        <is>
          <t>TH VA Bình Tân</t>
        </is>
      </c>
      <c r="C8" s="323" t="inlineStr">
        <is>
          <t>Số 7 đường 38A, Tân Tạo, Bình Tân, TP.HCM</t>
        </is>
      </c>
      <c r="D8" s="324" t="n">
        <v>150</v>
      </c>
      <c r="E8" s="326" t="n">
        <v>1</v>
      </c>
      <c r="F8" s="324">
        <f>D8*E8</f>
        <v/>
      </c>
      <c r="G8" s="326">
        <f>F8/F$14</f>
        <v/>
      </c>
      <c r="H8" s="327">
        <f>G8*'1. Input'!B4</f>
        <v/>
      </c>
      <c r="I8" s="327">
        <f>G8*'1. Input'!B15</f>
        <v/>
      </c>
      <c r="J8" s="327">
        <f>G8*'1. Input'!B10</f>
        <v/>
      </c>
      <c r="K8" s="327">
        <f>I8*'2. Paid Media'!B3</f>
        <v/>
      </c>
      <c r="L8" s="327">
        <f>I8*'2. Paid Media'!B4</f>
        <v/>
      </c>
      <c r="M8" s="327">
        <f>I8*'2. Paid Media'!B5</f>
        <v/>
      </c>
      <c r="N8" s="327">
        <f>I8*'2. Paid Media'!B6</f>
        <v/>
      </c>
      <c r="O8" s="327">
        <f>I8*'2. Paid Media'!B7</f>
        <v/>
      </c>
      <c r="P8" s="327">
        <f>I8*'2. Paid Media'!B8</f>
        <v/>
      </c>
      <c r="Q8" s="327">
        <f>I8*'2. Paid Media'!B9</f>
        <v/>
      </c>
      <c r="R8" s="327">
        <f>I8*'2. Paid Media'!B10</f>
        <v/>
      </c>
    </row>
    <row r="9" ht="15" customHeight="1" s="248">
      <c r="A9" s="321" t="inlineStr">
        <is>
          <t>TH</t>
        </is>
      </c>
      <c r="B9" s="321" t="inlineStr">
        <is>
          <t>TH Thái Sơn</t>
        </is>
      </c>
      <c r="C9" s="321" t="inlineStr">
        <is>
          <t>KDC Thái Sơn, Cần Giuộc, Tây Ninh</t>
        </is>
      </c>
      <c r="D9" s="338" t="n">
        <v>60</v>
      </c>
      <c r="E9" s="339" t="n">
        <v>1</v>
      </c>
      <c r="F9" s="340">
        <f>D9*E9</f>
        <v/>
      </c>
      <c r="G9" s="339">
        <f>F9/F$14</f>
        <v/>
      </c>
      <c r="H9" s="332">
        <f>G9*'1. Input'!B4</f>
        <v/>
      </c>
      <c r="I9" s="332">
        <f>G9*'1. Input'!B15</f>
        <v/>
      </c>
      <c r="J9" s="332">
        <f>G9*'1. Input'!B10</f>
        <v/>
      </c>
      <c r="K9" s="332">
        <f>I9*'2. Paid Media'!B3</f>
        <v/>
      </c>
      <c r="L9" s="332">
        <f>I9*'2. Paid Media'!B4</f>
        <v/>
      </c>
      <c r="M9" s="332">
        <f>I9*'2. Paid Media'!B5</f>
        <v/>
      </c>
      <c r="N9" s="332">
        <f>I9*'2. Paid Media'!B6</f>
        <v/>
      </c>
      <c r="O9" s="332">
        <f>I9*'2. Paid Media'!B7</f>
        <v/>
      </c>
      <c r="P9" s="332">
        <f>I9*'2. Paid Media'!B8</f>
        <v/>
      </c>
      <c r="Q9" s="332">
        <f>I9*'2. Paid Media'!B9</f>
        <v/>
      </c>
      <c r="R9" s="332">
        <f>I9*'2. Paid Media'!B10</f>
        <v/>
      </c>
    </row>
    <row r="10" ht="15" customHeight="1" s="248">
      <c r="A10" s="323" t="inlineStr">
        <is>
          <t>TH</t>
        </is>
      </c>
      <c r="B10" s="323" t="inlineStr">
        <is>
          <t>TH Mekong Xanh</t>
        </is>
      </c>
      <c r="C10" s="323" t="inlineStr">
        <is>
          <t>Lô E7, KĐT Tây Bắc, Rạch Giá, An Giang</t>
        </is>
      </c>
      <c r="D10" s="324" t="n">
        <v>60</v>
      </c>
      <c r="E10" s="326" t="n">
        <v>1</v>
      </c>
      <c r="F10" s="324">
        <f>D10*E10</f>
        <v/>
      </c>
      <c r="G10" s="326">
        <f>F10/F$14</f>
        <v/>
      </c>
      <c r="H10" s="327">
        <f>G10*'1. Input'!B4</f>
        <v/>
      </c>
      <c r="I10" s="327">
        <f>G10*'1. Input'!B15</f>
        <v/>
      </c>
      <c r="J10" s="327">
        <f>G10*'1. Input'!B10</f>
        <v/>
      </c>
      <c r="K10" s="327">
        <f>I10*'2. Paid Media'!B3</f>
        <v/>
      </c>
      <c r="L10" s="327">
        <f>I10*'2. Paid Media'!B4</f>
        <v/>
      </c>
      <c r="M10" s="327">
        <f>I10*'2. Paid Media'!B5</f>
        <v/>
      </c>
      <c r="N10" s="327">
        <f>I10*'2. Paid Media'!B6</f>
        <v/>
      </c>
      <c r="O10" s="327">
        <f>I10*'2. Paid Media'!B7</f>
        <v/>
      </c>
      <c r="P10" s="327">
        <f>I10*'2. Paid Media'!B8</f>
        <v/>
      </c>
      <c r="Q10" s="327">
        <f>I10*'2. Paid Media'!B9</f>
        <v/>
      </c>
      <c r="R10" s="327">
        <f>I10*'2. Paid Media'!B10</f>
        <v/>
      </c>
    </row>
    <row r="11" ht="15" customHeight="1" s="248">
      <c r="A11" s="321" t="inlineStr">
        <is>
          <t>THCS</t>
        </is>
      </c>
      <c r="B11" s="321" t="inlineStr">
        <is>
          <t>THCS VA Gò Vấp</t>
        </is>
      </c>
      <c r="C11" s="321" t="inlineStr">
        <is>
          <t>160/72 Phan Huy Ích, Gò Vấp, TP.HCM</t>
        </is>
      </c>
      <c r="D11" s="338" t="n">
        <v>200</v>
      </c>
      <c r="E11" s="339" t="n">
        <v>1.2</v>
      </c>
      <c r="F11" s="340">
        <f>D11*E11</f>
        <v/>
      </c>
      <c r="G11" s="339">
        <f>F11/F$14</f>
        <v/>
      </c>
      <c r="H11" s="332">
        <f>G11*'1. Input'!B4</f>
        <v/>
      </c>
      <c r="I11" s="332">
        <f>G11*'1. Input'!B15</f>
        <v/>
      </c>
      <c r="J11" s="332">
        <f>G11*'1. Input'!B10</f>
        <v/>
      </c>
      <c r="K11" s="332">
        <f>I11*'2. Paid Media'!B3</f>
        <v/>
      </c>
      <c r="L11" s="332">
        <f>I11*'2. Paid Media'!B4</f>
        <v/>
      </c>
      <c r="M11" s="332">
        <f>I11*'2. Paid Media'!B5</f>
        <v/>
      </c>
      <c r="N11" s="332">
        <f>I11*'2. Paid Media'!B6</f>
        <v/>
      </c>
      <c r="O11" s="332">
        <f>I11*'2. Paid Media'!B7</f>
        <v/>
      </c>
      <c r="P11" s="332">
        <f>I11*'2. Paid Media'!B8</f>
        <v/>
      </c>
      <c r="Q11" s="332">
        <f>I11*'2. Paid Media'!B9</f>
        <v/>
      </c>
      <c r="R11" s="332">
        <f>I11*'2. Paid Media'!B10</f>
        <v/>
      </c>
    </row>
    <row r="12" ht="15" customHeight="1" s="248">
      <c r="A12" s="323" t="inlineStr">
        <is>
          <t>THPT</t>
        </is>
      </c>
      <c r="B12" s="323" t="inlineStr">
        <is>
          <t>THPT VA Gò Vấp</t>
        </is>
      </c>
      <c r="C12" s="323" t="inlineStr">
        <is>
          <t>160/72 Phan Huy Ích, Gò Vấp, TP.HCM</t>
        </is>
      </c>
      <c r="D12" s="324" t="n">
        <v>200</v>
      </c>
      <c r="E12" s="326" t="n">
        <v>1.35</v>
      </c>
      <c r="F12" s="324">
        <f>D12*E12</f>
        <v/>
      </c>
      <c r="G12" s="326">
        <f>F12/F$14</f>
        <v/>
      </c>
      <c r="H12" s="327">
        <f>G12*'1. Input'!B4</f>
        <v/>
      </c>
      <c r="I12" s="327">
        <f>G12*'1. Input'!B15</f>
        <v/>
      </c>
      <c r="J12" s="327">
        <f>G12*'1. Input'!B10</f>
        <v/>
      </c>
      <c r="K12" s="327">
        <f>I12*'2. Paid Media'!B3</f>
        <v/>
      </c>
      <c r="L12" s="327">
        <f>I12*'2. Paid Media'!B4</f>
        <v/>
      </c>
      <c r="M12" s="327">
        <f>I12*'2. Paid Media'!B5</f>
        <v/>
      </c>
      <c r="N12" s="327">
        <f>I12*'2. Paid Media'!B6</f>
        <v/>
      </c>
      <c r="O12" s="327">
        <f>I12*'2. Paid Media'!B7</f>
        <v/>
      </c>
      <c r="P12" s="327">
        <f>I12*'2. Paid Media'!B8</f>
        <v/>
      </c>
      <c r="Q12" s="327">
        <f>I12*'2. Paid Media'!B9</f>
        <v/>
      </c>
      <c r="R12" s="327">
        <f>I12*'2. Paid Media'!B10</f>
        <v/>
      </c>
    </row>
    <row r="13" ht="15" customHeight="1" s="248">
      <c r="A13" s="321" t="inlineStr">
        <is>
          <t>Liên cấp</t>
        </is>
      </c>
      <c r="B13" s="321" t="inlineStr">
        <is>
          <t>Brand hệ thống</t>
        </is>
      </c>
      <c r="C13" s="321" t="inlineStr">
        <is>
          <t>Retarget + brand awareness chung</t>
        </is>
      </c>
      <c r="D13" s="338" t="n">
        <v>100</v>
      </c>
      <c r="E13" s="339" t="n">
        <v>1</v>
      </c>
      <c r="F13" s="340">
        <f>D13*E13</f>
        <v/>
      </c>
      <c r="G13" s="339">
        <f>F13/F$14</f>
        <v/>
      </c>
      <c r="H13" s="332">
        <f>G13*'1. Input'!B4</f>
        <v/>
      </c>
      <c r="I13" s="332">
        <f>G13*'1. Input'!B15</f>
        <v/>
      </c>
      <c r="J13" s="332">
        <f>G13*'1. Input'!B10</f>
        <v/>
      </c>
      <c r="K13" s="332">
        <f>I13*'2. Paid Media'!B3</f>
        <v/>
      </c>
      <c r="L13" s="332">
        <f>I13*'2. Paid Media'!B4</f>
        <v/>
      </c>
      <c r="M13" s="332">
        <f>I13*'2. Paid Media'!B5</f>
        <v/>
      </c>
      <c r="N13" s="332">
        <f>I13*'2. Paid Media'!B6</f>
        <v/>
      </c>
      <c r="O13" s="332">
        <f>I13*'2. Paid Media'!B7</f>
        <v/>
      </c>
      <c r="P13" s="332">
        <f>I13*'2. Paid Media'!B8</f>
        <v/>
      </c>
      <c r="Q13" s="332">
        <f>I13*'2. Paid Media'!B9</f>
        <v/>
      </c>
      <c r="R13" s="332">
        <f>I13*'2. Paid Media'!B10</f>
        <v/>
      </c>
    </row>
    <row r="14" ht="15" customHeight="1" s="248">
      <c r="A14" s="333" t="inlineStr">
        <is>
          <t>TỔNG</t>
        </is>
      </c>
      <c r="B14" s="333" t="n"/>
      <c r="C14" s="333" t="n"/>
      <c r="D14" s="341">
        <f>SUM(D3:D13)</f>
        <v/>
      </c>
      <c r="E14" s="333" t="n"/>
      <c r="F14" s="333">
        <f>SUM(F3:F13)</f>
        <v/>
      </c>
      <c r="G14" s="334">
        <f>SUM(G3:G13)</f>
        <v/>
      </c>
      <c r="H14" s="335">
        <f>SUM(H3:H13)</f>
        <v/>
      </c>
      <c r="I14" s="335">
        <f>SUM(I3:I13)</f>
        <v/>
      </c>
      <c r="J14" s="335">
        <f>SUM(J3:J13)</f>
        <v/>
      </c>
      <c r="K14" s="335">
        <f>SUM(K3:K13)</f>
        <v/>
      </c>
      <c r="L14" s="335">
        <f>SUM(L3:L13)</f>
        <v/>
      </c>
      <c r="M14" s="335">
        <f>SUM(M3:M13)</f>
        <v/>
      </c>
      <c r="N14" s="335">
        <f>SUM(N3:N13)</f>
        <v/>
      </c>
      <c r="O14" s="335">
        <f>SUM(O3:O13)</f>
        <v/>
      </c>
      <c r="P14" s="335">
        <f>SUM(P3:P13)</f>
        <v/>
      </c>
      <c r="Q14" s="335">
        <f>SUM(Q3:Q13)</f>
        <v/>
      </c>
      <c r="R14" s="335">
        <f>SUM(R3:R13)</f>
        <v/>
      </c>
    </row>
  </sheetData>
  <mergeCells count="1">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44336"/>
    <outlinePr summaryBelow="1" summaryRight="1"/>
    <pageSetUpPr fitToPage="0"/>
  </sheetPr>
  <dimension ref="A1:N8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47" min="1" max="6"/>
    <col width="40" customWidth="1" style="248" min="2" max="2"/>
    <col width="25" customWidth="1" style="248" min="3" max="3"/>
    <col width="25" customWidth="1" style="248" min="4" max="4"/>
    <col width="50" customWidth="1" style="248" min="5" max="5"/>
    <col width="35" customWidth="1" style="248" min="6" max="6"/>
    <col width="30" customWidth="1" style="247" min="7" max="11"/>
    <col width="35" customWidth="1" style="248" min="8" max="8"/>
    <col width="35" customWidth="1" style="248" min="9" max="9"/>
    <col width="40" customWidth="1" style="248" min="10" max="10"/>
    <col width="40" customWidth="1" style="248" min="11" max="11"/>
    <col width="30" customWidth="1" style="248" min="12" max="12"/>
    <col width="40" customWidth="1" style="248" min="13" max="13"/>
  </cols>
  <sheetData>
    <row r="1" ht="15" customHeight="1" s="248">
      <c r="A1" s="498" t="inlineStr">
        <is>
          <t>PHỄU TUYỂN SINH 2026 — CHI TIẾT TỪNG CHIẾN DỊCH, ĐỊA ĐIỂM, CHƯƠNG TRÌNH</t>
        </is>
      </c>
    </row>
    <row r="2" ht="15" customHeight="1" s="248">
      <c r="A2" s="516" t="n"/>
      <c r="B2" s="516" t="n"/>
      <c r="C2" s="516" t="n"/>
      <c r="D2" s="516" t="n"/>
      <c r="E2" s="516" t="n"/>
      <c r="F2" s="516" t="n"/>
      <c r="G2" s="493" t="n"/>
      <c r="H2" s="493" t="n"/>
      <c r="I2" s="493" t="n"/>
      <c r="J2" s="493" t="n"/>
      <c r="K2" s="493" t="n"/>
      <c r="L2" s="493" t="n"/>
    </row>
    <row r="3" ht="15" customHeight="1" s="248">
      <c r="A3" s="517" t="inlineStr">
        <is>
          <t>A. KIẾN TRÚC TỔNG THỂ — 24 PHỄU TUYỂN SINH</t>
        </is>
      </c>
      <c r="B3" s="518" t="n"/>
      <c r="C3" s="518" t="n"/>
      <c r="D3" s="519" t="n"/>
      <c r="E3" s="520" t="n"/>
      <c r="F3" s="518" t="n"/>
      <c r="G3" s="493" t="n"/>
      <c r="H3" s="493" t="n"/>
      <c r="I3" s="493" t="n"/>
      <c r="J3" s="493" t="n"/>
      <c r="K3" s="493" t="n"/>
      <c r="L3" s="493" t="n"/>
    </row>
    <row r="4" ht="15" customHeight="1" s="248">
      <c r="A4" s="518" t="inlineStr">
        <is>
          <t>Mỗi phễu gồm 4-6 trang (pages), mỗi trang có URL riêng, tracking riêng, và remarketing audience riêng.</t>
        </is>
      </c>
      <c r="B4" s="521" t="n"/>
      <c r="C4" s="518" t="n"/>
      <c r="D4" s="519" t="n"/>
      <c r="E4" s="520" t="n"/>
      <c r="F4" s="518" t="n"/>
      <c r="G4" s="493" t="n"/>
      <c r="H4" s="493" t="n"/>
      <c r="I4" s="493" t="n"/>
      <c r="J4" s="493" t="n"/>
      <c r="K4" s="493" t="n"/>
      <c r="L4" s="493" t="n"/>
    </row>
    <row r="5" ht="15" customHeight="1" s="248">
      <c r="A5" s="518" t="inlineStr">
        <is>
          <t>Tất cả landing pages được xây trên GoHighLevel (GHL), domain: forms.truongvietanh.com</t>
        </is>
      </c>
      <c r="B5" s="521" t="n"/>
      <c r="C5" s="518" t="n"/>
      <c r="D5" s="519" t="n"/>
      <c r="E5" s="520" t="n"/>
      <c r="F5" s="518" t="n"/>
      <c r="G5" s="493" t="n"/>
      <c r="H5" s="493" t="n"/>
      <c r="I5" s="493" t="n"/>
      <c r="J5" s="493" t="n"/>
      <c r="K5" s="493" t="n"/>
      <c r="L5" s="493" t="n"/>
    </row>
    <row r="6" ht="15" customHeight="1" s="248">
      <c r="A6" s="518" t="n"/>
      <c r="B6" s="521" t="n"/>
      <c r="C6" s="518" t="n"/>
      <c r="D6" s="519" t="n"/>
      <c r="E6" s="520" t="n"/>
      <c r="F6" s="518" t="n"/>
      <c r="G6" s="493" t="n"/>
      <c r="H6" s="493" t="n"/>
      <c r="I6" s="493" t="n"/>
      <c r="J6" s="493" t="n"/>
      <c r="K6" s="493" t="n"/>
      <c r="L6" s="493" t="n"/>
    </row>
    <row r="7">
      <c r="A7" s="495" t="inlineStr">
        <is>
          <t>STT</t>
        </is>
      </c>
      <c r="B7" s="495" t="inlineStr">
        <is>
          <t>Tên Phễu (Funnel Name)</t>
        </is>
      </c>
      <c r="C7" s="495" t="inlineStr">
        <is>
          <t>Mã phễu</t>
        </is>
      </c>
      <c r="D7" s="495" t="inlineStr">
        <is>
          <t>Cấp học</t>
        </is>
      </c>
      <c r="E7" s="495" t="inlineStr">
        <is>
          <t>Cơ sở</t>
        </is>
      </c>
      <c r="F7" s="495" t="inlineStr">
        <is>
          <t>Số trang</t>
        </is>
      </c>
      <c r="G7" s="495" t="inlineStr">
        <is>
          <t>URL gốc</t>
        </is>
      </c>
      <c r="H7" s="495" t="inlineStr">
        <is>
          <t>Mục tiêu</t>
        </is>
      </c>
      <c r="I7" s="495" t="inlineStr">
        <is>
          <t>Traffic sources</t>
        </is>
      </c>
      <c r="J7" s="495" t="inlineStr">
        <is>
          <t>Target leads/tháng</t>
        </is>
      </c>
      <c r="K7" s="495" t="inlineStr">
        <is>
          <t>Remarketing audience</t>
        </is>
      </c>
      <c r="L7" s="495" t="inlineStr">
        <is>
          <t>Trạng thái</t>
        </is>
      </c>
    </row>
    <row r="8" ht="15" customHeight="1" s="248">
      <c r="A8" s="499" t="inlineStr">
        <is>
          <t>1</t>
        </is>
      </c>
      <c r="B8" s="499" t="inlineStr">
        <is>
          <t>Tuyển Sinh Mầm Non — Tổng</t>
        </is>
      </c>
      <c r="C8" s="499" t="inlineStr">
        <is>
          <t>FNL-MN-MAIN</t>
        </is>
      </c>
      <c r="D8" s="499" t="inlineStr">
        <is>
          <t>Mầm non</t>
        </is>
      </c>
      <c r="E8" s="499" t="inlineStr">
        <is>
          <t>Tất cả</t>
        </is>
      </c>
      <c r="F8" s="499" t="inlineStr">
        <is>
          <t>6</t>
        </is>
      </c>
      <c r="G8" s="499" t="inlineStr">
        <is>
          <t>forms.truongvietanh.com/tuyen-sinh-mam-non</t>
        </is>
      </c>
      <c r="H8" s="499" t="inlineStr">
        <is>
          <t>Lead → Tour → Enroll</t>
        </is>
      </c>
      <c r="I8" s="499" t="inlineStr">
        <is>
          <t>Meta Ads, Zalo Ads, Google</t>
        </is>
      </c>
      <c r="J8" s="499" t="inlineStr">
        <is>
          <t>80</t>
        </is>
      </c>
      <c r="K8" s="499" t="inlineStr">
        <is>
          <t>mn_visitors, mn_form_start, mn_form_complete</t>
        </is>
      </c>
      <c r="L8" s="499" t="inlineStr">
        <is>
          <t>⬜ Cần tạo</t>
        </is>
      </c>
    </row>
    <row r="9" ht="15" customHeight="1" s="248">
      <c r="A9" s="500" t="inlineStr">
        <is>
          <t>2</t>
        </is>
      </c>
      <c r="B9" s="500" t="inlineStr">
        <is>
          <t>Tuyển Sinh Tiểu Học — Tổng</t>
        </is>
      </c>
      <c r="C9" s="500" t="inlineStr">
        <is>
          <t>FNL-TH-MAIN</t>
        </is>
      </c>
      <c r="D9" s="500" t="inlineStr">
        <is>
          <t>Tiểu học</t>
        </is>
      </c>
      <c r="E9" s="500" t="inlineStr">
        <is>
          <t>Tất cả</t>
        </is>
      </c>
      <c r="F9" s="500" t="inlineStr">
        <is>
          <t>6</t>
        </is>
      </c>
      <c r="G9" s="500" t="inlineStr">
        <is>
          <t>forms.truongvietanh.com/tuyen-sinh-tieu-hoc</t>
        </is>
      </c>
      <c r="H9" s="500" t="inlineStr">
        <is>
          <t>Lead → Tour → Enroll</t>
        </is>
      </c>
      <c r="I9" s="500" t="inlineStr">
        <is>
          <t>Meta Ads, Google, Zalo</t>
        </is>
      </c>
      <c r="J9" s="500" t="inlineStr">
        <is>
          <t>60</t>
        </is>
      </c>
      <c r="K9" s="500" t="inlineStr">
        <is>
          <t>th_visitors, th_form_start, th_form_complete</t>
        </is>
      </c>
      <c r="L9" s="500" t="inlineStr">
        <is>
          <t>⬜ Cần tạo</t>
        </is>
      </c>
    </row>
    <row r="10" ht="46.25" customHeight="1" s="248">
      <c r="A10" s="499" t="inlineStr">
        <is>
          <t>3</t>
        </is>
      </c>
      <c r="B10" s="499" t="inlineStr">
        <is>
          <t>Tuyển Sinh THCS — Tổng</t>
        </is>
      </c>
      <c r="C10" s="499" t="inlineStr">
        <is>
          <t>FNL-THCS-MAIN</t>
        </is>
      </c>
      <c r="D10" s="499" t="inlineStr">
        <is>
          <t>THCS</t>
        </is>
      </c>
      <c r="E10" s="499" t="inlineStr">
        <is>
          <t>VA Gò Vấp</t>
        </is>
      </c>
      <c r="F10" s="499" t="inlineStr">
        <is>
          <t>6</t>
        </is>
      </c>
      <c r="G10" s="499" t="inlineStr">
        <is>
          <t>forms.truongvietanh.com/tuyen-sinh-thcs</t>
        </is>
      </c>
      <c r="H10" s="499" t="inlineStr">
        <is>
          <t>Lead → Tour → Enroll</t>
        </is>
      </c>
      <c r="I10" s="499" t="inlineStr">
        <is>
          <t>Meta Ads, Google, TikTok</t>
        </is>
      </c>
      <c r="J10" s="499" t="inlineStr">
        <is>
          <t>40</t>
        </is>
      </c>
      <c r="K10" s="499" t="inlineStr">
        <is>
          <t>thcs_visitors, thcs_form_start</t>
        </is>
      </c>
      <c r="L10" s="499" t="inlineStr">
        <is>
          <t>⬜ Cần tạo</t>
        </is>
      </c>
    </row>
    <row r="11" ht="46.25" customHeight="1" s="248">
      <c r="A11" s="500" t="inlineStr">
        <is>
          <t>4</t>
        </is>
      </c>
      <c r="B11" s="500" t="inlineStr">
        <is>
          <t>Tuyển Sinh THPT — Tổng</t>
        </is>
      </c>
      <c r="C11" s="500" t="inlineStr">
        <is>
          <t>FNL-THPT-MAIN</t>
        </is>
      </c>
      <c r="D11" s="500" t="inlineStr">
        <is>
          <t>THPT</t>
        </is>
      </c>
      <c r="E11" s="500" t="inlineStr">
        <is>
          <t>VA Gò Vấp</t>
        </is>
      </c>
      <c r="F11" s="500" t="inlineStr">
        <is>
          <t>6</t>
        </is>
      </c>
      <c r="G11" s="500" t="inlineStr">
        <is>
          <t>forms.truongvietanh.com/tuyen-sinh-thpt</t>
        </is>
      </c>
      <c r="H11" s="500" t="inlineStr">
        <is>
          <t>Lead → Tour → Enroll</t>
        </is>
      </c>
      <c r="I11" s="500" t="inlineStr">
        <is>
          <t>Meta Ads, Google, TikTok</t>
        </is>
      </c>
      <c r="J11" s="500" t="inlineStr">
        <is>
          <t>30</t>
        </is>
      </c>
      <c r="K11" s="500" t="inlineStr">
        <is>
          <t>thpt_visitors, thpt_form_start</t>
        </is>
      </c>
      <c r="L11" s="500" t="inlineStr">
        <is>
          <t>⬜ Cần tạo</t>
        </is>
      </c>
    </row>
    <row r="12" ht="46.25" customHeight="1" s="248">
      <c r="A12" s="499" t="inlineStr">
        <is>
          <t>5</t>
        </is>
      </c>
      <c r="B12" s="499" t="inlineStr">
        <is>
          <t>MN VA Gò Vấp — Campus Funnel</t>
        </is>
      </c>
      <c r="C12" s="499" t="inlineStr">
        <is>
          <t>FNL-MN-GV</t>
        </is>
      </c>
      <c r="D12" s="499" t="inlineStr">
        <is>
          <t>Mầm non</t>
        </is>
      </c>
      <c r="E12" s="499" t="inlineStr">
        <is>
          <t>MN VA Gò Vấp</t>
        </is>
      </c>
      <c r="F12" s="499" t="inlineStr">
        <is>
          <t>5</t>
        </is>
      </c>
      <c r="G12" s="499" t="inlineStr">
        <is>
          <t>forms.truongvietanh.com/mn-go-vap</t>
        </is>
      </c>
      <c r="H12" s="499" t="inlineStr">
        <is>
          <t>Lead → Tour cơ sở</t>
        </is>
      </c>
      <c r="I12" s="499" t="inlineStr">
        <is>
          <t>Meta (geo GV), Zalo</t>
        </is>
      </c>
      <c r="J12" s="499" t="inlineStr">
        <is>
          <t>20</t>
        </is>
      </c>
      <c r="K12" s="499" t="inlineStr">
        <is>
          <t>mn_gv_visitors</t>
        </is>
      </c>
      <c r="L12" s="499" t="inlineStr">
        <is>
          <t>⬜ Cần tạo</t>
        </is>
      </c>
    </row>
    <row r="13" ht="35.05" customHeight="1" s="248">
      <c r="A13" s="500" t="inlineStr">
        <is>
          <t>6</t>
        </is>
      </c>
      <c r="B13" s="500" t="inlineStr">
        <is>
          <t>MN Nhân Lễ — Campus Funnel</t>
        </is>
      </c>
      <c r="C13" s="500" t="inlineStr">
        <is>
          <t>FNL-MN-NL</t>
        </is>
      </c>
      <c r="D13" s="500" t="inlineStr">
        <is>
          <t>Mầm non</t>
        </is>
      </c>
      <c r="E13" s="500" t="inlineStr">
        <is>
          <t>MN Nhân Lễ</t>
        </is>
      </c>
      <c r="F13" s="500" t="inlineStr">
        <is>
          <t>5</t>
        </is>
      </c>
      <c r="G13" s="500" t="inlineStr">
        <is>
          <t>forms.truongvietanh.com/mn-nhan-le</t>
        </is>
      </c>
      <c r="H13" s="500" t="inlineStr">
        <is>
          <t>Lead → Tour cơ sở</t>
        </is>
      </c>
      <c r="I13" s="500" t="inlineStr">
        <is>
          <t>Meta (geo NL), Zalo</t>
        </is>
      </c>
      <c r="J13" s="500" t="inlineStr">
        <is>
          <t>15</t>
        </is>
      </c>
      <c r="K13" s="500" t="inlineStr">
        <is>
          <t>mn_nl_visitors</t>
        </is>
      </c>
      <c r="L13" s="500" t="inlineStr">
        <is>
          <t>⬜ Cần tạo</t>
        </is>
      </c>
    </row>
    <row r="14" ht="57.45" customHeight="1" s="248">
      <c r="A14" s="499" t="inlineStr">
        <is>
          <t>7</t>
        </is>
      </c>
      <c r="B14" s="499" t="inlineStr">
        <is>
          <t>MN+TH Thái Sơn — Campus Funnel</t>
        </is>
      </c>
      <c r="C14" s="499" t="inlineStr">
        <is>
          <t>FNL-TS</t>
        </is>
      </c>
      <c r="D14" s="499" t="inlineStr">
        <is>
          <t>MN+TH</t>
        </is>
      </c>
      <c r="E14" s="499" t="inlineStr">
        <is>
          <t>Thái Sơn</t>
        </is>
      </c>
      <c r="F14" s="499" t="inlineStr">
        <is>
          <t>5</t>
        </is>
      </c>
      <c r="G14" s="499" t="inlineStr">
        <is>
          <t>forms.truongvietanh.com/thai-son</t>
        </is>
      </c>
      <c r="H14" s="499" t="inlineStr">
        <is>
          <t>Lead → Tour cơ sở</t>
        </is>
      </c>
      <c r="I14" s="499" t="inlineStr">
        <is>
          <t>Meta (geo TS), Zalo</t>
        </is>
      </c>
      <c r="J14" s="499" t="inlineStr">
        <is>
          <t>15</t>
        </is>
      </c>
      <c r="K14" s="499" t="inlineStr">
        <is>
          <t>ts_visitors</t>
        </is>
      </c>
      <c r="L14" s="499" t="inlineStr">
        <is>
          <t>⬜ Cần tạo</t>
        </is>
      </c>
    </row>
    <row r="15">
      <c r="A15" s="500" t="inlineStr">
        <is>
          <t>8</t>
        </is>
      </c>
      <c r="B15" s="500" t="inlineStr">
        <is>
          <t>MN+TH Mekong Xanh — Campus Funnel</t>
        </is>
      </c>
      <c r="C15" s="500" t="inlineStr">
        <is>
          <t>FNL-MK</t>
        </is>
      </c>
      <c r="D15" s="500" t="inlineStr">
        <is>
          <t>MN+TH</t>
        </is>
      </c>
      <c r="E15" s="500" t="inlineStr">
        <is>
          <t>Mekong Xanh</t>
        </is>
      </c>
      <c r="F15" s="500" t="inlineStr">
        <is>
          <t>5</t>
        </is>
      </c>
      <c r="G15" s="500" t="inlineStr">
        <is>
          <t>forms.truongvietanh.com/mekong-xanh</t>
        </is>
      </c>
      <c r="H15" s="500" t="inlineStr">
        <is>
          <t>Lead → Tour cơ sở</t>
        </is>
      </c>
      <c r="I15" s="500" t="inlineStr">
        <is>
          <t>Meta (geo MK), Zalo</t>
        </is>
      </c>
      <c r="J15" s="500" t="inlineStr">
        <is>
          <t>15</t>
        </is>
      </c>
      <c r="K15" s="500" t="inlineStr">
        <is>
          <t>mk_visitors</t>
        </is>
      </c>
      <c r="L15" s="500" t="inlineStr">
        <is>
          <t>⬜ Cần tạo</t>
        </is>
      </c>
    </row>
    <row r="16">
      <c r="A16" s="499" t="inlineStr">
        <is>
          <t>9</t>
        </is>
      </c>
      <c r="B16" s="499" t="inlineStr">
        <is>
          <t>TH VA Gò Vấp — Campus Funnel</t>
        </is>
      </c>
      <c r="C16" s="499" t="inlineStr">
        <is>
          <t>FNL-TH-GV</t>
        </is>
      </c>
      <c r="D16" s="499" t="inlineStr">
        <is>
          <t>Tiểu học</t>
        </is>
      </c>
      <c r="E16" s="499" t="inlineStr">
        <is>
          <t>TH VA Gò Vấp</t>
        </is>
      </c>
      <c r="F16" s="499" t="inlineStr">
        <is>
          <t>5</t>
        </is>
      </c>
      <c r="G16" s="499" t="inlineStr">
        <is>
          <t>forms.truongvietanh.com/th-go-vap</t>
        </is>
      </c>
      <c r="H16" s="499" t="inlineStr">
        <is>
          <t>Lead → Tour cơ sở</t>
        </is>
      </c>
      <c r="I16" s="499" t="inlineStr">
        <is>
          <t>Meta (geo GV), Google</t>
        </is>
      </c>
      <c r="J16" s="499" t="inlineStr">
        <is>
          <t>20</t>
        </is>
      </c>
      <c r="K16" s="499" t="inlineStr">
        <is>
          <t>th_gv_visitors</t>
        </is>
      </c>
      <c r="L16" s="499" t="inlineStr">
        <is>
          <t>⬜ Cần tạo</t>
        </is>
      </c>
    </row>
    <row r="17" ht="15" customHeight="1" s="248">
      <c r="A17" s="500" t="inlineStr">
        <is>
          <t>10</t>
        </is>
      </c>
      <c r="B17" s="500" t="inlineStr">
        <is>
          <t>TH VA Bình Tân — Campus Funnel</t>
        </is>
      </c>
      <c r="C17" s="500" t="inlineStr">
        <is>
          <t>FNL-TH-BT</t>
        </is>
      </c>
      <c r="D17" s="500" t="inlineStr">
        <is>
          <t>Tiểu học</t>
        </is>
      </c>
      <c r="E17" s="500" t="inlineStr">
        <is>
          <t>TH VA Bình Tân</t>
        </is>
      </c>
      <c r="F17" s="500" t="inlineStr">
        <is>
          <t>5</t>
        </is>
      </c>
      <c r="G17" s="500" t="inlineStr">
        <is>
          <t>forms.truongvietanh.com/th-binh-tan</t>
        </is>
      </c>
      <c r="H17" s="500" t="inlineStr">
        <is>
          <t>Lead → Tour cơ sở</t>
        </is>
      </c>
      <c r="I17" s="500" t="inlineStr">
        <is>
          <t>Meta (geo BT), Zalo</t>
        </is>
      </c>
      <c r="J17" s="500" t="inlineStr">
        <is>
          <t>15</t>
        </is>
      </c>
      <c r="K17" s="500" t="inlineStr">
        <is>
          <t>th_bt_visitors</t>
        </is>
      </c>
      <c r="L17" s="500" t="inlineStr">
        <is>
          <t>⬜ Cần tạo</t>
        </is>
      </c>
    </row>
    <row r="18" ht="15" customHeight="1" s="248">
      <c r="A18" s="499" t="inlineStr">
        <is>
          <t>11</t>
        </is>
      </c>
      <c r="B18" s="499" t="inlineStr">
        <is>
          <t>Open Day T4 — Event Funnel</t>
        </is>
      </c>
      <c r="C18" s="499" t="inlineStr">
        <is>
          <t>FNL-OD-T4</t>
        </is>
      </c>
      <c r="D18" s="499" t="inlineStr">
        <is>
          <t>Tất cả</t>
        </is>
      </c>
      <c r="E18" s="499" t="inlineStr">
        <is>
          <t>GV + GV</t>
        </is>
      </c>
      <c r="F18" s="499" t="inlineStr">
        <is>
          <t>4</t>
        </is>
      </c>
      <c r="G18" s="499" t="inlineStr">
        <is>
          <t>forms.truongvietanh.com/open-day-thang-4</t>
        </is>
      </c>
      <c r="H18" s="499" t="inlineStr">
        <is>
          <t>Register → Attend</t>
        </is>
      </c>
      <c r="I18" s="499" t="inlineStr">
        <is>
          <t>All channels</t>
        </is>
      </c>
      <c r="J18" s="499" t="inlineStr">
        <is>
          <t>100 đăng ký</t>
        </is>
      </c>
      <c r="K18" s="499" t="inlineStr">
        <is>
          <t>od_t4_visitors, od_t4_registered</t>
        </is>
      </c>
      <c r="L18" s="499" t="inlineStr">
        <is>
          <t>⬜ Cần tạo</t>
        </is>
      </c>
    </row>
    <row r="19" ht="15" customHeight="1" s="248">
      <c r="A19" s="500" t="inlineStr">
        <is>
          <t>12</t>
        </is>
      </c>
      <c r="B19" s="500" t="inlineStr">
        <is>
          <t>Open Day T5 — Event Funnel</t>
        </is>
      </c>
      <c r="C19" s="500" t="inlineStr">
        <is>
          <t>FNL-OD-T5</t>
        </is>
      </c>
      <c r="D19" s="500" t="inlineStr">
        <is>
          <t>Tất cả</t>
        </is>
      </c>
      <c r="E19" s="500" t="inlineStr">
        <is>
          <t>4 cơ sở</t>
        </is>
      </c>
      <c r="F19" s="500" t="inlineStr">
        <is>
          <t>4</t>
        </is>
      </c>
      <c r="G19" s="500" t="inlineStr">
        <is>
          <t>forms.truongvietanh.com/open-day-thang-5</t>
        </is>
      </c>
      <c r="H19" s="500" t="inlineStr">
        <is>
          <t>Register → Attend</t>
        </is>
      </c>
      <c r="I19" s="500" t="inlineStr">
        <is>
          <t>All channels</t>
        </is>
      </c>
      <c r="J19" s="500" t="inlineStr">
        <is>
          <t>200 đăng ký</t>
        </is>
      </c>
      <c r="K19" s="500" t="inlineStr">
        <is>
          <t>od_t5_visitors, od_t5_registered</t>
        </is>
      </c>
      <c r="L19" s="500" t="inlineStr">
        <is>
          <t>⬜ Cần tạo</t>
        </is>
      </c>
    </row>
    <row r="20" ht="35.05" customHeight="1" s="248">
      <c r="A20" s="499" t="inlineStr">
        <is>
          <t>13</t>
        </is>
      </c>
      <c r="B20" s="499" t="inlineStr">
        <is>
          <t>Mega Open Day T6 — Event Funnel</t>
        </is>
      </c>
      <c r="C20" s="499" t="inlineStr">
        <is>
          <t>FNL-OD-T6</t>
        </is>
      </c>
      <c r="D20" s="499" t="inlineStr">
        <is>
          <t>Tất cả</t>
        </is>
      </c>
      <c r="E20" s="499" t="inlineStr">
        <is>
          <t>6 cơ sở</t>
        </is>
      </c>
      <c r="F20" s="499" t="inlineStr">
        <is>
          <t>5</t>
        </is>
      </c>
      <c r="G20" s="499" t="inlineStr">
        <is>
          <t>forms.truongvietanh.com/mega-open-day-2026</t>
        </is>
      </c>
      <c r="H20" s="499" t="inlineStr">
        <is>
          <t>Register → Attend</t>
        </is>
      </c>
      <c r="I20" s="499" t="inlineStr">
        <is>
          <t>All channels + Influencer</t>
        </is>
      </c>
      <c r="J20" s="499" t="inlineStr">
        <is>
          <t>500 đăng ký</t>
        </is>
      </c>
      <c r="K20" s="499" t="inlineStr">
        <is>
          <t>od_t6_visitors, od_t6_registered</t>
        </is>
      </c>
      <c r="L20" s="499" t="inlineStr">
        <is>
          <t>⬜ Cần tạo</t>
        </is>
      </c>
    </row>
    <row r="21" ht="35.05" customHeight="1" s="248">
      <c r="A21" s="500" t="inlineStr">
        <is>
          <t>14</t>
        </is>
      </c>
      <c r="B21" s="500" t="inlineStr">
        <is>
          <t>Open Day T8 — Final Event</t>
        </is>
      </c>
      <c r="C21" s="500" t="inlineStr">
        <is>
          <t>FNL-OD-T8</t>
        </is>
      </c>
      <c r="D21" s="500" t="inlineStr">
        <is>
          <t>Tất cả</t>
        </is>
      </c>
      <c r="E21" s="500" t="inlineStr">
        <is>
          <t>6 cơ sở</t>
        </is>
      </c>
      <c r="F21" s="500" t="inlineStr">
        <is>
          <t>4</t>
        </is>
      </c>
      <c r="G21" s="500" t="inlineStr">
        <is>
          <t>forms.truongvietanh.com/open-day-cuoi-cung</t>
        </is>
      </c>
      <c r="H21" s="500" t="inlineStr">
        <is>
          <t>Register → Attend</t>
        </is>
      </c>
      <c r="I21" s="500" t="inlineStr">
        <is>
          <t>All channels</t>
        </is>
      </c>
      <c r="J21" s="500" t="inlineStr">
        <is>
          <t>200 đăng ký</t>
        </is>
      </c>
      <c r="K21" s="500" t="inlineStr">
        <is>
          <t>od_t8_visitors</t>
        </is>
      </c>
      <c r="L21" s="500" t="inlineStr">
        <is>
          <t>⬜ Cần tạo</t>
        </is>
      </c>
    </row>
    <row r="22" ht="35.05" customHeight="1" s="248">
      <c r="A22" s="499" t="inlineStr">
        <is>
          <t>15</t>
        </is>
      </c>
      <c r="B22" s="499" t="inlineStr">
        <is>
          <t>Webinar Mầm Non</t>
        </is>
      </c>
      <c r="C22" s="499" t="inlineStr">
        <is>
          <t>FNL-WB-MN</t>
        </is>
      </c>
      <c r="D22" s="499" t="inlineStr">
        <is>
          <t>Mầm non</t>
        </is>
      </c>
      <c r="E22" s="499" t="inlineStr">
        <is>
          <t>N/A</t>
        </is>
      </c>
      <c r="F22" s="499" t="inlineStr">
        <is>
          <t>4</t>
        </is>
      </c>
      <c r="G22" s="499" t="inlineStr">
        <is>
          <t>forms.truongvietanh.com/webinar-mam-non</t>
        </is>
      </c>
      <c r="H22" s="499" t="inlineStr">
        <is>
          <t>Register → Attend → Lead</t>
        </is>
      </c>
      <c r="I22" s="499" t="inlineStr">
        <is>
          <t>Meta, Zalo, Email</t>
        </is>
      </c>
      <c r="J22" s="499" t="inlineStr">
        <is>
          <t>150 đăng ký</t>
        </is>
      </c>
      <c r="K22" s="499" t="inlineStr">
        <is>
          <t>wb_mn_visitors, wb_mn_reg</t>
        </is>
      </c>
      <c r="L22" s="499" t="inlineStr">
        <is>
          <t>⬜ Cần tạo</t>
        </is>
      </c>
    </row>
    <row r="23" ht="23.85" customHeight="1" s="248">
      <c r="A23" s="500" t="inlineStr">
        <is>
          <t>16</t>
        </is>
      </c>
      <c r="B23" s="500" t="inlineStr">
        <is>
          <t>Webinar Tiểu Học</t>
        </is>
      </c>
      <c r="C23" s="500" t="inlineStr">
        <is>
          <t>FNL-WB-TH</t>
        </is>
      </c>
      <c r="D23" s="500" t="inlineStr">
        <is>
          <t>Tiểu học</t>
        </is>
      </c>
      <c r="E23" s="500" t="inlineStr">
        <is>
          <t>N/A</t>
        </is>
      </c>
      <c r="F23" s="500" t="inlineStr">
        <is>
          <t>4</t>
        </is>
      </c>
      <c r="G23" s="500" t="inlineStr">
        <is>
          <t>forms.truongvietanh.com/webinar-tieu-hoc</t>
        </is>
      </c>
      <c r="H23" s="500" t="inlineStr">
        <is>
          <t>Register → Attend → Lead</t>
        </is>
      </c>
      <c r="I23" s="500" t="inlineStr">
        <is>
          <t>Meta, Google, Email</t>
        </is>
      </c>
      <c r="J23" s="500" t="inlineStr">
        <is>
          <t>120 đăng ký</t>
        </is>
      </c>
      <c r="K23" s="500" t="inlineStr">
        <is>
          <t>wb_th_visitors, wb_th_reg</t>
        </is>
      </c>
      <c r="L23" s="500" t="inlineStr">
        <is>
          <t>⬜ Cần tạo</t>
        </is>
      </c>
    </row>
    <row r="24" ht="15" customHeight="1" s="248">
      <c r="A24" s="499" t="inlineStr">
        <is>
          <t>17</t>
        </is>
      </c>
      <c r="B24" s="499" t="inlineStr">
        <is>
          <t>Webinar THCS+THPT</t>
        </is>
      </c>
      <c r="C24" s="499" t="inlineStr">
        <is>
          <t>FNL-WB-TH2</t>
        </is>
      </c>
      <c r="D24" s="499" t="inlineStr">
        <is>
          <t>THCS+THPT</t>
        </is>
      </c>
      <c r="E24" s="499" t="inlineStr">
        <is>
          <t>N/A</t>
        </is>
      </c>
      <c r="F24" s="499" t="inlineStr">
        <is>
          <t>4</t>
        </is>
      </c>
      <c r="G24" s="499" t="inlineStr">
        <is>
          <t>forms.truongvietanh.com/webinar-cap-2-3</t>
        </is>
      </c>
      <c r="H24" s="499" t="inlineStr">
        <is>
          <t>Register → Attend → Lead</t>
        </is>
      </c>
      <c r="I24" s="499" t="inlineStr">
        <is>
          <t>Meta, TikTok, Email</t>
        </is>
      </c>
      <c r="J24" s="499" t="inlineStr">
        <is>
          <t>100 đăng ký</t>
        </is>
      </c>
      <c r="K24" s="499" t="inlineStr">
        <is>
          <t>wb_th2_visitors, wb_th2_reg</t>
        </is>
      </c>
      <c r="L24" s="499" t="inlineStr">
        <is>
          <t>⬜ Cần tạo</t>
        </is>
      </c>
    </row>
    <row r="25" ht="35.05" customHeight="1" s="248">
      <c r="A25" s="500" t="inlineStr">
        <is>
          <t>18</t>
        </is>
      </c>
      <c r="B25" s="500" t="inlineStr">
        <is>
          <t>Học Bổng 2026</t>
        </is>
      </c>
      <c r="C25" s="500" t="inlineStr">
        <is>
          <t>FNL-HB</t>
        </is>
      </c>
      <c r="D25" s="500" t="inlineStr">
        <is>
          <t>Tất cả</t>
        </is>
      </c>
      <c r="E25" s="500" t="inlineStr">
        <is>
          <t>Tất cả</t>
        </is>
      </c>
      <c r="F25" s="500" t="inlineStr">
        <is>
          <t>5</t>
        </is>
      </c>
      <c r="G25" s="500" t="inlineStr">
        <is>
          <t>forms.truongvietanh.com/hoc-bong-2026</t>
        </is>
      </c>
      <c r="H25" s="500" t="inlineStr">
        <is>
          <t>Apply → Review → Award</t>
        </is>
      </c>
      <c r="I25" s="500" t="inlineStr">
        <is>
          <t>All channels</t>
        </is>
      </c>
      <c r="J25" s="500" t="inlineStr">
        <is>
          <t>300 đơn</t>
        </is>
      </c>
      <c r="K25" s="500" t="inlineStr">
        <is>
          <t>hb_visitors, hb_applied</t>
        </is>
      </c>
      <c r="L25" s="500" t="inlineStr">
        <is>
          <t>⬜ Cần tạo</t>
        </is>
      </c>
    </row>
    <row r="26" ht="35.05" customHeight="1" s="248">
      <c r="A26" s="499" t="inlineStr">
        <is>
          <t>19</t>
        </is>
      </c>
      <c r="B26" s="499" t="inlineStr">
        <is>
          <t>Referral Program</t>
        </is>
      </c>
      <c r="C26" s="499" t="inlineStr">
        <is>
          <t>FNL-REF</t>
        </is>
      </c>
      <c r="D26" s="499" t="inlineStr">
        <is>
          <t>Tất cả</t>
        </is>
      </c>
      <c r="E26" s="499" t="inlineStr">
        <is>
          <t>Tất cả</t>
        </is>
      </c>
      <c r="F26" s="499" t="inlineStr">
        <is>
          <t>3</t>
        </is>
      </c>
      <c r="G26" s="499" t="inlineStr">
        <is>
          <t>forms.truongvietanh.com/gioi-thieu-ban</t>
        </is>
      </c>
      <c r="H26" s="499" t="inlineStr">
        <is>
          <t>Refer → Enroll → Reward</t>
        </is>
      </c>
      <c r="I26" s="499" t="inlineStr">
        <is>
          <t>Email, Zalo, SMS</t>
        </is>
      </c>
      <c r="J26" s="499" t="inlineStr">
        <is>
          <t>200 referrals</t>
        </is>
      </c>
      <c r="K26" s="499" t="inlineStr">
        <is>
          <t>ref_visitors</t>
        </is>
      </c>
      <c r="L26" s="499" t="inlineStr">
        <is>
          <t>⬜ Cần tạo</t>
        </is>
      </c>
    </row>
    <row r="27" ht="23.85" customHeight="1" s="248">
      <c r="A27" s="500" t="inlineStr">
        <is>
          <t>20</t>
        </is>
      </c>
      <c r="B27" s="500" t="inlineStr">
        <is>
          <t>Hè Sôi Động T6 — Campaign</t>
        </is>
      </c>
      <c r="C27" s="500" t="inlineStr">
        <is>
          <t>FNL-HSD</t>
        </is>
      </c>
      <c r="D27" s="500" t="inlineStr">
        <is>
          <t>Tất cả</t>
        </is>
      </c>
      <c r="E27" s="500" t="inlineStr">
        <is>
          <t>Tất cả</t>
        </is>
      </c>
      <c r="F27" s="500" t="inlineStr">
        <is>
          <t>4</t>
        </is>
      </c>
      <c r="G27" s="500" t="inlineStr">
        <is>
          <t>forms.truongvietanh.com/he-soi-dong-2026</t>
        </is>
      </c>
      <c r="H27" s="500" t="inlineStr">
        <is>
          <t>Engage → Lead → Tour</t>
        </is>
      </c>
      <c r="I27" s="500" t="inlineStr">
        <is>
          <t>TikTok, Meta, IG</t>
        </is>
      </c>
      <c r="J27" s="500" t="inlineStr">
        <is>
          <t>200 leads</t>
        </is>
      </c>
      <c r="K27" s="500" t="inlineStr">
        <is>
          <t>hsd_visitors, hsd_engaged</t>
        </is>
      </c>
      <c r="L27" s="500" t="inlineStr">
        <is>
          <t>⬜ Cần tạo</t>
        </is>
      </c>
    </row>
    <row r="28" ht="23.85" customHeight="1" s="248">
      <c r="A28" s="499" t="inlineStr">
        <is>
          <t>21</t>
        </is>
      </c>
      <c r="B28" s="499" t="inlineStr">
        <is>
          <t>Chuẩn Bị Vào Lớp 1 — Content</t>
        </is>
      </c>
      <c r="C28" s="499" t="inlineStr">
        <is>
          <t>FNL-L1</t>
        </is>
      </c>
      <c r="D28" s="499" t="inlineStr">
        <is>
          <t>TH</t>
        </is>
      </c>
      <c r="E28" s="499" t="inlineStr">
        <is>
          <t>Tất cả</t>
        </is>
      </c>
      <c r="F28" s="499" t="inlineStr">
        <is>
          <t>4</t>
        </is>
      </c>
      <c r="G28" s="499" t="inlineStr">
        <is>
          <t>forms.truongvietanh.com/chuan-bi-vao-lop-1</t>
        </is>
      </c>
      <c r="H28" s="499" t="inlineStr">
        <is>
          <t>Download guide → Lead → Tour</t>
        </is>
      </c>
      <c r="I28" s="499" t="inlineStr">
        <is>
          <t>Google SEO, Meta</t>
        </is>
      </c>
      <c r="J28" s="499" t="inlineStr">
        <is>
          <t>100 downloads</t>
        </is>
      </c>
      <c r="K28" s="499" t="inlineStr">
        <is>
          <t>l1_visitors, l1_downloaded</t>
        </is>
      </c>
      <c r="L28" s="499" t="inlineStr">
        <is>
          <t>⬜ Cần tạo</t>
        </is>
      </c>
    </row>
    <row r="29" ht="15" customHeight="1" s="248">
      <c r="A29" s="500" t="inlineStr">
        <is>
          <t>22</t>
        </is>
      </c>
      <c r="B29" s="500" t="inlineStr">
        <is>
          <t>Ưu Đãi Cuối Mùa T8 — Urgency</t>
        </is>
      </c>
      <c r="C29" s="500" t="inlineStr">
        <is>
          <t>FNL-UD</t>
        </is>
      </c>
      <c r="D29" s="500" t="inlineStr">
        <is>
          <t>Tất cả</t>
        </is>
      </c>
      <c r="E29" s="500" t="inlineStr">
        <is>
          <t>Tất cả</t>
        </is>
      </c>
      <c r="F29" s="500" t="inlineStr">
        <is>
          <t>3</t>
        </is>
      </c>
      <c r="G29" s="500" t="inlineStr">
        <is>
          <t>forms.truongvietanh.com/uu-dai-cuoi-mua</t>
        </is>
      </c>
      <c r="H29" s="500" t="inlineStr">
        <is>
          <t>Urgency → Enroll NOW</t>
        </is>
      </c>
      <c r="I29" s="500" t="inlineStr">
        <is>
          <t>Email, Zalo, Retargeting</t>
        </is>
      </c>
      <c r="J29" s="500" t="inlineStr">
        <is>
          <t>150 leads</t>
        </is>
      </c>
      <c r="K29" s="500" t="inlineStr">
        <is>
          <t>ud_visitors</t>
        </is>
      </c>
      <c r="L29" s="500" t="inlineStr">
        <is>
          <t>⬜ Cần tạo</t>
        </is>
      </c>
    </row>
    <row r="30">
      <c r="A30" s="499" t="inlineStr">
        <is>
          <t>23</t>
        </is>
      </c>
      <c r="B30" s="499" t="inlineStr">
        <is>
          <t>Tour Trường Online — Virtual</t>
        </is>
      </c>
      <c r="C30" s="499" t="inlineStr">
        <is>
          <t>FNL-TOUR</t>
        </is>
      </c>
      <c r="D30" s="499" t="inlineStr">
        <is>
          <t>Tất cả</t>
        </is>
      </c>
      <c r="E30" s="499" t="inlineStr">
        <is>
          <t>Tất cả</t>
        </is>
      </c>
      <c r="F30" s="499" t="inlineStr">
        <is>
          <t>4</t>
        </is>
      </c>
      <c r="G30" s="499" t="inlineStr">
        <is>
          <t>forms.truongvietanh.com/tour-truong-online</t>
        </is>
      </c>
      <c r="H30" s="499" t="inlineStr">
        <is>
          <t>Watch → Book tour thật</t>
        </is>
      </c>
      <c r="I30" s="499" t="inlineStr">
        <is>
          <t>YouTube Ads, Meta</t>
        </is>
      </c>
      <c r="J30" s="499" t="inlineStr">
        <is>
          <t>200 views</t>
        </is>
      </c>
      <c r="K30" s="499" t="inlineStr">
        <is>
          <t>tour_vr_visitors</t>
        </is>
      </c>
      <c r="L30" s="499" t="inlineStr">
        <is>
          <t>⬜ Cần tạo</t>
        </is>
      </c>
    </row>
    <row r="31">
      <c r="A31" s="500" t="inlineStr">
        <is>
          <t>24</t>
        </is>
      </c>
      <c r="B31" s="500" t="inlineStr">
        <is>
          <t>Khai Giảng 2026 — Welcome</t>
        </is>
      </c>
      <c r="C31" s="500" t="inlineStr">
        <is>
          <t>FNL-KG</t>
        </is>
      </c>
      <c r="D31" s="500" t="inlineStr">
        <is>
          <t>Tất cả</t>
        </is>
      </c>
      <c r="E31" s="500" t="inlineStr">
        <is>
          <t>Tất cả</t>
        </is>
      </c>
      <c r="F31" s="500" t="inlineStr">
        <is>
          <t>3</t>
        </is>
      </c>
      <c r="G31" s="500" t="inlineStr">
        <is>
          <t>forms.truongvietanh.com/khai-giang-2026</t>
        </is>
      </c>
      <c r="H31" s="500" t="inlineStr">
        <is>
          <t>Info → Confirm → Welcome</t>
        </is>
      </c>
      <c r="I31" s="500" t="inlineStr">
        <is>
          <t>Email, Zalo, SMS</t>
        </is>
      </c>
      <c r="J31" s="500" t="inlineStr">
        <is>
          <t>All enrolled</t>
        </is>
      </c>
      <c r="K31" s="500" t="inlineStr">
        <is>
          <t>kg_visitors</t>
        </is>
      </c>
      <c r="L31" s="500" t="inlineStr">
        <is>
          <t>⬜ Cần tạo</t>
        </is>
      </c>
    </row>
    <row r="34">
      <c r="A34" s="494" t="inlineStr">
        <is>
          <t>B. CHI TIẾT TỪNG TRANG — PHỄU "TUYỂN SINH MẦM NON" (FNL-MN-MAIN)</t>
        </is>
      </c>
    </row>
    <row r="35">
      <c r="A35" s="493" t="inlineStr">
        <is>
          <t>Đây là mẫu chi tiết cho 1 phễu. Các phễu khác có cấu trúc tương tự, customize theo cấp học/cơ sở.</t>
        </is>
      </c>
    </row>
    <row r="37">
      <c r="A37" s="495" t="inlineStr">
        <is>
          <t>Trang</t>
        </is>
      </c>
      <c r="B37" s="495" t="inlineStr">
        <is>
          <t>URL đầy đủ</t>
        </is>
      </c>
      <c r="C37" s="495" t="inlineStr">
        <is>
          <t>Tên trang (Page Title)</t>
        </is>
      </c>
      <c r="D37" s="495" t="inlineStr">
        <is>
          <t>Mục đích</t>
        </is>
      </c>
      <c r="E37" s="495" t="inlineStr">
        <is>
          <t>Nội dung chính trên trang</t>
        </is>
      </c>
      <c r="F37" s="495" t="inlineStr">
        <is>
          <t>Form fields</t>
        </is>
      </c>
      <c r="G37" s="495" t="inlineStr">
        <is>
          <t>CTA Button</t>
        </is>
      </c>
      <c r="H37" s="495" t="inlineStr">
        <is>
          <t>Pixel Events fired</t>
        </is>
      </c>
      <c r="I37" s="495" t="inlineStr">
        <is>
          <t>Remarketing Audience tạo</t>
        </is>
      </c>
      <c r="J37" s="495" t="inlineStr">
        <is>
          <t>Next step nếu submit</t>
        </is>
      </c>
      <c r="K37" s="495" t="inlineStr">
        <is>
          <t>Next step nếu KHÔNG submit</t>
        </is>
      </c>
      <c r="L37" s="495" t="inlineStr">
        <is>
          <t>A/B Test variants</t>
        </is>
      </c>
      <c r="M37" s="495" t="inlineStr">
        <is>
          <t>Ghi chú</t>
        </is>
      </c>
    </row>
    <row r="38">
      <c r="A38" s="499" t="inlineStr">
        <is>
          <t>Trang 1: Landing Page chính</t>
        </is>
      </c>
      <c r="B38" s="499" t="inlineStr">
        <is>
          <t>https://forms.truongvietanh.com/tuyen-sinh-mam-non</t>
        </is>
      </c>
      <c r="C38" s="499" t="inlineStr">
        <is>
          <t>Tuyển Sinh Mầm Non 2026 — Trường Việt Anh | Nơi Con Yêu Lớn Khôn</t>
        </is>
      </c>
      <c r="D38" s="499" t="inlineStr">
        <is>
          <t>Thu hút → Giữ chân → Điền form</t>
        </is>
      </c>
      <c r="E38" s="499" t="inlineStr">
        <is>
          <t>Hero banner (hình HS mầm non vui vẻ) + Headline "Cho Con Khởi Đầu Tốt Nhất"
→ 3 USP icons (An toàn, Chương trình quốc tế, Giáo viên tận tâm)
→ Video tour trường 60s (autoplay muted)
→ 6 cơ sở trên bản đồ (click → campus page)
→ Chương trình học: Montessori, STEM, Song ngữ
→ 3 Testimonials PH (video + quote)
→ FAQ accordion (5 câu hỏi phổ biến)
→ CTA form cuối trang</t>
        </is>
      </c>
      <c r="F38" s="499" t="inlineStr">
        <is>
          <t>Họ tên PH*, SĐT*, Email, Tên bé, Năm sinh bé, Cơ sở quan tâm (dropdown 6), Nguồn biết (hidden UTM)</t>
        </is>
      </c>
      <c r="G38" s="499" t="inlineStr">
        <is>
          <t>ĐĂNG KÝ TƯ VẤN MIỄN PHÍ →</t>
        </is>
      </c>
      <c r="H38" s="499" t="inlineStr">
        <is>
          <t>PageView, ViewContent, InitiateCheckout (scroll 70%), Lead (form submit)</t>
        </is>
      </c>
      <c r="I38" s="499" t="inlineStr">
        <is>
          <t>mn_page_visitors (PageView)
mn_page_engaged (ViewContent, &gt;30s)
mn_form_started (InitiateCheckout)
mn_form_complete (Lead)</t>
        </is>
      </c>
      <c r="J38" s="499" t="inlineStr">
        <is>
          <t>→ Trang 2: Thank You + Booking Tour</t>
        </is>
      </c>
      <c r="K38" s="499" t="inlineStr">
        <is>
          <t>→ Retarget sau 1 ngày: Ad "Bạn đã xem chương trình MN — Đặt lịch tham quan ngay"
→ KHÔNG quay lại trang 1, đưa sang Trang 3 (Testimonial)</t>
        </is>
      </c>
      <c r="L38" s="499" t="inlineStr">
        <is>
          <t>Variant A: Hero = Video
Variant B: Hero = Carousel hình
Test 2 tuần, 50/50 traffic</t>
        </is>
      </c>
      <c r="M38" s="499" t="inlineStr">
        <is>
          <t>Mobile-first, load &lt;3s, Lazy load images</t>
        </is>
      </c>
    </row>
    <row r="39">
      <c r="A39" s="500" t="inlineStr">
        <is>
          <t>Trang 2: Thank You + Book Tour</t>
        </is>
      </c>
      <c r="B39" s="500" t="inlineStr">
        <is>
          <t>https://forms.truongvietanh.com/tuyen-sinh-mam-non/cam-on</t>
        </is>
      </c>
      <c r="C39" s="500" t="inlineStr">
        <is>
          <t>Cảm Ơn Bạn! Đặt Lịch Tham Quan Trường Ngay</t>
        </is>
      </c>
      <c r="D39" s="500" t="inlineStr">
        <is>
          <t>Confirm lead + Book tour ngay</t>
        </is>
      </c>
      <c r="E39" s="500" t="inlineStr">
        <is>
          <t>Heading: "Cảm ơn [Tên PH]! Chúng tôi sẽ liên hệ trong 30 phút"
→ GHL Calendar embed: chọn cơ sở → chọn ngày/giờ tour
→ Checklist "Khi đến tham quan, bạn sẽ được:"
→ Video "Một buổi tham quan tại Việt Anh" 2 phút
→ Social proof: "200+ PH đã đăng ký tham quan tháng này"
→ Share buttons: FB, Zalo</t>
        </is>
      </c>
      <c r="F39" s="500" t="inlineStr">
        <is>
          <t>Cơ sở (pre-filled), Ngày tour, Giờ tour, Số người đi cùng</t>
        </is>
      </c>
      <c r="G39" s="500" t="inlineStr">
        <is>
          <t>ĐẶT LỊCH THAM QUAN →</t>
        </is>
      </c>
      <c r="H39" s="500" t="inlineStr">
        <is>
          <t>Purchase (=Tour booked), Schedule</t>
        </is>
      </c>
      <c r="I39" s="500" t="inlineStr">
        <is>
          <t>mn_tour_booked (Purchase)</t>
        </is>
      </c>
      <c r="J39" s="500" t="inlineStr">
        <is>
          <t>→ Trang 2b: Tour Confirmation + Add to Calendar</t>
        </is>
      </c>
      <c r="K39" s="500" t="inlineStr">
        <is>
          <t>→ Nếu không book: GHL workflow Day+1 Email nhắc, Day+3 SMS, Day+5 Zalo</t>
        </is>
      </c>
      <c r="L39" s="500" t="inlineStr">
        <is>
          <t>Variant A: Calendar trước
Variant B: Video trước rồi Calendar</t>
        </is>
      </c>
      <c r="M39" s="500" t="inlineStr">
        <is>
          <t>Pre-fill tên PH từ form trước</t>
        </is>
      </c>
    </row>
    <row r="40">
      <c r="A40" s="499" t="inlineStr">
        <is>
          <t>Trang 2b: Tour Confirmation</t>
        </is>
      </c>
      <c r="B40" s="499" t="inlineStr">
        <is>
          <t>https://forms.truongvietanh.com/tuyen-sinh-mam-non/xac-nhan-tour</t>
        </is>
      </c>
      <c r="C40" s="499" t="inlineStr">
        <is>
          <t>Xác Nhận Lịch Tham Quan — [Cơ sở] — [Ngày/Giờ]</t>
        </is>
      </c>
      <c r="D40" s="499" t="inlineStr">
        <is>
          <t>Confirm + prepare PH cho tour</t>
        </is>
      </c>
      <c r="E40" s="499" t="inlineStr">
        <is>
          <t>Heading: "Tuyệt vời! Hẹn gặp bạn tại [Cơ sở] vào [Ngày/Giờ]"
→ Bản đồ Google Maps cơ sở
→ Hướng dẫn đường đi + chỗ đậu xe
→ Checklist chuẩn bị: mang theo CMND, bé đi cùng
→ Add to Google Calendar / iCal buttons
→ Zalo OA QR code: "Follow để nhận nhắc nhở"</t>
        </is>
      </c>
      <c r="F40" s="499" t="inlineStr">
        <is>
          <t>Không có form (confirmation only)</t>
        </is>
      </c>
      <c r="G40" s="499" t="inlineStr">
        <is>
          <t>THÊM VÀO LỊCH →</t>
        </is>
      </c>
      <c r="H40" s="499" t="inlineStr">
        <is>
          <t>CompleteRegistration</t>
        </is>
      </c>
      <c r="I40" s="499" t="inlineStr">
        <is>
          <t>mn_tour_confirmed</t>
        </is>
      </c>
      <c r="J40" s="499" t="inlineStr">
        <is>
          <t>→ GHL: -24h SMS reminder, -2h Zalo reminder</t>
        </is>
      </c>
      <c r="K40" s="499" t="inlineStr">
        <is>
          <t>→ Nếu no-show: Day+1 email "Rất tiếc bạn không đến — Đặt lại lịch?"</t>
        </is>
      </c>
      <c r="L40" s="499" t="inlineStr">
        <is>
          <t>N/A</t>
        </is>
      </c>
      <c r="M40" s="499" t="inlineStr">
        <is>
          <t>Auto-generate từ GHL calendar data</t>
        </is>
      </c>
    </row>
    <row r="41">
      <c r="A41" s="500" t="inlineStr">
        <is>
          <t>Trang 3: Testimonial Social Proof</t>
        </is>
      </c>
      <c r="B41" s="500" t="inlineStr">
        <is>
          <t>https://forms.truongvietanh.com/tuyen-sinh-mam-non/phu-huynh-noi-gi</t>
        </is>
      </c>
      <c r="C41" s="500" t="inlineStr">
        <is>
          <t>Phụ Huynh Nói Gì Về Trường Việt Anh? — Mầm Non</t>
        </is>
      </c>
      <c r="D41" s="500" t="inlineStr">
        <is>
          <t>Build trust cho leads đã visit trang 1 nhưng chưa submit form</t>
        </is>
      </c>
      <c r="E41" s="500" t="inlineStr">
        <is>
          <t>Heading: "Hơn 5,000 Phụ Huynh Đã Tin Tưởng Chọn Việt Anh"
→ 10 video testimonials PH (30-60s mỗi video)
→ 20 quote cards với hình PH + con
→ Rating stars: 4.8/5 (500+ đánh giá)
→ Before/After stories: "Bé nhút nhát → Tự tin sau 3 tháng"
→ CTA form: "Bạn cũng muốn con trải nghiệm?"</t>
        </is>
      </c>
      <c r="F41" s="500" t="inlineStr">
        <is>
          <t>Họ tên PH*, SĐT*, Cấp học quan tâm</t>
        </is>
      </c>
      <c r="G41" s="500" t="inlineStr">
        <is>
          <t>ĐĂNG KÝ TRẢI NGHIỆM →</t>
        </is>
      </c>
      <c r="H41" s="500" t="inlineStr">
        <is>
          <t>ViewContent, Lead (form submit)</t>
        </is>
      </c>
      <c r="I41" s="500" t="inlineStr">
        <is>
          <t>mn_testimonial_viewers</t>
        </is>
      </c>
      <c r="J41" s="500" t="inlineStr">
        <is>
          <t>→ Trang 2: Thank You + Book Tour</t>
        </is>
      </c>
      <c r="K41" s="500" t="inlineStr">
        <is>
          <t>→ Retarget: Ad "Xem thêm câu chuyện PH" → Trang 4 (Chương trình)</t>
        </is>
      </c>
      <c r="L41" s="500" t="inlineStr">
        <is>
          <t>Variant A: Video testimonials trước
Variant B: Quote cards trước</t>
        </is>
      </c>
      <c r="M41" s="500" t="inlineStr">
        <is>
          <t>REMARKETING PAGE — chỉ cho người đã visit Trang 1 mà chưa submit</t>
        </is>
      </c>
    </row>
    <row r="42">
      <c r="A42" s="499" t="inlineStr">
        <is>
          <t>Trang 4: Chương Trình Học Chi Tiết</t>
        </is>
      </c>
      <c r="B42" s="499" t="inlineStr">
        <is>
          <t>https://forms.truongvietanh.com/tuyen-sinh-mam-non/chuong-trinh</t>
        </is>
      </c>
      <c r="C42" s="499" t="inlineStr">
        <is>
          <t>Chương Trình Mầm Non Quốc Tế — Montessori, STEM, Song Ngữ</t>
        </is>
      </c>
      <c r="D42" s="499" t="inlineStr">
        <is>
          <t>Cung cấp thông tin sâu cho PH đang so sánh trường</t>
        </is>
      </c>
      <c r="E42" s="499" t="inlineStr">
        <is>
          <t>Heading: "Chương Trình Được Thiết Kế Riêng Cho Từng Giai Đoạn Phát Triển"
→ Infographic: Lộ trình 3 năm MN (Nhà trẻ → Mầm → Lá)
→ 5 tab content: Montessori, STEM, Song ngữ, Kỹ năng sống, Thể chất
→ So sánh bảng: Việt Anh vs Trường công vs Trường tư khác
→ Download PDF: "Cẩm Nang Chọn Trường Mầm Non" (lead magnet)
→ CTA: "Đăng ký để nhận tư vấn chương trình phù hợp cho bé"</t>
        </is>
      </c>
      <c r="F42" s="499" t="inlineStr">
        <is>
          <t>Họ tên PH*, SĐT*, Email*, Tên bé, Tuổi bé, Chương trình quan tâm (multi-select)</t>
        </is>
      </c>
      <c r="G42" s="499" t="inlineStr">
        <is>
          <t>TẢI CẨM NANG + TƯ VẤN →</t>
        </is>
      </c>
      <c r="H42" s="499" t="inlineStr">
        <is>
          <t>ViewContent, AddToCart (download PDF), Lead (form)</t>
        </is>
      </c>
      <c r="I42" s="499" t="inlineStr">
        <is>
          <t>mn_program_viewers
mn_pdf_downloaded (AddToCart)</t>
        </is>
      </c>
      <c r="J42" s="499" t="inlineStr">
        <is>
          <t>→ Trang 2: Thank You + Book Tour (nếu form)
→ Email: Gửi PDF + Nurture sequence</t>
        </is>
      </c>
      <c r="K42" s="499" t="inlineStr">
        <is>
          <t>→ Retarget: Ad "So sánh chương trình — Tham quan để cảm nhận" → Trang 5</t>
        </is>
      </c>
      <c r="L42" s="499" t="inlineStr">
        <is>
          <t>Variant A: Tab content
Variant B: Long scroll</t>
        </is>
      </c>
      <c r="M42" s="499" t="inlineStr">
        <is>
          <t>REMARKETING PAGE — cho người đã xem Trang 3 hoặc Trang 1 lần 2+</t>
        </is>
      </c>
    </row>
    <row r="43">
      <c r="A43" s="500" t="inlineStr">
        <is>
          <t>Trang 5: Học Phí &amp; Ưu Đãi</t>
        </is>
      </c>
      <c r="B43" s="500" t="inlineStr">
        <is>
          <t>https://forms.truongvietanh.com/tuyen-sinh-mam-non/hoc-phi</t>
        </is>
      </c>
      <c r="C43" s="500" t="inlineStr">
        <is>
          <t>Học Phí Mầm Non 2026 — Ưu Đãi Đặc Biệt Khi Đăng Ký Sớm</t>
        </is>
      </c>
      <c r="D43" s="500" t="inlineStr">
        <is>
          <t>Cuối funnel — quyết định tài chính, push enrollment</t>
        </is>
      </c>
      <c r="E43" s="500" t="inlineStr">
        <is>
          <t>Heading: "Đầu Tư Cho Con — Học Phí Minh Bạch, Ưu Đãi Hấp Dẫn"
→ Bảng học phí theo cơ sở (6 cơ sở)
→ Phí bao gồm: ăn, xe, đồng phục, sách, ngoại khóa
→ Ưu đãi: Giảm 10% nếu đăng ký trước 30/6, Giảm 5% con thứ 2
→ Phương thức thanh toán: trả góp, học kỳ, năm
→ Học bổng: link đến FNL-HB
→ Countdown timer: "Ưu đãi còn [X] ngày"
→ CTA: "Đăng ký ngay để nhận ưu đãi"</t>
        </is>
      </c>
      <c r="F43" s="500" t="inlineStr">
        <is>
          <t>Họ tên PH*, SĐT*, Cơ sở*, Cấp học*, Phương thức TT, Mã giới thiệu (optional)</t>
        </is>
      </c>
      <c r="G43" s="500" t="inlineStr">
        <is>
          <t>ĐĂNG KÝ NHẬN ƯU ĐÃI →</t>
        </is>
      </c>
      <c r="H43" s="500" t="inlineStr">
        <is>
          <t>ViewContent, AddPaymentInfo (view học phí), Lead (form), Purchase (nếu đặt cọc online)</t>
        </is>
      </c>
      <c r="I43" s="500" t="inlineStr">
        <is>
          <t>mn_tuition_viewers
mn_tuition_engaged (&gt;60s)</t>
        </is>
      </c>
      <c r="J43" s="500" t="inlineStr">
        <is>
          <t>→ Trang 2: Thank You + Book Tour
→ GHL: High-priority lead, auto-call trong 15 phút</t>
        </is>
      </c>
      <c r="K43" s="500" t="inlineStr">
        <is>
          <t>→ Retarget: Ad "Chỉ còn [X] ngày ưu đãi — Đăng ký ngay!" (urgency)</t>
        </is>
      </c>
      <c r="L43" s="500" t="inlineStr">
        <is>
          <t>Variant A: Countdown timer
Variant B: Social proof counter</t>
        </is>
      </c>
      <c r="M43" s="500" t="inlineStr">
        <is>
          <t>BOTTOM FUNNEL — người xem trang này = ý định cao, ưu tiên follow up nhanh</t>
        </is>
      </c>
    </row>
    <row r="46">
      <c r="A46" s="494" t="inlineStr">
        <is>
          <t>C. REMARKETING SEQUENCES — LOGIC CHUYỂN TRANG PHỄU</t>
        </is>
      </c>
    </row>
    <row r="47">
      <c r="A47" s="522" t="inlineStr">
        <is>
          <t>Nguyên tắc vàng: KHÔNG BAO GIỜ cho khách hàng xem lại trang họ đã thấy. Luôn đưa sang trang tiếp theo trong phễu.</t>
        </is>
      </c>
    </row>
    <row r="49">
      <c r="A49" s="495" t="inlineStr">
        <is>
          <t>Hành vi khách hàng</t>
        </is>
      </c>
      <c r="B49" s="495" t="inlineStr">
        <is>
          <t>Audience tạo</t>
        </is>
      </c>
      <c r="C49" s="495" t="inlineStr">
        <is>
          <t>Audience loại trừ (Exclude)</t>
        </is>
      </c>
      <c r="D49" s="495" t="inlineStr">
        <is>
          <t>Ads hiển thị</t>
        </is>
      </c>
      <c r="E49" s="495" t="inlineStr">
        <is>
          <t>Landing page đích</t>
        </is>
      </c>
      <c r="F49" s="495" t="inlineStr">
        <is>
          <t>Thời gian trigger</t>
        </is>
      </c>
      <c r="G49" s="495" t="inlineStr">
        <is>
          <t>Budget/ngày</t>
        </is>
      </c>
      <c r="H49" s="495" t="inlineStr">
        <is>
          <t>Kênh chạy</t>
        </is>
      </c>
      <c r="I49" s="495" t="inlineStr">
        <is>
          <t>Duration</t>
        </is>
      </c>
      <c r="J49" s="495" t="inlineStr">
        <is>
          <t>Ghi chú</t>
        </is>
      </c>
    </row>
    <row r="50">
      <c r="A50" s="499" t="inlineStr">
        <is>
          <t>Đã vào Trang 1 (LP chính) nhưng CHƯA điền form</t>
        </is>
      </c>
      <c r="B50" s="499" t="inlineStr">
        <is>
          <t>mn_page_visitors</t>
        </is>
      </c>
      <c r="C50" s="499" t="inlineStr">
        <is>
          <t>mn_form_complete (đã điền form)
mn_tour_booked (đã book tour)</t>
        </is>
      </c>
      <c r="D50" s="499" t="inlineStr">
        <is>
          <t>Ad: "Hơn 5,000 PH đã tin tưởng — Xem họ nói gì"
Format: Video testimonial 30s</t>
        </is>
      </c>
      <c r="E50" s="499" t="inlineStr">
        <is>
          <t>Trang 3: forms.truongvietanh.com/tuyen-sinh-mam-non/phu-huynh-noi-gi</t>
        </is>
      </c>
      <c r="F50" s="499" t="inlineStr">
        <is>
          <t>Sau 1 ngày (24h)</t>
        </is>
      </c>
      <c r="G50" s="499" t="inlineStr">
        <is>
          <t>200,000 VND</t>
        </is>
      </c>
      <c r="H50" s="499" t="inlineStr">
        <is>
          <t>Meta Ads, TikTok</t>
        </is>
      </c>
      <c r="I50" s="499" t="inlineStr">
        <is>
          <t>14 ngày</t>
        </is>
      </c>
      <c r="J50" s="499" t="inlineStr">
        <is>
          <t>KHÔNG đưa về Trang 1. Đưa sang Testimonial để build trust</t>
        </is>
      </c>
    </row>
    <row r="51">
      <c r="A51" s="500" t="inlineStr">
        <is>
          <t>Đã vào Trang 1 LẦN 2+ (return visitor) nhưng chưa submit</t>
        </is>
      </c>
      <c r="B51" s="500" t="inlineStr">
        <is>
          <t>mn_page_visitors (frequency ≥2)</t>
        </is>
      </c>
      <c r="C51" s="500" t="inlineStr">
        <is>
          <t>mn_form_complete</t>
        </is>
      </c>
      <c r="D51" s="500" t="inlineStr">
        <is>
          <t>Ad: "Chương trình MN Quốc Tế — So sánh chi tiết"
Format: Carousel 5 slides</t>
        </is>
      </c>
      <c r="E51" s="500" t="inlineStr">
        <is>
          <t>Trang 4: forms.truongvietanh.com/tuyen-sinh-mam-non/chuong-trinh</t>
        </is>
      </c>
      <c r="F51" s="500" t="inlineStr">
        <is>
          <t>Ngay lập tức</t>
        </is>
      </c>
      <c r="G51" s="500" t="inlineStr">
        <is>
          <t>150,000 VND</t>
        </is>
      </c>
      <c r="H51" s="500" t="inlineStr">
        <is>
          <t>Meta Ads</t>
        </is>
      </c>
      <c r="I51" s="500" t="inlineStr">
        <is>
          <t>14 ngày</t>
        </is>
      </c>
      <c r="J51" s="500" t="inlineStr">
        <is>
          <t>Return visitor = quan tâm cao. Cung cấp thông tin sâu hơn</t>
        </is>
      </c>
    </row>
    <row r="52">
      <c r="A52" s="499" t="inlineStr">
        <is>
          <t>Đã xem Trang 3 (Testimonial) nhưng chưa submit form</t>
        </is>
      </c>
      <c r="B52" s="499" t="inlineStr">
        <is>
          <t>mn_testimonial_viewers</t>
        </is>
      </c>
      <c r="C52" s="499" t="inlineStr">
        <is>
          <t>mn_form_complete
mn_page_visitors (Trang 4 đã xem)</t>
        </is>
      </c>
      <c r="D52" s="499" t="inlineStr">
        <is>
          <t>Ad: "So sánh chương trình — Montessori vs STEM vs Song ngữ"
Format: Infographic carousel</t>
        </is>
      </c>
      <c r="E52" s="499" t="inlineStr">
        <is>
          <t>Trang 4: forms.truongvietanh.com/tuyen-sinh-mam-non/chuong-trinh</t>
        </is>
      </c>
      <c r="F52" s="499" t="inlineStr">
        <is>
          <t>Sau 2 ngày</t>
        </is>
      </c>
      <c r="G52" s="499" t="inlineStr">
        <is>
          <t>150,000 VND</t>
        </is>
      </c>
      <c r="H52" s="499" t="inlineStr">
        <is>
          <t>Meta Ads</t>
        </is>
      </c>
      <c r="I52" s="499" t="inlineStr">
        <is>
          <t>14 ngày</t>
        </is>
      </c>
      <c r="J52" s="499" t="inlineStr">
        <is>
          <t>Đã tin tưởng (xem testimonial) → giờ cần thông tin chương trình</t>
        </is>
      </c>
    </row>
    <row r="53">
      <c r="A53" s="500" t="inlineStr">
        <is>
          <t>Đã xem Trang 4 (Chương trình) nhưng chưa submit</t>
        </is>
      </c>
      <c r="B53" s="500" t="inlineStr">
        <is>
          <t>mn_program_viewers</t>
        </is>
      </c>
      <c r="C53" s="500" t="inlineStr">
        <is>
          <t>mn_form_complete
mn_tuition_viewers</t>
        </is>
      </c>
      <c r="D53" s="500" t="inlineStr">
        <is>
          <t>Ad: "Học phí MN 2026 — Ưu đãi giảm 10% đăng ký sớm"
Format: Single image + countdown</t>
        </is>
      </c>
      <c r="E53" s="500" t="inlineStr">
        <is>
          <t>Trang 5: forms.truongvietanh.com/tuyen-sinh-mam-non/hoc-phi</t>
        </is>
      </c>
      <c r="F53" s="500" t="inlineStr">
        <is>
          <t>Sau 2 ngày</t>
        </is>
      </c>
      <c r="G53" s="500" t="inlineStr">
        <is>
          <t>200,000 VND</t>
        </is>
      </c>
      <c r="H53" s="500" t="inlineStr">
        <is>
          <t>Meta Ads, Zalo</t>
        </is>
      </c>
      <c r="I53" s="500" t="inlineStr">
        <is>
          <t>14 ngày</t>
        </is>
      </c>
      <c r="J53" s="500" t="inlineStr">
        <is>
          <t>Đã nghiên cứu chương trình → giờ quan tâm giá cả</t>
        </is>
      </c>
    </row>
    <row r="54">
      <c r="A54" s="499" t="inlineStr">
        <is>
          <t>Đã xem Trang 5 (Học phí) nhưng chưa submit</t>
        </is>
      </c>
      <c r="B54" s="499" t="inlineStr">
        <is>
          <t>mn_tuition_viewers</t>
        </is>
      </c>
      <c r="C54" s="499" t="inlineStr">
        <is>
          <t>mn_form_complete</t>
        </is>
      </c>
      <c r="D54" s="499" t="inlineStr">
        <is>
          <t>Ad: "Ưu đãi chỉ còn [X] ngày — Đăng ký tư vấn ngay"
Format: Video urgency 15s + CTA</t>
        </is>
      </c>
      <c r="E54" s="499" t="inlineStr">
        <is>
          <t>Trang 1: forms.truongvietanh.com/tuyen-sinh-mam-non (quay lại LP với variant B)</t>
        </is>
      </c>
      <c r="F54" s="499" t="inlineStr">
        <is>
          <t>Sau 1 ngày</t>
        </is>
      </c>
      <c r="G54" s="499" t="inlineStr">
        <is>
          <t>300,000 VND</t>
        </is>
      </c>
      <c r="H54" s="499" t="inlineStr">
        <is>
          <t>Meta, Zalo, TikTok</t>
        </is>
      </c>
      <c r="I54" s="499" t="inlineStr">
        <is>
          <t>7 ngày</t>
        </is>
      </c>
      <c r="J54" s="523" t="inlineStr">
        <is>
          <t>Đã xem hết funnel → urgency push. Lần này dùng Variant B của Trang 1</t>
        </is>
      </c>
    </row>
    <row r="55">
      <c r="A55" s="500" t="inlineStr">
        <is>
          <t>Đã điền form Trang 1 nhưng CHƯA book tour</t>
        </is>
      </c>
      <c r="B55" s="500" t="inlineStr">
        <is>
          <t>mn_form_complete</t>
        </is>
      </c>
      <c r="C55" s="500" t="inlineStr">
        <is>
          <t>mn_tour_booked</t>
        </is>
      </c>
      <c r="D55" s="500" t="inlineStr">
        <is>
          <t>Ad: "Bạn đã đăng ký — Đặt lịch tham quan ngay hôm nay!"
Format: Dynamic với tên cơ sở</t>
        </is>
      </c>
      <c r="E55" s="500" t="inlineStr">
        <is>
          <t>Trang 2: forms.truongvietanh.com/tuyen-sinh-mam-non/cam-on (scroll to calendar)</t>
        </is>
      </c>
      <c r="F55" s="500" t="inlineStr">
        <is>
          <t>Sau 2 ngày</t>
        </is>
      </c>
      <c r="G55" s="500" t="inlineStr">
        <is>
          <t>150,000 VND</t>
        </is>
      </c>
      <c r="H55" s="500" t="inlineStr">
        <is>
          <t>Meta Ads</t>
        </is>
      </c>
      <c r="I55" s="500" t="inlineStr">
        <is>
          <t>14 ngày</t>
        </is>
      </c>
      <c r="J55" s="500" t="inlineStr">
        <is>
          <t>Lead đã có nhưng chưa book tour. Push booking</t>
        </is>
      </c>
    </row>
    <row r="56">
      <c r="A56" s="499" t="inlineStr">
        <is>
          <t>Đã book tour nhưng NO-SHOW</t>
        </is>
      </c>
      <c r="B56" s="499" t="inlineStr">
        <is>
          <t>mn_tour_booked</t>
        </is>
      </c>
      <c r="C56" s="499" t="inlineStr">
        <is>
          <t>mn_tour_confirmed (actually attended)</t>
        </is>
      </c>
      <c r="D56" s="499" t="inlineStr">
        <is>
          <t>Ad: "Rất tiếc bạn chưa đến — Đặt lại lịch tham quan"
Format: Friendly reminder video</t>
        </is>
      </c>
      <c r="E56" s="499" t="inlineStr">
        <is>
          <t>Trang 2: forms.truongvietanh.com/tuyen-sinh-mam-non/cam-on</t>
        </is>
      </c>
      <c r="F56" s="499" t="inlineStr">
        <is>
          <t>Sau 1 ngày sau tour date</t>
        </is>
      </c>
      <c r="G56" s="499" t="inlineStr">
        <is>
          <t>100,000 VND</t>
        </is>
      </c>
      <c r="H56" s="499" t="inlineStr">
        <is>
          <t>Meta, Zalo</t>
        </is>
      </c>
      <c r="I56" s="499" t="inlineStr">
        <is>
          <t>14 ngày</t>
        </is>
      </c>
      <c r="J56" s="499" t="inlineStr">
        <is>
          <t>GHL tag "no-show" → trigger remarketing + email + Zalo message</t>
        </is>
      </c>
    </row>
    <row r="57">
      <c r="A57" s="500" t="inlineStr">
        <is>
          <t>Đã tham quan (Tour completed) nhưng chưa enroll</t>
        </is>
      </c>
      <c r="B57" s="500" t="inlineStr">
        <is>
          <t>mn_tour_confirmed</t>
        </is>
      </c>
      <c r="C57" s="500" t="inlineStr">
        <is>
          <t>mn_enrolled</t>
        </is>
      </c>
      <c r="D57" s="500" t="inlineStr">
        <is>
          <t>Ad: "Bé [dynamic] đã rất thích — Đăng ký ngay để giữ chỗ"
Format: Testimonial + Urgency</t>
        </is>
      </c>
      <c r="E57" s="500" t="inlineStr">
        <is>
          <t>Trang 5: forms.truongvietanh.com/tuyen-sinh-mam-non/hoc-phi</t>
        </is>
      </c>
      <c r="F57" s="500" t="inlineStr">
        <is>
          <t>Sau 3 ngày sau tour</t>
        </is>
      </c>
      <c r="G57" s="500" t="inlineStr">
        <is>
          <t>200,000 VND</t>
        </is>
      </c>
      <c r="H57" s="500" t="inlineStr">
        <is>
          <t>Meta, Zalo, Email</t>
        </is>
      </c>
      <c r="I57" s="500" t="inlineStr">
        <is>
          <t>30 ngày</t>
        </is>
      </c>
      <c r="J57" s="524" t="inlineStr">
        <is>
          <t>BOTTOM FUNNEL remarketing — conversion push mạnh nhất</t>
        </is>
      </c>
    </row>
    <row r="58">
      <c r="A58" s="499" t="inlineStr">
        <is>
          <t>Đã download PDF cẩm nang nhưng chưa điền form tư vấn</t>
        </is>
      </c>
      <c r="B58" s="499" t="inlineStr">
        <is>
          <t>mn_pdf_downloaded</t>
        </is>
      </c>
      <c r="C58" s="499" t="inlineStr">
        <is>
          <t>mn_form_complete</t>
        </is>
      </c>
      <c r="D58" s="499" t="inlineStr">
        <is>
          <t>Ad: "Bạn đã tải Cẩm Nang — Đăng ký tư vấn để chọn chương trình phù hợp"
Format: Carousel tips</t>
        </is>
      </c>
      <c r="E58" s="499" t="inlineStr">
        <is>
          <t>Trang 1: forms.truongvietanh.com/tuyen-sinh-mam-non (variant B)</t>
        </is>
      </c>
      <c r="F58" s="499" t="inlineStr">
        <is>
          <t>Sau 3 ngày</t>
        </is>
      </c>
      <c r="G58" s="499" t="inlineStr">
        <is>
          <t>100,000 VND</t>
        </is>
      </c>
      <c r="H58" s="499" t="inlineStr">
        <is>
          <t>Meta Ads</t>
        </is>
      </c>
      <c r="I58" s="499" t="inlineStr">
        <is>
          <t>14 ngày</t>
        </is>
      </c>
      <c r="J58" s="499" t="inlineStr">
        <is>
          <t>Lead magnet đã capture interest → push form submission</t>
        </is>
      </c>
    </row>
    <row r="59">
      <c r="A59" s="500" t="inlineStr">
        <is>
          <t>Cold lead 30+ ngày không hoạt động</t>
        </is>
      </c>
      <c r="B59" s="500" t="inlineStr">
        <is>
          <t>All mn_* audiences</t>
        </is>
      </c>
      <c r="C59" s="500" t="inlineStr">
        <is>
          <t>mn_enrolled
mn_active_last_14_days</t>
        </is>
      </c>
      <c r="D59" s="500" t="inlineStr">
        <is>
          <t>Ad: "Cơ hội cuối — Ưu đãi đặc biệt chỉ dành cho bạn"
Format: Personalized offer</t>
        </is>
      </c>
      <c r="E59" s="500" t="inlineStr">
        <is>
          <t>Trang 5: forms.truongvietanh.com/tuyen-sinh-mam-non/hoc-phi (với param ?offer=winback)</t>
        </is>
      </c>
      <c r="F59" s="500" t="inlineStr">
        <is>
          <t>Sau 30 ngày cold</t>
        </is>
      </c>
      <c r="G59" s="500" t="inlineStr">
        <is>
          <t>100,000 VND</t>
        </is>
      </c>
      <c r="H59" s="500" t="inlineStr">
        <is>
          <t>Meta, Zalo</t>
        </is>
      </c>
      <c r="I59" s="500" t="inlineStr">
        <is>
          <t>14 ngày</t>
        </is>
      </c>
      <c r="J59" s="500" t="inlineStr">
        <is>
          <t>Win-back campaign. Special discount code.</t>
        </is>
      </c>
    </row>
    <row r="62">
      <c r="A62" s="494" t="inlineStr">
        <is>
          <t>D. URL MAP — TẤT CẢ CÁC TRANG PHỄU THEO CƠ SỞ</t>
        </is>
      </c>
    </row>
    <row r="64">
      <c r="A64" s="495" t="inlineStr">
        <is>
          <t>Cơ sở</t>
        </is>
      </c>
      <c r="B64" s="495" t="inlineStr">
        <is>
          <t>Landing Page chính</t>
        </is>
      </c>
      <c r="C64" s="495" t="inlineStr">
        <is>
          <t>Thank You</t>
        </is>
      </c>
      <c r="D64" s="495" t="inlineStr">
        <is>
          <t>Tour Confirmation</t>
        </is>
      </c>
      <c r="E64" s="495" t="inlineStr">
        <is>
          <t>Testimonial</t>
        </is>
      </c>
      <c r="F64" s="495" t="inlineStr">
        <is>
          <t>Chương trình</t>
        </is>
      </c>
      <c r="G64" s="495" t="inlineStr">
        <is>
          <t>Học phí</t>
        </is>
      </c>
    </row>
    <row r="65">
      <c r="A65" s="499" t="inlineStr">
        <is>
          <t>MN VA Gò Vấp</t>
        </is>
      </c>
      <c r="B65" s="499" t="inlineStr">
        <is>
          <t>forms.truongvietanh.com/mn-go-vap</t>
        </is>
      </c>
      <c r="C65" s="499" t="inlineStr">
        <is>
          <t>forms.truongvietanh.com/mn-go-vap/cam-on</t>
        </is>
      </c>
      <c r="D65" s="499" t="inlineStr">
        <is>
          <t>forms.truongvietanh.com/mn-go-vap/xac-nhan</t>
        </is>
      </c>
      <c r="E65" s="499" t="inlineStr">
        <is>
          <t>forms.truongvietanh.com/mn-go-vap/review</t>
        </is>
      </c>
      <c r="F65" s="499" t="inlineStr">
        <is>
          <t>forms.truongvietanh.com/mn-go-vap/chuong-trinh</t>
        </is>
      </c>
      <c r="G65" s="499" t="inlineStr">
        <is>
          <t>forms.truongvietanh.com/mn-go-vap/hoc-phi</t>
        </is>
      </c>
    </row>
    <row r="66">
      <c r="A66" s="500" t="inlineStr">
        <is>
          <t>MN Nhân Lễ</t>
        </is>
      </c>
      <c r="B66" s="500" t="inlineStr">
        <is>
          <t>forms.truongvietanh.com/mn-nhan-le</t>
        </is>
      </c>
      <c r="C66" s="500" t="inlineStr">
        <is>
          <t>forms.truongvietanh.com/mn-nhan-le/cam-on</t>
        </is>
      </c>
      <c r="D66" s="500" t="inlineStr">
        <is>
          <t>forms.truongvietanh.com/mn-nhan-le/xac-nhan</t>
        </is>
      </c>
      <c r="E66" s="500" t="inlineStr">
        <is>
          <t>forms.truongvietanh.com/mn-nhan-le/review</t>
        </is>
      </c>
      <c r="F66" s="500" t="inlineStr">
        <is>
          <t>forms.truongvietanh.com/mn-nhan-le/chuong-trinh</t>
        </is>
      </c>
      <c r="G66" s="500" t="inlineStr">
        <is>
          <t>forms.truongvietanh.com/mn-nhan-le/hoc-phi</t>
        </is>
      </c>
    </row>
    <row r="67">
      <c r="A67" s="499" t="inlineStr">
        <is>
          <t>MN+TH Thái Sơn</t>
        </is>
      </c>
      <c r="B67" s="499" t="inlineStr">
        <is>
          <t>forms.truongvietanh.com/thai-son</t>
        </is>
      </c>
      <c r="C67" s="499" t="inlineStr">
        <is>
          <t>forms.truongvietanh.com/thai-son/cam-on</t>
        </is>
      </c>
      <c r="D67" s="499" t="inlineStr">
        <is>
          <t>forms.truongvietanh.com/thai-son/xac-nhan</t>
        </is>
      </c>
      <c r="E67" s="499" t="inlineStr">
        <is>
          <t>forms.truongvietanh.com/thai-son/review</t>
        </is>
      </c>
      <c r="F67" s="499" t="inlineStr">
        <is>
          <t>forms.truongvietanh.com/thai-son/chuong-trinh</t>
        </is>
      </c>
      <c r="G67" s="499" t="inlineStr">
        <is>
          <t>forms.truongvietanh.com/thai-son/hoc-phi</t>
        </is>
      </c>
    </row>
    <row r="68">
      <c r="A68" s="500" t="inlineStr">
        <is>
          <t>MN+TH Mekong Xanh</t>
        </is>
      </c>
      <c r="B68" s="500" t="inlineStr">
        <is>
          <t>forms.truongvietanh.com/mekong-xanh</t>
        </is>
      </c>
      <c r="C68" s="500" t="inlineStr">
        <is>
          <t>forms.truongvietanh.com/mekong-xanh/cam-on</t>
        </is>
      </c>
      <c r="D68" s="500" t="inlineStr">
        <is>
          <t>forms.truongvietanh.com/mekong-xanh/xac-nhan</t>
        </is>
      </c>
      <c r="E68" s="500" t="inlineStr">
        <is>
          <t>forms.truongvietanh.com/mekong-xanh/review</t>
        </is>
      </c>
      <c r="F68" s="500" t="inlineStr">
        <is>
          <t>forms.truongvietanh.com/mekong-xanh/chuong-trinh</t>
        </is>
      </c>
      <c r="G68" s="500" t="inlineStr">
        <is>
          <t>forms.truongvietanh.com/mekong-xanh/hoc-phi</t>
        </is>
      </c>
    </row>
    <row r="69">
      <c r="A69" s="499" t="inlineStr">
        <is>
          <t>TH VA Gò Vấp</t>
        </is>
      </c>
      <c r="B69" s="499" t="inlineStr">
        <is>
          <t>forms.truongvietanh.com/th-go-vap</t>
        </is>
      </c>
      <c r="C69" s="499" t="inlineStr">
        <is>
          <t>forms.truongvietanh.com/th-go-vap/cam-on</t>
        </is>
      </c>
      <c r="D69" s="499" t="inlineStr">
        <is>
          <t>forms.truongvietanh.com/th-go-vap/xac-nhan</t>
        </is>
      </c>
      <c r="E69" s="499" t="inlineStr">
        <is>
          <t>forms.truongvietanh.com/th-go-vap/review</t>
        </is>
      </c>
      <c r="F69" s="499" t="inlineStr">
        <is>
          <t>forms.truongvietanh.com/th-go-vap/chuong-trinh</t>
        </is>
      </c>
      <c r="G69" s="499" t="inlineStr">
        <is>
          <t>forms.truongvietanh.com/th-go-vap/hoc-phi</t>
        </is>
      </c>
    </row>
    <row r="70">
      <c r="A70" s="500" t="inlineStr">
        <is>
          <t>TH VA Bình Tân</t>
        </is>
      </c>
      <c r="B70" s="500" t="inlineStr">
        <is>
          <t>forms.truongvietanh.com/th-binh-tan</t>
        </is>
      </c>
      <c r="C70" s="500" t="inlineStr">
        <is>
          <t>forms.truongvietanh.com/th-binh-tan/cam-on</t>
        </is>
      </c>
      <c r="D70" s="500" t="inlineStr">
        <is>
          <t>forms.truongvietanh.com/th-binh-tan/xac-nhan</t>
        </is>
      </c>
      <c r="E70" s="500" t="inlineStr">
        <is>
          <t>forms.truongvietanh.com/th-binh-tan/review</t>
        </is>
      </c>
      <c r="F70" s="500" t="inlineStr">
        <is>
          <t>forms.truongvietanh.com/th-binh-tan/chuong-trinh</t>
        </is>
      </c>
      <c r="G70" s="500" t="inlineStr">
        <is>
          <t>forms.truongvietanh.com/th-binh-tan/hoc-phi</t>
        </is>
      </c>
    </row>
    <row r="71">
      <c r="A71" s="499" t="inlineStr">
        <is>
          <t>THCS VA Gò Vấp</t>
        </is>
      </c>
      <c r="B71" s="499" t="inlineStr">
        <is>
          <t>forms.truongvietanh.com/tuyen-sinh-thcs</t>
        </is>
      </c>
      <c r="C71" s="499" t="inlineStr">
        <is>
          <t>forms.truongvietanh.com/tuyen-sinh-thcs/cam-on</t>
        </is>
      </c>
      <c r="D71" s="499" t="inlineStr">
        <is>
          <t>forms.truongvietanh.com/tuyen-sinh-thcs/xac-nhan</t>
        </is>
      </c>
      <c r="E71" s="499" t="inlineStr">
        <is>
          <t>forms.truongvietanh.com/tuyen-sinh-thcs/review</t>
        </is>
      </c>
      <c r="F71" s="499" t="inlineStr">
        <is>
          <t>forms.truongvietanh.com/tuyen-sinh-thcs/chuong-trinh</t>
        </is>
      </c>
      <c r="G71" s="499" t="inlineStr">
        <is>
          <t>forms.truongvietanh.com/tuyen-sinh-thcs/hoc-phi</t>
        </is>
      </c>
    </row>
    <row r="72">
      <c r="A72" s="500" t="inlineStr">
        <is>
          <t>THPT VA Gò Vấp</t>
        </is>
      </c>
      <c r="B72" s="500" t="inlineStr">
        <is>
          <t>forms.truongvietanh.com/tuyen-sinh-thpt</t>
        </is>
      </c>
      <c r="C72" s="500" t="inlineStr">
        <is>
          <t>forms.truongvietanh.com/tuyen-sinh-thpt/cam-on</t>
        </is>
      </c>
      <c r="D72" s="500" t="inlineStr">
        <is>
          <t>forms.truongvietanh.com/tuyen-sinh-thpt/xac-nhan</t>
        </is>
      </c>
      <c r="E72" s="500" t="inlineStr">
        <is>
          <t>forms.truongvietanh.com/tuyen-sinh-thpt/review</t>
        </is>
      </c>
      <c r="F72" s="500" t="inlineStr">
        <is>
          <t>forms.truongvietanh.com/tuyen-sinh-thpt/chuong-trinh</t>
        </is>
      </c>
      <c r="G72" s="500" t="inlineStr">
        <is>
          <t>forms.truongvietanh.com/tuyen-sinh-thpt/hoc-phi</t>
        </is>
      </c>
    </row>
    <row r="73">
      <c r="A73" s="499" t="inlineStr">
        <is>
          <t>Open Day T6</t>
        </is>
      </c>
      <c r="B73" s="499" t="inlineStr">
        <is>
          <t>forms.truongvietanh.com/mega-open-day-2026</t>
        </is>
      </c>
      <c r="C73" s="499" t="inlineStr">
        <is>
          <t>forms.truongvietanh.com/mega-open-day-2026/cam-on</t>
        </is>
      </c>
      <c r="D73" s="499" t="inlineStr">
        <is>
          <t>forms.truongvietanh.com/mega-open-day-2026/xac-nhan</t>
        </is>
      </c>
      <c r="E73" s="499" t="inlineStr">
        <is>
          <t>N/A</t>
        </is>
      </c>
      <c r="F73" s="499" t="inlineStr">
        <is>
          <t>N/A</t>
        </is>
      </c>
      <c r="G73" s="499" t="inlineStr">
        <is>
          <t>N/A</t>
        </is>
      </c>
    </row>
    <row r="74">
      <c r="A74" s="500" t="inlineStr">
        <is>
          <t>Webinar MN</t>
        </is>
      </c>
      <c r="B74" s="500" t="inlineStr">
        <is>
          <t>forms.truongvietanh.com/webinar-mam-non</t>
        </is>
      </c>
      <c r="C74" s="500" t="inlineStr">
        <is>
          <t>forms.truongvietanh.com/webinar-mam-non/cam-on</t>
        </is>
      </c>
      <c r="D74" s="500" t="inlineStr">
        <is>
          <t>forms.truongvietanh.com/webinar-mam-non/replay</t>
        </is>
      </c>
      <c r="E74" s="500" t="inlineStr">
        <is>
          <t>N/A</t>
        </is>
      </c>
      <c r="F74" s="500" t="inlineStr">
        <is>
          <t>N/A</t>
        </is>
      </c>
      <c r="G74" s="500" t="inlineStr">
        <is>
          <t>N/A</t>
        </is>
      </c>
    </row>
    <row r="75">
      <c r="A75" s="499" t="inlineStr">
        <is>
          <t>Học Bổng</t>
        </is>
      </c>
      <c r="B75" s="499" t="inlineStr">
        <is>
          <t>forms.truongvietanh.com/hoc-bong-2026</t>
        </is>
      </c>
      <c r="C75" s="499" t="inlineStr">
        <is>
          <t>forms.truongvietanh.com/hoc-bong-2026/cam-on</t>
        </is>
      </c>
      <c r="D75" s="499" t="inlineStr">
        <is>
          <t>forms.truongvietanh.com/hoc-bong-2026/ket-qua</t>
        </is>
      </c>
      <c r="E75" s="499" t="inlineStr">
        <is>
          <t>N/A</t>
        </is>
      </c>
      <c r="F75" s="499" t="inlineStr">
        <is>
          <t>N/A</t>
        </is>
      </c>
      <c r="G75" s="499" t="inlineStr">
        <is>
          <t>N/A</t>
        </is>
      </c>
    </row>
    <row r="76">
      <c r="A76" s="500" t="inlineStr">
        <is>
          <t>Referral</t>
        </is>
      </c>
      <c r="B76" s="500" t="inlineStr">
        <is>
          <t>forms.truongvietanh.com/gioi-thieu-ban</t>
        </is>
      </c>
      <c r="C76" s="500" t="inlineStr">
        <is>
          <t>forms.truongvietanh.com/gioi-thieu-ban/cam-on</t>
        </is>
      </c>
      <c r="D76" s="500" t="inlineStr">
        <is>
          <t>N/A</t>
        </is>
      </c>
      <c r="E76" s="500" t="inlineStr">
        <is>
          <t>N/A</t>
        </is>
      </c>
      <c r="F76" s="500" t="inlineStr">
        <is>
          <t>N/A</t>
        </is>
      </c>
      <c r="G76" s="500" t="inlineStr">
        <is>
          <t>N/A</t>
        </is>
      </c>
    </row>
    <row r="79">
      <c r="A79" s="494" t="inlineStr">
        <is>
          <t>E. PHỄU SỰ KIỆN — OPEN DAY T6 "MEGA OPEN DAY 2026" (FNL-OD-T6)</t>
        </is>
      </c>
    </row>
    <row r="81">
      <c r="A81" s="495" t="inlineStr">
        <is>
          <t>Trang</t>
        </is>
      </c>
      <c r="B81" s="495" t="inlineStr">
        <is>
          <t>URL</t>
        </is>
      </c>
      <c r="C81" s="495" t="inlineStr">
        <is>
          <t>Nội dung</t>
        </is>
      </c>
      <c r="D81" s="495" t="inlineStr">
        <is>
          <t>Form fields</t>
        </is>
      </c>
      <c r="E81" s="495" t="inlineStr">
        <is>
          <t>Pixel Events</t>
        </is>
      </c>
      <c r="F81" s="495" t="inlineStr">
        <is>
          <t>Remarketing</t>
        </is>
      </c>
      <c r="G81" s="495" t="inlineStr">
        <is>
          <t>Next Step</t>
        </is>
      </c>
    </row>
    <row r="82">
      <c r="A82" s="499" t="inlineStr">
        <is>
          <t>1. Landing Page Sự kiện</t>
        </is>
      </c>
      <c r="B82" s="499" t="inlineStr">
        <is>
          <t>forms.truongvietanh.com/mega-open-day-2026</t>
        </is>
      </c>
      <c r="C82" s="499" t="inlineStr">
        <is>
          <t>Hero: "MEGA OPEN DAY 2026 — Tham Quan 6 Cơ Sở Cùng Lúc!"
→ Countdown timer → Date/Time → 6 locations trên map
→ Agenda: 8:00 Welcome, 8:30 Tour, 9:30 Q&amp;A, 10:30 Ưu đãi
→ Speakers: Hiệu trưởng 6 cơ sở
→ Quà tặng: Ba lô, sách, voucher giảm học phí
→ Testimonial từ Open Day trước
→ Form đăng ký</t>
        </is>
      </c>
      <c r="D82" s="499" t="inlineStr">
        <is>
          <t>Họ tên*, SĐT*, Email, Số con, Tuổi con, Cấp học*, Cơ sở muốn tham quan* (multi), Xe đưa đón (Y/N)</t>
        </is>
      </c>
      <c r="E82" s="499" t="inlineStr">
        <is>
          <t>PageView, ViewContent, Lead (form submit)</t>
        </is>
      </c>
      <c r="F82" s="499" t="inlineStr">
        <is>
          <t>od_visitors → nếu chưa submit: Ad "Chỉ còn [X] ngày — Đăng ký ngay!"</t>
        </is>
      </c>
      <c r="G82" s="499" t="inlineStr">
        <is>
          <t>→ Trang 2: Confirmation</t>
        </is>
      </c>
    </row>
    <row r="83">
      <c r="A83" s="500" t="inlineStr">
        <is>
          <t>2. Confirmation + Details</t>
        </is>
      </c>
      <c r="B83" s="500" t="inlineStr">
        <is>
          <t>forms.truongvietanh.com/mega-open-day-2026/cam-on</t>
        </is>
      </c>
      <c r="C83" s="500" t="inlineStr">
        <is>
          <t>"Bạn đã đăng ký thành công! Hẹn gặp [Ngày]"
→ QR code check-in
→ Map + hướng dẫn đường đi từng cơ sở
→ Add to Calendar buttons
→ Share invite: "Mời bạn bè cùng đi"</t>
        </is>
      </c>
      <c r="D83" s="500" t="inlineStr">
        <is>
          <t>Không có form</t>
        </is>
      </c>
      <c r="E83" s="500" t="inlineStr">
        <is>
          <t>Purchase (confirmed), CompleteRegistration</t>
        </is>
      </c>
      <c r="F83" s="500" t="inlineStr">
        <is>
          <t>od_confirmed → -3d, -1d, -2h reminder ads</t>
        </is>
      </c>
      <c r="G83" s="500" t="inlineStr">
        <is>
          <t>→ GHL workflow: -24h SMS, -2h Zalo reminder</t>
        </is>
      </c>
    </row>
    <row r="84">
      <c r="A84" s="499" t="inlineStr">
        <is>
          <t>3. Post-Event Follow-up</t>
        </is>
      </c>
      <c r="B84" s="499" t="inlineStr">
        <is>
          <t>forms.truongvietanh.com/mega-open-day-2026/cam-nhan</t>
        </is>
      </c>
      <c r="C84" s="499" t="inlineStr">
        <is>
          <t>"Cảm ơn bạn đã tham dự! Chia sẻ cảm nhận"
→ Feedback form: rating 1-5, comments
→ Photo gallery sự kiện
→ Video recap 3 phút
→ CTA: "Đăng ký nhận ưu đãi đặc biệt dành cho PH tham dự"</t>
        </is>
      </c>
      <c r="D84" s="499" t="inlineStr">
        <is>
          <t>Rating*, Feedback, Quan tâm cấp học, Muốn đăng ký (Y/N)</t>
        </is>
      </c>
      <c r="E84" s="499" t="inlineStr">
        <is>
          <t>ViewContent, Lead (feedback form)</t>
        </is>
      </c>
      <c r="F84" s="499" t="inlineStr">
        <is>
          <t>od_attended_not_enrolled → Ads: Ưu đãi đặc biệt cho PH đã tham dự</t>
        </is>
      </c>
      <c r="G84" s="499" t="inlineStr">
        <is>
          <t>→ GHL: If "Muốn đăng ký = Y" → Priority follow-up trong 2h</t>
        </is>
      </c>
    </row>
    <row r="85">
      <c r="A85" s="500" t="inlineStr">
        <is>
          <t>4. Ưu đãi Post-Event</t>
        </is>
      </c>
      <c r="B85" s="500" t="inlineStr">
        <is>
          <t>forms.truongvietanh.com/mega-open-day-2026/uu-dai</t>
        </is>
      </c>
      <c r="C85" s="500" t="inlineStr">
        <is>
          <t>"Ưu Đãi Đặc Biệt — Chỉ Dành Cho PH Tham Dự Open Day"
→ Giảm 15% phí ghi danh (vs 10% bình thường)
→ Tặng đồng phục + ba lô
→ Countdown: "Ưu đãi hết hạn sau 7 ngày"
→ CTA: Đăng ký ngay</t>
        </is>
      </c>
      <c r="D85" s="500" t="inlineStr">
        <is>
          <t>Họ tên*, SĐT*, Cơ sở*, Cấp học*, Mã ưu đãi (auto-fill)</t>
        </is>
      </c>
      <c r="E85" s="500" t="inlineStr">
        <is>
          <t>ViewContent, AddPaymentInfo, Lead</t>
        </is>
      </c>
      <c r="F85" s="500" t="inlineStr">
        <is>
          <t>od_offer_viewers → If not convert in 3d: SMS reminder</t>
        </is>
      </c>
      <c r="G85" s="500" t="inlineStr">
        <is>
          <t>→ GHL: Hot lead, auto-assign tư vấn viên → Call trong 1h</t>
        </is>
      </c>
    </row>
  </sheetData>
  <mergeCells count="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285F4"/>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2"/>
    <col width="40" customWidth="1" style="247" min="3" max="3"/>
    <col width="35" customWidth="1" style="247" min="4" max="4"/>
    <col width="20" customWidth="1" style="247" min="5" max="10"/>
  </cols>
  <sheetData>
    <row r="1" ht="15" customHeight="1" s="248">
      <c r="A1" s="344" t="inlineStr">
        <is>
          <t>KẾ HOẠCH GOOGLE ADS – CẤU TRÚC TÀI KHOẢN + CAMPAIGN + KEYWORD + RSA + BIRCH</t>
        </is>
      </c>
    </row>
    <row r="3" ht="15" customHeight="1" s="248">
      <c r="A3" s="345" t="inlineStr">
        <is>
          <t>A. CẤU TRÚC TÀI KHOẢN GOOGLE ADS</t>
        </is>
      </c>
    </row>
    <row r="4" ht="15" customHeight="1" s="248">
      <c r="A4" s="346" t="inlineStr">
        <is>
          <t>Cấp độ</t>
        </is>
      </c>
      <c r="B4" s="346" t="inlineStr">
        <is>
          <t>Tên</t>
        </is>
      </c>
      <c r="C4" s="346" t="inlineStr">
        <is>
          <t>Mô tả</t>
        </is>
      </c>
      <c r="D4" s="346" t="inlineStr">
        <is>
          <t>Ngân sách</t>
        </is>
      </c>
      <c r="E4" s="346" t="inlineStr">
        <is>
          <t>Ghi chú</t>
        </is>
      </c>
    </row>
    <row r="5" ht="23.25" customHeight="1" s="248">
      <c r="A5" s="321" t="inlineStr">
        <is>
          <t>Account</t>
        </is>
      </c>
      <c r="B5" s="321" t="inlineStr">
        <is>
          <t>VA_TuyenSinh_2026</t>
        </is>
      </c>
      <c r="C5" s="321" t="inlineStr">
        <is>
          <t>Tài khoản chính cho tuyển sinh</t>
        </is>
      </c>
      <c r="D5" s="321">
        <f>'1. Input'!B15*0.25</f>
        <v/>
      </c>
      <c r="E5" s="321" t="inlineStr">
        <is>
          <t>Tổng Google = 25% Paid Media</t>
        </is>
      </c>
    </row>
    <row r="6" ht="15" customHeight="1" s="248">
      <c r="A6" s="323" t="inlineStr">
        <is>
          <t>Campaign</t>
        </is>
      </c>
      <c r="B6" s="323" t="inlineStr">
        <is>
          <t>S_BRAND_System</t>
        </is>
      </c>
      <c r="C6" s="323" t="inlineStr">
        <is>
          <t>Brand search toàn hệ thống</t>
        </is>
      </c>
      <c r="D6" s="323" t="inlineStr">
        <is>
          <t>Auto</t>
        </is>
      </c>
      <c r="E6" s="323" t="inlineStr">
        <is>
          <t>Luôn bật, không pause</t>
        </is>
      </c>
    </row>
    <row r="7" ht="23.25" customHeight="1" s="248">
      <c r="A7" s="321" t="inlineStr">
        <is>
          <t>Campaign</t>
        </is>
      </c>
      <c r="B7" s="321" t="inlineStr">
        <is>
          <t>S_MN_GV_Generic</t>
        </is>
      </c>
      <c r="C7" s="321" t="inlineStr">
        <is>
          <t>Search mầm non Gò Vấp generic</t>
        </is>
      </c>
      <c r="D7" s="321" t="inlineStr">
        <is>
          <t>Daily cap</t>
        </is>
      </c>
      <c r="E7" s="321" t="inlineStr">
        <is>
          <t>Keyword: mầm non song ngữ gò vấp</t>
        </is>
      </c>
    </row>
    <row r="8" ht="34.5" customHeight="1" s="248">
      <c r="A8" s="323" t="inlineStr">
        <is>
          <t>Campaign</t>
        </is>
      </c>
      <c r="B8" s="323" t="inlineStr">
        <is>
          <t>S_MN_GV_HighIntent</t>
        </is>
      </c>
      <c r="C8" s="323" t="inlineStr">
        <is>
          <t>Search mầm non Gò Vấp high intent</t>
        </is>
      </c>
      <c r="D8" s="323" t="inlineStr">
        <is>
          <t>Daily cap</t>
        </is>
      </c>
      <c r="E8" s="323" t="inlineStr">
        <is>
          <t>Keyword: học phí mầm non, tuyển sinh mầm non</t>
        </is>
      </c>
    </row>
    <row r="9" ht="15" customHeight="1" s="248">
      <c r="A9" s="321" t="inlineStr">
        <is>
          <t>Campaign</t>
        </is>
      </c>
      <c r="B9" s="321" t="inlineStr">
        <is>
          <t>S_MN_Tinh_Generic</t>
        </is>
      </c>
      <c r="C9" s="321" t="inlineStr">
        <is>
          <t>Search mầm non tỉnh (Tây Ninh, An Giang)</t>
        </is>
      </c>
      <c r="D9" s="321" t="inlineStr">
        <is>
          <t>Daily cap</t>
        </is>
      </c>
      <c r="E9" s="321" t="inlineStr">
        <is>
          <t>Local intent tỉnh</t>
        </is>
      </c>
    </row>
    <row r="10" ht="23.25" customHeight="1" s="248">
      <c r="A10" s="323" t="inlineStr">
        <is>
          <t>Campaign</t>
        </is>
      </c>
      <c r="B10" s="323" t="inlineStr">
        <is>
          <t>S_TH_GV_Generic</t>
        </is>
      </c>
      <c r="C10" s="323" t="inlineStr">
        <is>
          <t>Search tiểu học Gò Vấp</t>
        </is>
      </c>
      <c r="D10" s="323" t="inlineStr">
        <is>
          <t>Daily cap</t>
        </is>
      </c>
      <c r="E10" s="323" t="inlineStr">
        <is>
          <t>Lớp 1, song ngữ, học phí</t>
        </is>
      </c>
    </row>
    <row r="11" ht="15" customHeight="1" s="248">
      <c r="A11" s="321" t="inlineStr">
        <is>
          <t>Campaign</t>
        </is>
      </c>
      <c r="B11" s="321" t="inlineStr">
        <is>
          <t>S_TH_BT_Generic</t>
        </is>
      </c>
      <c r="C11" s="321" t="inlineStr">
        <is>
          <t>Search tiểu học Bình Tân</t>
        </is>
      </c>
      <c r="D11" s="321" t="inlineStr">
        <is>
          <t>Daily cap</t>
        </is>
      </c>
      <c r="E11" s="321" t="inlineStr">
        <is>
          <t>Local + song ngữ</t>
        </is>
      </c>
    </row>
    <row r="12" ht="23.25" customHeight="1" s="248">
      <c r="A12" s="323" t="inlineStr">
        <is>
          <t>Campaign</t>
        </is>
      </c>
      <c r="B12" s="323" t="inlineStr">
        <is>
          <t>S_TH_Tinh_Generic</t>
        </is>
      </c>
      <c r="C12" s="323" t="inlineStr">
        <is>
          <t>Search tiểu học tỉnh</t>
        </is>
      </c>
      <c r="D12" s="323" t="inlineStr">
        <is>
          <t>Daily cap</t>
        </is>
      </c>
      <c r="E12" s="323" t="inlineStr">
        <is>
          <t>Thái Sơn + Mekong Xanh</t>
        </is>
      </c>
    </row>
    <row r="13" ht="15" customHeight="1" s="248">
      <c r="A13" s="321" t="inlineStr">
        <is>
          <t>Campaign</t>
        </is>
      </c>
      <c r="B13" s="321" t="inlineStr">
        <is>
          <t>S_THCS_GV_Generic</t>
        </is>
      </c>
      <c r="C13" s="321" t="inlineStr">
        <is>
          <t>Search THCS Gò Vấp generic</t>
        </is>
      </c>
      <c r="D13" s="321" t="inlineStr">
        <is>
          <t>Daily cap</t>
        </is>
      </c>
      <c r="E13" s="321" t="inlineStr">
        <is>
          <t>Lớp 6, trường cấp 2</t>
        </is>
      </c>
    </row>
    <row r="14" ht="23.25" customHeight="1" s="248">
      <c r="A14" s="323" t="inlineStr">
        <is>
          <t>Campaign</t>
        </is>
      </c>
      <c r="B14" s="323" t="inlineStr">
        <is>
          <t>S_THCS_GV_HighIntent</t>
        </is>
      </c>
      <c r="C14" s="323" t="inlineStr">
        <is>
          <t>Search THCS Gò Vấp high intent</t>
        </is>
      </c>
      <c r="D14" s="323" t="inlineStr">
        <is>
          <t>Daily cap</t>
        </is>
      </c>
      <c r="E14" s="323" t="inlineStr">
        <is>
          <t>Tuyển sinh lớp 6, học phí</t>
        </is>
      </c>
    </row>
    <row r="15" ht="15" customHeight="1" s="248">
      <c r="A15" s="321" t="inlineStr">
        <is>
          <t>Campaign</t>
        </is>
      </c>
      <c r="B15" s="321" t="inlineStr">
        <is>
          <t>S_THPT_GV_Generic</t>
        </is>
      </c>
      <c r="C15" s="321" t="inlineStr">
        <is>
          <t>Search THPT Gò Vấp generic</t>
        </is>
      </c>
      <c r="D15" s="321" t="inlineStr">
        <is>
          <t>Daily cap</t>
        </is>
      </c>
      <c r="E15" s="321" t="inlineStr">
        <is>
          <t>Lớp 10, trường cấp 3</t>
        </is>
      </c>
    </row>
    <row r="16" ht="23.25" customHeight="1" s="248">
      <c r="A16" s="323" t="inlineStr">
        <is>
          <t>Campaign</t>
        </is>
      </c>
      <c r="B16" s="323" t="inlineStr">
        <is>
          <t>S_THPT_GV_HighIntent</t>
        </is>
      </c>
      <c r="C16" s="323" t="inlineStr">
        <is>
          <t>Search THPT Gò Vấp high intent</t>
        </is>
      </c>
      <c r="D16" s="323" t="inlineStr">
        <is>
          <t>Daily cap</t>
        </is>
      </c>
      <c r="E16" s="323" t="inlineStr">
        <is>
          <t>Tuyển sinh lớp 10, học bổng</t>
        </is>
      </c>
    </row>
    <row r="17" ht="23.25" customHeight="1" s="248">
      <c r="A17" s="321" t="inlineStr">
        <is>
          <t>Campaign</t>
        </is>
      </c>
      <c r="B17" s="321" t="inlineStr">
        <is>
          <t>S_THPT_GV_Webinar</t>
        </is>
      </c>
      <c r="C17" s="321" t="inlineStr">
        <is>
          <t>Search THPT webinar</t>
        </is>
      </c>
      <c r="D17" s="321" t="inlineStr">
        <is>
          <t>Daily cap</t>
        </is>
      </c>
      <c r="E17" s="321" t="inlineStr">
        <is>
          <t>Hội thảo, lộ trình, chọn trường</t>
        </is>
      </c>
    </row>
    <row r="18" ht="23.25" customHeight="1" s="248">
      <c r="A18" s="323" t="inlineStr">
        <is>
          <t>Campaign</t>
        </is>
      </c>
      <c r="B18" s="323" t="inlineStr">
        <is>
          <t>S_COMP_THCS_GV</t>
        </is>
      </c>
      <c r="C18" s="323" t="inlineStr">
        <is>
          <t>Competitor THCS Gò Vấp</t>
        </is>
      </c>
      <c r="D18" s="323" t="inlineStr">
        <is>
          <t>Daily cap</t>
        </is>
      </c>
      <c r="E18" s="323" t="inlineStr">
        <is>
          <t>Chạy chọn lọc, LP compare</t>
        </is>
      </c>
    </row>
    <row r="19" ht="15" customHeight="1" s="248">
      <c r="A19" s="321" t="inlineStr">
        <is>
          <t>Campaign</t>
        </is>
      </c>
      <c r="B19" s="321" t="inlineStr">
        <is>
          <t>S_COMP_THPT_GV</t>
        </is>
      </c>
      <c r="C19" s="321" t="inlineStr">
        <is>
          <t>Competitor THPT Gò Vấp</t>
        </is>
      </c>
      <c r="D19" s="321" t="inlineStr">
        <is>
          <t>Daily cap</t>
        </is>
      </c>
      <c r="E19" s="321" t="inlineStr">
        <is>
          <t>Chạy chọn lọc</t>
        </is>
      </c>
    </row>
    <row r="20" ht="15" customHeight="1" s="248">
      <c r="A20" s="323" t="inlineStr">
        <is>
          <t>Campaign</t>
        </is>
      </c>
      <c r="B20" s="323" t="inlineStr">
        <is>
          <t>DG_Testimonial</t>
        </is>
      </c>
      <c r="C20" s="323" t="inlineStr">
        <is>
          <t>Demand Gen video testimonial</t>
        </is>
      </c>
      <c r="D20" s="323" t="inlineStr">
        <is>
          <t>Daily cap</t>
        </is>
      </c>
      <c r="E20" s="323" t="inlineStr">
        <is>
          <t>THCS/THPT retarget</t>
        </is>
      </c>
    </row>
    <row r="21" ht="15" customHeight="1" s="248">
      <c r="A21" s="321" t="inlineStr">
        <is>
          <t>Campaign</t>
        </is>
      </c>
      <c r="B21" s="321" t="inlineStr">
        <is>
          <t>RMKT_AllVisitors</t>
        </is>
      </c>
      <c r="C21" s="321" t="inlineStr">
        <is>
          <t>Remarketing all web visitors</t>
        </is>
      </c>
      <c r="D21" s="321" t="inlineStr">
        <is>
          <t>Daily cap</t>
        </is>
      </c>
      <c r="E21" s="321" t="inlineStr">
        <is>
          <t>7-30 ngày</t>
        </is>
      </c>
    </row>
    <row r="22" ht="15" customHeight="1" s="248">
      <c r="A22" s="323" t="inlineStr">
        <is>
          <t>Campaign</t>
        </is>
      </c>
      <c r="B22" s="323" t="inlineStr">
        <is>
          <t>RMKT_HocPhi</t>
        </is>
      </c>
      <c r="C22" s="323" t="inlineStr">
        <is>
          <t>Remarketing người xem học phí</t>
        </is>
      </c>
      <c r="D22" s="323" t="inlineStr">
        <is>
          <t>Daily cap</t>
        </is>
      </c>
      <c r="E22" s="323" t="inlineStr">
        <is>
          <t>Hot 1-7 ngày</t>
        </is>
      </c>
    </row>
    <row r="23" ht="15" customHeight="1" s="248">
      <c r="A23" s="321" t="inlineStr">
        <is>
          <t>Campaign</t>
        </is>
      </c>
      <c r="B23" s="321" t="inlineStr">
        <is>
          <t>RMKT_FormDrop</t>
        </is>
      </c>
      <c r="C23" s="321" t="inlineStr">
        <is>
          <t>Remarketing form chưa submit</t>
        </is>
      </c>
      <c r="D23" s="321" t="inlineStr">
        <is>
          <t>Daily cap</t>
        </is>
      </c>
      <c r="E23" s="321" t="inlineStr">
        <is>
          <t>Hot 1-7 ngày</t>
        </is>
      </c>
    </row>
    <row r="24" ht="23.25" customHeight="1" s="248">
      <c r="A24" s="323" t="inlineStr">
        <is>
          <t>Campaign</t>
        </is>
      </c>
      <c r="B24" s="323" t="inlineStr">
        <is>
          <t>PMAX_Test</t>
        </is>
      </c>
      <c r="C24" s="323" t="inlineStr">
        <is>
          <t>Performance Max test</t>
        </is>
      </c>
      <c r="D24" s="323" t="inlineStr">
        <is>
          <t>Daily cap 2%</t>
        </is>
      </c>
      <c r="E24" s="323" t="inlineStr">
        <is>
          <t>Chỉ test từ T6, không scale sớm</t>
        </is>
      </c>
    </row>
    <row r="26" ht="15" customHeight="1" s="248">
      <c r="A26" s="345" t="inlineStr">
        <is>
          <t>B. KEYWORD BANK (EXACT + PHRASE)</t>
        </is>
      </c>
    </row>
    <row r="27" ht="15" customHeight="1" s="248">
      <c r="A27" s="346" t="inlineStr">
        <is>
          <t>Cấp</t>
        </is>
      </c>
      <c r="B27" s="346" t="inlineStr">
        <is>
          <t>Nhóm</t>
        </is>
      </c>
      <c r="C27" s="346" t="inlineStr">
        <is>
          <t>Match</t>
        </is>
      </c>
      <c r="D27" s="346" t="inlineStr">
        <is>
          <t>Keyword</t>
        </is>
      </c>
      <c r="E27" s="346" t="inlineStr">
        <is>
          <t>Campaign</t>
        </is>
      </c>
      <c r="F27" s="346" t="inlineStr">
        <is>
          <t>Ghi chú</t>
        </is>
      </c>
    </row>
    <row r="28" ht="15" customHeight="1" s="248">
      <c r="A28" s="321" t="inlineStr">
        <is>
          <t>MN</t>
        </is>
      </c>
      <c r="B28" s="321" t="inlineStr">
        <is>
          <t>Brand</t>
        </is>
      </c>
      <c r="C28" s="321" t="inlineStr">
        <is>
          <t>Exact</t>
        </is>
      </c>
      <c r="D28" s="321" t="inlineStr">
        <is>
          <t>[trường mầm non việt anh gò vấp]</t>
        </is>
      </c>
      <c r="E28" s="321" t="inlineStr">
        <is>
          <t>S_BRAND</t>
        </is>
      </c>
      <c r="F28" s="321" t="n"/>
    </row>
    <row r="29" ht="15" customHeight="1" s="248">
      <c r="A29" s="323" t="inlineStr">
        <is>
          <t>MN</t>
        </is>
      </c>
      <c r="B29" s="323" t="inlineStr">
        <is>
          <t>Brand</t>
        </is>
      </c>
      <c r="C29" s="323" t="inlineStr">
        <is>
          <t>Exact</t>
        </is>
      </c>
      <c r="D29" s="323" t="inlineStr">
        <is>
          <t>[mầm non việt anh lê đức thọ]</t>
        </is>
      </c>
      <c r="E29" s="323" t="inlineStr">
        <is>
          <t>S_BRAND</t>
        </is>
      </c>
      <c r="F29" s="323" t="n"/>
    </row>
    <row r="30" ht="15" customHeight="1" s="248">
      <c r="A30" s="321" t="inlineStr">
        <is>
          <t>MN</t>
        </is>
      </c>
      <c r="B30" s="321" t="inlineStr">
        <is>
          <t>Generic</t>
        </is>
      </c>
      <c r="C30" s="321" t="inlineStr">
        <is>
          <t>Exact</t>
        </is>
      </c>
      <c r="D30" s="321" t="inlineStr">
        <is>
          <t>[trường mầm non song ngữ gò vấp]</t>
        </is>
      </c>
      <c r="E30" s="321" t="inlineStr">
        <is>
          <t>S_MN_GV_Generic</t>
        </is>
      </c>
      <c r="F30" s="321" t="inlineStr">
        <is>
          <t>Top KW</t>
        </is>
      </c>
    </row>
    <row r="31" ht="15" customHeight="1" s="248">
      <c r="A31" s="323" t="inlineStr">
        <is>
          <t>MN</t>
        </is>
      </c>
      <c r="B31" s="323" t="inlineStr">
        <is>
          <t>Generic</t>
        </is>
      </c>
      <c r="C31" s="323" t="inlineStr">
        <is>
          <t>Exact</t>
        </is>
      </c>
      <c r="D31" s="323" t="inlineStr">
        <is>
          <t>[trường mầm non tư thục gò vấp]</t>
        </is>
      </c>
      <c r="E31" s="323" t="inlineStr">
        <is>
          <t>S_MN_GV_Generic</t>
        </is>
      </c>
      <c r="F31" s="323" t="n"/>
    </row>
    <row r="32" ht="15" customHeight="1" s="248">
      <c r="A32" s="321" t="inlineStr">
        <is>
          <t>MN</t>
        </is>
      </c>
      <c r="B32" s="321" t="inlineStr">
        <is>
          <t>Generic</t>
        </is>
      </c>
      <c r="C32" s="321" t="inlineStr">
        <is>
          <t>Phrase</t>
        </is>
      </c>
      <c r="D32" s="321" t="inlineStr">
        <is>
          <t>"trường mầm non gần nhà"</t>
        </is>
      </c>
      <c r="E32" s="321" t="inlineStr">
        <is>
          <t>S_MN_GV_Generic</t>
        </is>
      </c>
      <c r="F32" s="321" t="inlineStr">
        <is>
          <t>Local</t>
        </is>
      </c>
    </row>
    <row r="33" ht="15" customHeight="1" s="248">
      <c r="A33" s="323" t="inlineStr">
        <is>
          <t>MN</t>
        </is>
      </c>
      <c r="B33" s="323" t="inlineStr">
        <is>
          <t>Generic</t>
        </is>
      </c>
      <c r="C33" s="323" t="inlineStr">
        <is>
          <t>Phrase</t>
        </is>
      </c>
      <c r="D33" s="323" t="inlineStr">
        <is>
          <t>"mầm non song ngữ"</t>
        </is>
      </c>
      <c r="E33" s="323" t="inlineStr">
        <is>
          <t>S_MN_GV_Generic</t>
        </is>
      </c>
      <c r="F33" s="323" t="n"/>
    </row>
    <row r="34" ht="15" customHeight="1" s="248">
      <c r="A34" s="321" t="inlineStr">
        <is>
          <t>MN</t>
        </is>
      </c>
      <c r="B34" s="321" t="inlineStr">
        <is>
          <t>HighIntent</t>
        </is>
      </c>
      <c r="C34" s="321" t="inlineStr">
        <is>
          <t>Exact</t>
        </is>
      </c>
      <c r="D34" s="321" t="inlineStr">
        <is>
          <t>[học phí mầm non song ngữ gò vấp]</t>
        </is>
      </c>
      <c r="E34" s="321" t="inlineStr">
        <is>
          <t>S_MN_GV_HighIntent</t>
        </is>
      </c>
      <c r="F34" s="321" t="inlineStr">
        <is>
          <t>HOT</t>
        </is>
      </c>
    </row>
    <row r="35" ht="15" customHeight="1" s="248">
      <c r="A35" s="323" t="inlineStr">
        <is>
          <t>MN</t>
        </is>
      </c>
      <c r="B35" s="323" t="inlineStr">
        <is>
          <t>HighIntent</t>
        </is>
      </c>
      <c r="C35" s="323" t="inlineStr">
        <is>
          <t>Exact</t>
        </is>
      </c>
      <c r="D35" s="323" t="inlineStr">
        <is>
          <t>[tuyển sinh mầm non gò vấp]</t>
        </is>
      </c>
      <c r="E35" s="323" t="inlineStr">
        <is>
          <t>S_MN_GV_HighIntent</t>
        </is>
      </c>
      <c r="F35" s="323" t="inlineStr">
        <is>
          <t>HOT</t>
        </is>
      </c>
    </row>
    <row r="36" ht="15" customHeight="1" s="248">
      <c r="A36" s="321" t="inlineStr">
        <is>
          <t>MN</t>
        </is>
      </c>
      <c r="B36" s="321" t="inlineStr">
        <is>
          <t>Pain</t>
        </is>
      </c>
      <c r="C36" s="321" t="inlineStr">
        <is>
          <t>Phrase</t>
        </is>
      </c>
      <c r="D36" s="321" t="inlineStr">
        <is>
          <t>"trường mầm non an toàn"</t>
        </is>
      </c>
      <c r="E36" s="321" t="inlineStr">
        <is>
          <t>S_MN_GV_Generic</t>
        </is>
      </c>
      <c r="F36" s="321" t="n"/>
    </row>
    <row r="37" ht="15" customHeight="1" s="248">
      <c r="A37" s="323" t="inlineStr">
        <is>
          <t>MN</t>
        </is>
      </c>
      <c r="B37" s="323" t="inlineStr">
        <is>
          <t>Pain</t>
        </is>
      </c>
      <c r="C37" s="323" t="inlineStr">
        <is>
          <t>Phrase</t>
        </is>
      </c>
      <c r="D37" s="323" t="inlineStr">
        <is>
          <t>"trường mầm non có camera"</t>
        </is>
      </c>
      <c r="E37" s="323" t="inlineStr">
        <is>
          <t>S_MN_GV_Generic</t>
        </is>
      </c>
      <c r="F37" s="323" t="n"/>
    </row>
    <row r="38" ht="15" customHeight="1" s="248">
      <c r="A38" s="321" t="inlineStr">
        <is>
          <t>TH</t>
        </is>
      </c>
      <c r="B38" s="321" t="inlineStr">
        <is>
          <t>Brand</t>
        </is>
      </c>
      <c r="C38" s="321" t="inlineStr">
        <is>
          <t>Exact</t>
        </is>
      </c>
      <c r="D38" s="321" t="inlineStr">
        <is>
          <t>[trường việt anh gò vấp]</t>
        </is>
      </c>
      <c r="E38" s="321" t="inlineStr">
        <is>
          <t>S_BRAND</t>
        </is>
      </c>
      <c r="F38" s="321" t="n"/>
    </row>
    <row r="39" ht="15" customHeight="1" s="248">
      <c r="A39" s="323" t="inlineStr">
        <is>
          <t>TH</t>
        </is>
      </c>
      <c r="B39" s="323" t="inlineStr">
        <is>
          <t>Brand</t>
        </is>
      </c>
      <c r="C39" s="323" t="inlineStr">
        <is>
          <t>Exact</t>
        </is>
      </c>
      <c r="D39" s="323" t="inlineStr">
        <is>
          <t>[trường việt anh bình tân]</t>
        </is>
      </c>
      <c r="E39" s="323" t="inlineStr">
        <is>
          <t>S_BRAND</t>
        </is>
      </c>
      <c r="F39" s="323" t="n"/>
    </row>
    <row r="40" ht="15" customHeight="1" s="248">
      <c r="A40" s="321" t="inlineStr">
        <is>
          <t>TH</t>
        </is>
      </c>
      <c r="B40" s="321" t="inlineStr">
        <is>
          <t>Generic</t>
        </is>
      </c>
      <c r="C40" s="321" t="inlineStr">
        <is>
          <t>Exact</t>
        </is>
      </c>
      <c r="D40" s="321" t="inlineStr">
        <is>
          <t>[trường tiểu học song ngữ gò vấp]</t>
        </is>
      </c>
      <c r="E40" s="321" t="inlineStr">
        <is>
          <t>S_TH_GV_Generic</t>
        </is>
      </c>
      <c r="F40" s="321" t="n"/>
    </row>
    <row r="41" ht="15" customHeight="1" s="248">
      <c r="A41" s="323" t="inlineStr">
        <is>
          <t>TH</t>
        </is>
      </c>
      <c r="B41" s="323" t="inlineStr">
        <is>
          <t>Generic</t>
        </is>
      </c>
      <c r="C41" s="323" t="inlineStr">
        <is>
          <t>Exact</t>
        </is>
      </c>
      <c r="D41" s="323" t="inlineStr">
        <is>
          <t>[trường tiểu học tư thục bình tân]</t>
        </is>
      </c>
      <c r="E41" s="323" t="inlineStr">
        <is>
          <t>S_TH_BT_Generic</t>
        </is>
      </c>
      <c r="F41" s="323" t="n"/>
    </row>
    <row r="42" ht="15" customHeight="1" s="248">
      <c r="A42" s="321" t="inlineStr">
        <is>
          <t>TH</t>
        </is>
      </c>
      <c r="B42" s="321" t="inlineStr">
        <is>
          <t>HighIntent</t>
        </is>
      </c>
      <c r="C42" s="321" t="inlineStr">
        <is>
          <t>Exact</t>
        </is>
      </c>
      <c r="D42" s="321" t="inlineStr">
        <is>
          <t>[tuyển sinh lớp 1 trường tư]</t>
        </is>
      </c>
      <c r="E42" s="321" t="inlineStr">
        <is>
          <t>S_TH_GV_HighIntent</t>
        </is>
      </c>
      <c r="F42" s="321" t="inlineStr">
        <is>
          <t>HOT</t>
        </is>
      </c>
    </row>
    <row r="43" ht="15" customHeight="1" s="248">
      <c r="A43" s="323" t="inlineStr">
        <is>
          <t>TH</t>
        </is>
      </c>
      <c r="B43" s="323" t="inlineStr">
        <is>
          <t>HighIntent</t>
        </is>
      </c>
      <c r="C43" s="323" t="inlineStr">
        <is>
          <t>Exact</t>
        </is>
      </c>
      <c r="D43" s="323" t="inlineStr">
        <is>
          <t>[học phí tiểu học song ngữ]</t>
        </is>
      </c>
      <c r="E43" s="323" t="inlineStr">
        <is>
          <t>S_TH_GV_HighIntent</t>
        </is>
      </c>
      <c r="F43" s="323" t="inlineStr">
        <is>
          <t>HOT</t>
        </is>
      </c>
    </row>
    <row r="44" ht="15" customHeight="1" s="248">
      <c r="A44" s="321" t="inlineStr">
        <is>
          <t>THCS</t>
        </is>
      </c>
      <c r="B44" s="321" t="inlineStr">
        <is>
          <t>Generic</t>
        </is>
      </c>
      <c r="C44" s="321" t="inlineStr">
        <is>
          <t>Exact</t>
        </is>
      </c>
      <c r="D44" s="321" t="inlineStr">
        <is>
          <t>[trường thcs tư thục gò vấp]</t>
        </is>
      </c>
      <c r="E44" s="321" t="inlineStr">
        <is>
          <t>S_THCS_GV_Generic</t>
        </is>
      </c>
      <c r="F44" s="321" t="n"/>
    </row>
    <row r="45" ht="15" customHeight="1" s="248">
      <c r="A45" s="323" t="inlineStr">
        <is>
          <t>THCS</t>
        </is>
      </c>
      <c r="B45" s="323" t="inlineStr">
        <is>
          <t>Generic</t>
        </is>
      </c>
      <c r="C45" s="323" t="inlineStr">
        <is>
          <t>Phrase</t>
        </is>
      </c>
      <c r="D45" s="323" t="inlineStr">
        <is>
          <t>"trường cấp 2 song ngữ"</t>
        </is>
      </c>
      <c r="E45" s="323" t="inlineStr">
        <is>
          <t>S_THCS_GV_Generic</t>
        </is>
      </c>
      <c r="F45" s="323" t="n"/>
    </row>
    <row r="46" ht="23.25" customHeight="1" s="248">
      <c r="A46" s="321" t="inlineStr">
        <is>
          <t>THCS</t>
        </is>
      </c>
      <c r="B46" s="321" t="inlineStr">
        <is>
          <t>HighIntent</t>
        </is>
      </c>
      <c r="C46" s="321" t="inlineStr">
        <is>
          <t>Exact</t>
        </is>
      </c>
      <c r="D46" s="321" t="inlineStr">
        <is>
          <t>[tuyển sinh lớp 6 trường tư]</t>
        </is>
      </c>
      <c r="E46" s="321" t="inlineStr">
        <is>
          <t>S_THCS_GV_HighIntent</t>
        </is>
      </c>
      <c r="F46" s="321" t="inlineStr">
        <is>
          <t>HOT</t>
        </is>
      </c>
    </row>
    <row r="47" ht="23.25" customHeight="1" s="248">
      <c r="A47" s="323" t="inlineStr">
        <is>
          <t>THCS</t>
        </is>
      </c>
      <c r="B47" s="323" t="inlineStr">
        <is>
          <t>HighIntent</t>
        </is>
      </c>
      <c r="C47" s="323" t="inlineStr">
        <is>
          <t>Exact</t>
        </is>
      </c>
      <c r="D47" s="323" t="inlineStr">
        <is>
          <t>[học phí thcs song ngữ]</t>
        </is>
      </c>
      <c r="E47" s="323" t="inlineStr">
        <is>
          <t>S_THCS_GV_HighIntent</t>
        </is>
      </c>
      <c r="F47" s="323" t="n"/>
    </row>
    <row r="48" ht="15" customHeight="1" s="248">
      <c r="A48" s="321" t="inlineStr">
        <is>
          <t>THPT</t>
        </is>
      </c>
      <c r="B48" s="321" t="inlineStr">
        <is>
          <t>Generic</t>
        </is>
      </c>
      <c r="C48" s="321" t="inlineStr">
        <is>
          <t>Exact</t>
        </is>
      </c>
      <c r="D48" s="321" t="inlineStr">
        <is>
          <t>[trường thpt tư thục gò vấp]</t>
        </is>
      </c>
      <c r="E48" s="321" t="inlineStr">
        <is>
          <t>S_THPT_GV_Generic</t>
        </is>
      </c>
      <c r="F48" s="321" t="n"/>
    </row>
    <row r="49" ht="15" customHeight="1" s="248">
      <c r="A49" s="323" t="inlineStr">
        <is>
          <t>THPT</t>
        </is>
      </c>
      <c r="B49" s="323" t="inlineStr">
        <is>
          <t>Generic</t>
        </is>
      </c>
      <c r="C49" s="323" t="inlineStr">
        <is>
          <t>Phrase</t>
        </is>
      </c>
      <c r="D49" s="323" t="inlineStr">
        <is>
          <t>"trường cấp 3 song ngữ"</t>
        </is>
      </c>
      <c r="E49" s="323" t="inlineStr">
        <is>
          <t>S_THPT_GV_Generic</t>
        </is>
      </c>
      <c r="F49" s="323" t="n"/>
    </row>
    <row r="50" ht="23.25" customHeight="1" s="248">
      <c r="A50" s="321" t="inlineStr">
        <is>
          <t>THPT</t>
        </is>
      </c>
      <c r="B50" s="321" t="inlineStr">
        <is>
          <t>HighIntent</t>
        </is>
      </c>
      <c r="C50" s="321" t="inlineStr">
        <is>
          <t>Exact</t>
        </is>
      </c>
      <c r="D50" s="321" t="inlineStr">
        <is>
          <t>[tuyển sinh lớp 10 trường tư]</t>
        </is>
      </c>
      <c r="E50" s="321" t="inlineStr">
        <is>
          <t>S_THPT_GV_HighIntent</t>
        </is>
      </c>
      <c r="F50" s="321" t="inlineStr">
        <is>
          <t>HOT</t>
        </is>
      </c>
    </row>
    <row r="51" ht="23.25" customHeight="1" s="248">
      <c r="A51" s="323" t="inlineStr">
        <is>
          <t>THPT</t>
        </is>
      </c>
      <c r="B51" s="323" t="inlineStr">
        <is>
          <t>HighIntent</t>
        </is>
      </c>
      <c r="C51" s="323" t="inlineStr">
        <is>
          <t>Exact</t>
        </is>
      </c>
      <c r="D51" s="323" t="inlineStr">
        <is>
          <t>[học bổng lớp 10]</t>
        </is>
      </c>
      <c r="E51" s="323" t="inlineStr">
        <is>
          <t>S_THPT_GV_HighIntent</t>
        </is>
      </c>
      <c r="F51" s="323" t="inlineStr">
        <is>
          <t>HOT</t>
        </is>
      </c>
    </row>
    <row r="52" ht="23.25" customHeight="1" s="248">
      <c r="A52" s="321" t="inlineStr">
        <is>
          <t>THPT</t>
        </is>
      </c>
      <c r="B52" s="321" t="inlineStr">
        <is>
          <t>HighIntent</t>
        </is>
      </c>
      <c r="C52" s="321" t="inlineStr">
        <is>
          <t>Exact</t>
        </is>
      </c>
      <c r="D52" s="321" t="inlineStr">
        <is>
          <t>[chuyển trường cấp 3]</t>
        </is>
      </c>
      <c r="E52" s="321" t="inlineStr">
        <is>
          <t>S_THPT_GV_HighIntent</t>
        </is>
      </c>
      <c r="F52" s="321" t="inlineStr">
        <is>
          <t>Late intake</t>
        </is>
      </c>
    </row>
    <row r="53" ht="15" customHeight="1" s="248">
      <c r="A53" s="323" t="inlineStr">
        <is>
          <t>THPT</t>
        </is>
      </c>
      <c r="B53" s="323" t="inlineStr">
        <is>
          <t>Webinar</t>
        </is>
      </c>
      <c r="C53" s="323" t="inlineStr">
        <is>
          <t>Phrase</t>
        </is>
      </c>
      <c r="D53" s="323" t="inlineStr">
        <is>
          <t>"hội thảo chọn trường lớp 10"</t>
        </is>
      </c>
      <c r="E53" s="323" t="inlineStr">
        <is>
          <t>S_THPT_GV_Webinar</t>
        </is>
      </c>
      <c r="F53" s="323" t="n"/>
    </row>
    <row r="55" ht="15" customHeight="1" s="248">
      <c r="A55" s="347" t="inlineStr">
        <is>
          <t>C. NEGATIVE KEYWORDS</t>
        </is>
      </c>
    </row>
    <row r="56" ht="15" customHeight="1" s="248">
      <c r="A56" s="348" t="inlineStr">
        <is>
          <t>Scope</t>
        </is>
      </c>
      <c r="B56" s="348" t="inlineStr">
        <is>
          <t>Match</t>
        </is>
      </c>
      <c r="C56" s="348" t="inlineStr">
        <is>
          <t>Keyword</t>
        </is>
      </c>
      <c r="D56" s="348" t="inlineStr">
        <is>
          <t>Lý do</t>
        </is>
      </c>
    </row>
    <row r="57" ht="15" customHeight="1" s="248">
      <c r="A57" s="321" t="inlineStr">
        <is>
          <t>Toàn TK</t>
        </is>
      </c>
      <c r="B57" s="321" t="inlineStr">
        <is>
          <t>Phrase</t>
        </is>
      </c>
      <c r="C57" s="321" t="inlineStr">
        <is>
          <t>miễn phí</t>
        </is>
      </c>
      <c r="D57" s="321" t="inlineStr">
        <is>
          <t>Không phù hợp</t>
        </is>
      </c>
    </row>
    <row r="58" ht="15" customHeight="1" s="248">
      <c r="A58" s="323" t="inlineStr">
        <is>
          <t>Toàn TK</t>
        </is>
      </c>
      <c r="B58" s="323" t="inlineStr">
        <is>
          <t>Phrase</t>
        </is>
      </c>
      <c r="C58" s="323" t="inlineStr">
        <is>
          <t>giáo án</t>
        </is>
      </c>
      <c r="D58" s="323" t="inlineStr">
        <is>
          <t>Không phù hợp</t>
        </is>
      </c>
    </row>
    <row r="59" ht="15" customHeight="1" s="248">
      <c r="A59" s="321" t="inlineStr">
        <is>
          <t>Toàn TK</t>
        </is>
      </c>
      <c r="B59" s="321" t="inlineStr">
        <is>
          <t>Phrase</t>
        </is>
      </c>
      <c r="C59" s="321" t="inlineStr">
        <is>
          <t>tuyển dụng</t>
        </is>
      </c>
      <c r="D59" s="321" t="inlineStr">
        <is>
          <t>Nhầm</t>
        </is>
      </c>
    </row>
    <row r="60" ht="15" customHeight="1" s="248">
      <c r="A60" s="323" t="inlineStr">
        <is>
          <t>Toàn TK</t>
        </is>
      </c>
      <c r="B60" s="323" t="inlineStr">
        <is>
          <t>Phrase</t>
        </is>
      </c>
      <c r="C60" s="323" t="inlineStr">
        <is>
          <t>việc làm</t>
        </is>
      </c>
      <c r="D60" s="323" t="inlineStr">
        <is>
          <t>Nhầm</t>
        </is>
      </c>
    </row>
    <row r="61" ht="15" customHeight="1" s="248">
      <c r="A61" s="321" t="inlineStr">
        <is>
          <t>Toàn TK</t>
        </is>
      </c>
      <c r="B61" s="321" t="inlineStr">
        <is>
          <t>Phrase</t>
        </is>
      </c>
      <c r="C61" s="321" t="inlineStr">
        <is>
          <t>giáo viên</t>
        </is>
      </c>
      <c r="D61" s="321" t="inlineStr">
        <is>
          <t>Nhầm</t>
        </is>
      </c>
    </row>
    <row r="62" ht="15" customHeight="1" s="248">
      <c r="A62" s="323" t="inlineStr">
        <is>
          <t>Toàn TK</t>
        </is>
      </c>
      <c r="B62" s="323" t="inlineStr">
        <is>
          <t>Phrase</t>
        </is>
      </c>
      <c r="C62" s="323" t="inlineStr">
        <is>
          <t>đại học</t>
        </is>
      </c>
      <c r="D62" s="323" t="inlineStr">
        <is>
          <t>Sai cấp</t>
        </is>
      </c>
    </row>
    <row r="63" ht="15" customHeight="1" s="248">
      <c r="A63" s="321" t="inlineStr">
        <is>
          <t>Toàn TK</t>
        </is>
      </c>
      <c r="B63" s="321" t="inlineStr">
        <is>
          <t>Phrase</t>
        </is>
      </c>
      <c r="C63" s="321" t="inlineStr">
        <is>
          <t>du học</t>
        </is>
      </c>
      <c r="D63" s="321" t="inlineStr">
        <is>
          <t>Sai</t>
        </is>
      </c>
    </row>
    <row r="64" ht="15" customHeight="1" s="248">
      <c r="A64" s="323" t="inlineStr">
        <is>
          <t>Toàn TK</t>
        </is>
      </c>
      <c r="B64" s="323" t="inlineStr">
        <is>
          <t>Phrase</t>
        </is>
      </c>
      <c r="C64" s="323" t="inlineStr">
        <is>
          <t>gia sư</t>
        </is>
      </c>
      <c r="D64" s="323" t="inlineStr">
        <is>
          <t>Sai</t>
        </is>
      </c>
    </row>
    <row r="65" ht="15" customHeight="1" s="248">
      <c r="A65" s="321" t="inlineStr">
        <is>
          <t>Toàn TK</t>
        </is>
      </c>
      <c r="B65" s="321" t="inlineStr">
        <is>
          <t>Phrase</t>
        </is>
      </c>
      <c r="C65" s="321" t="inlineStr">
        <is>
          <t>trường công</t>
        </is>
      </c>
      <c r="D65" s="321" t="inlineStr">
        <is>
          <t>Sai đối tượng</t>
        </is>
      </c>
    </row>
    <row r="66" ht="15" customHeight="1" s="248">
      <c r="A66" s="323" t="inlineStr">
        <is>
          <t>Toàn TK</t>
        </is>
      </c>
      <c r="B66" s="323" t="inlineStr">
        <is>
          <t>Phrase</t>
        </is>
      </c>
      <c r="C66" s="323" t="inlineStr">
        <is>
          <t>điểm chuẩn</t>
        </is>
      </c>
      <c r="D66" s="323" t="inlineStr">
        <is>
          <t>Sai intent</t>
        </is>
      </c>
    </row>
    <row r="67" ht="15" customHeight="1" s="248">
      <c r="A67" s="321" t="inlineStr">
        <is>
          <t>Toàn TK</t>
        </is>
      </c>
      <c r="B67" s="321" t="inlineStr">
        <is>
          <t>Phrase</t>
        </is>
      </c>
      <c r="C67" s="321" t="inlineStr">
        <is>
          <t>đề thi</t>
        </is>
      </c>
      <c r="D67" s="321" t="inlineStr">
        <is>
          <t>Sai intent</t>
        </is>
      </c>
    </row>
    <row r="68" ht="15" customHeight="1" s="248">
      <c r="A68" s="323" t="inlineStr">
        <is>
          <t>Toàn TK</t>
        </is>
      </c>
      <c r="B68" s="323" t="inlineStr">
        <is>
          <t>Phrase</t>
        </is>
      </c>
      <c r="C68" s="323" t="inlineStr">
        <is>
          <t>đáp án</t>
        </is>
      </c>
      <c r="D68" s="323" t="inlineStr">
        <is>
          <t>Sai intent</t>
        </is>
      </c>
    </row>
    <row r="69" ht="15" customHeight="1" s="248">
      <c r="A69" s="321" t="inlineStr">
        <is>
          <t>MN</t>
        </is>
      </c>
      <c r="B69" s="321" t="inlineStr">
        <is>
          <t>Phrase</t>
        </is>
      </c>
      <c r="C69" s="321" t="inlineStr">
        <is>
          <t>đồ chơi</t>
        </is>
      </c>
      <c r="D69" s="321" t="inlineStr">
        <is>
          <t>Sai</t>
        </is>
      </c>
    </row>
    <row r="70" ht="15" customHeight="1" s="248">
      <c r="A70" s="323" t="inlineStr">
        <is>
          <t>MN</t>
        </is>
      </c>
      <c r="B70" s="323" t="inlineStr">
        <is>
          <t>Phrase</t>
        </is>
      </c>
      <c r="C70" s="323" t="inlineStr">
        <is>
          <t>tranh tô màu</t>
        </is>
      </c>
      <c r="D70" s="323" t="inlineStr">
        <is>
          <t>Sai</t>
        </is>
      </c>
    </row>
    <row r="71" ht="15" customHeight="1" s="248">
      <c r="A71" s="321" t="inlineStr">
        <is>
          <t>THPT</t>
        </is>
      </c>
      <c r="B71" s="321" t="inlineStr">
        <is>
          <t>Phrase</t>
        </is>
      </c>
      <c r="C71" s="321" t="inlineStr">
        <is>
          <t>luyện thi</t>
        </is>
      </c>
      <c r="D71" s="321" t="inlineStr">
        <is>
          <t>Sai</t>
        </is>
      </c>
    </row>
    <row r="72" ht="15" customHeight="1" s="248">
      <c r="A72" s="323" t="inlineStr">
        <is>
          <t>THPT</t>
        </is>
      </c>
      <c r="B72" s="323" t="inlineStr">
        <is>
          <t>Phrase</t>
        </is>
      </c>
      <c r="C72" s="323" t="inlineStr">
        <is>
          <t>đề toán</t>
        </is>
      </c>
      <c r="D72" s="323" t="inlineStr">
        <is>
          <t>Sai</t>
        </is>
      </c>
    </row>
    <row r="74" ht="15" customHeight="1" s="248">
      <c r="A74" s="345" t="inlineStr">
        <is>
          <t>D. RSA – MẪU QUẢNG CÁO</t>
        </is>
      </c>
    </row>
    <row r="75" ht="15" customHeight="1" s="248">
      <c r="A75" s="346" t="inlineStr">
        <is>
          <t>Cấp</t>
        </is>
      </c>
      <c r="B75" s="346" t="inlineStr">
        <is>
          <t>Loại</t>
        </is>
      </c>
      <c r="C75" s="346" t="inlineStr">
        <is>
          <t>Nội dung</t>
        </is>
      </c>
      <c r="D75" s="346" t="inlineStr">
        <is>
          <t>Pin vị trí</t>
        </is>
      </c>
      <c r="E75" s="346" t="inlineStr">
        <is>
          <t>Ghi chú</t>
        </is>
      </c>
    </row>
    <row r="76" ht="15" customHeight="1" s="248">
      <c r="A76" s="321" t="inlineStr">
        <is>
          <t>MN</t>
        </is>
      </c>
      <c r="B76" s="321" t="inlineStr">
        <is>
          <t>Headline</t>
        </is>
      </c>
      <c r="C76" s="321" t="inlineStr">
        <is>
          <t>Tuyển Sinh Mầm Non 2026</t>
        </is>
      </c>
      <c r="D76" s="321" t="inlineStr">
        <is>
          <t>H1</t>
        </is>
      </c>
      <c r="E76" s="321" t="n"/>
    </row>
    <row r="77" ht="15" customHeight="1" s="248">
      <c r="A77" s="323" t="inlineStr">
        <is>
          <t>MN</t>
        </is>
      </c>
      <c r="B77" s="323" t="inlineStr">
        <is>
          <t>Headline</t>
        </is>
      </c>
      <c r="C77" s="323" t="inlineStr">
        <is>
          <t>Trường Mầm Non Song Ngữ Gò Vấp</t>
        </is>
      </c>
      <c r="D77" s="323" t="inlineStr">
        <is>
          <t>H2</t>
        </is>
      </c>
      <c r="E77" s="323" t="inlineStr">
        <is>
          <t>Campus</t>
        </is>
      </c>
    </row>
    <row r="78" ht="15" customHeight="1" s="248">
      <c r="A78" s="321" t="inlineStr">
        <is>
          <t>MN</t>
        </is>
      </c>
      <c r="B78" s="321" t="inlineStr">
        <is>
          <t>Headline</t>
        </is>
      </c>
      <c r="C78" s="321" t="inlineStr">
        <is>
          <t>Môi Trường An Toàn Cho Bé</t>
        </is>
      </c>
      <c r="D78" s="321" t="n"/>
      <c r="E78" s="321" t="inlineStr">
        <is>
          <t>USP</t>
        </is>
      </c>
    </row>
    <row r="79" ht="15" customHeight="1" s="248">
      <c r="A79" s="323" t="inlineStr">
        <is>
          <t>MN</t>
        </is>
      </c>
      <c r="B79" s="323" t="inlineStr">
        <is>
          <t>Headline</t>
        </is>
      </c>
      <c r="C79" s="323" t="inlineStr">
        <is>
          <t>Đăng Ký School Tour Ngay</t>
        </is>
      </c>
      <c r="D79" s="323" t="n"/>
      <c r="E79" s="323" t="inlineStr">
        <is>
          <t>CTA</t>
        </is>
      </c>
    </row>
    <row r="80" ht="15" customHeight="1" s="248">
      <c r="A80" s="321" t="inlineStr">
        <is>
          <t>MN</t>
        </is>
      </c>
      <c r="B80" s="321" t="inlineStr">
        <is>
          <t>Headline</t>
        </is>
      </c>
      <c r="C80" s="321" t="inlineStr">
        <is>
          <t>Học Phí Phù Hợp, Minh Bạch</t>
        </is>
      </c>
      <c r="D80" s="321" t="n"/>
      <c r="E80" s="321" t="n"/>
    </row>
    <row r="81" ht="15" customHeight="1" s="248">
      <c r="A81" s="323" t="inlineStr">
        <is>
          <t>MN</t>
        </is>
      </c>
      <c r="B81" s="323" t="inlineStr">
        <is>
          <t>Headline</t>
        </is>
      </c>
      <c r="C81" s="323" t="inlineStr">
        <is>
          <t>Gần Nhà, Thuận Tiện Đưa Đón</t>
        </is>
      </c>
      <c r="D81" s="323" t="n"/>
      <c r="E81" s="323" t="inlineStr">
        <is>
          <t>Local</t>
        </is>
      </c>
    </row>
    <row r="82" ht="23.25" customHeight="1" s="248">
      <c r="A82" s="321" t="inlineStr">
        <is>
          <t>MN</t>
        </is>
      </c>
      <c r="B82" s="321" t="inlineStr">
        <is>
          <t>Description</t>
        </is>
      </c>
      <c r="C82" s="321" t="inlineStr">
        <is>
          <t>Tìm hiểu chương trình mầm non và lịch tham quan trường. Đăng ký tư vấn nhanh.</t>
        </is>
      </c>
      <c r="D82" s="321" t="inlineStr">
        <is>
          <t>D1</t>
        </is>
      </c>
      <c r="E82" s="321" t="n"/>
    </row>
    <row r="83" ht="23.25" customHeight="1" s="248">
      <c r="A83" s="323" t="inlineStr">
        <is>
          <t>MN</t>
        </is>
      </c>
      <c r="B83" s="323" t="inlineStr">
        <is>
          <t>Description</t>
        </is>
      </c>
      <c r="C83" s="323" t="inlineStr">
        <is>
          <t>Môi trường an toàn, giáo viên tận tâm. Xem cơ sở thực tế ngay.</t>
        </is>
      </c>
      <c r="D83" s="323" t="inlineStr">
        <is>
          <t>D2</t>
        </is>
      </c>
      <c r="E83" s="323" t="n"/>
    </row>
    <row r="84" ht="15" customHeight="1" s="248">
      <c r="A84" s="321" t="inlineStr">
        <is>
          <t>TH</t>
        </is>
      </c>
      <c r="B84" s="321" t="inlineStr">
        <is>
          <t>Headline</t>
        </is>
      </c>
      <c r="C84" s="321" t="inlineStr">
        <is>
          <t>Tuyển Sinh Lớp 1 Năm Học 2026</t>
        </is>
      </c>
      <c r="D84" s="321" t="inlineStr">
        <is>
          <t>H1</t>
        </is>
      </c>
      <c r="E84" s="321" t="n"/>
    </row>
    <row r="85" ht="15" customHeight="1" s="248">
      <c r="A85" s="323" t="inlineStr">
        <is>
          <t>TH</t>
        </is>
      </c>
      <c r="B85" s="323" t="inlineStr">
        <is>
          <t>Headline</t>
        </is>
      </c>
      <c r="C85" s="323" t="inlineStr">
        <is>
          <t>Trường Tiểu Học Song Ngữ Gò Vấp</t>
        </is>
      </c>
      <c r="D85" s="323" t="inlineStr">
        <is>
          <t>H2</t>
        </is>
      </c>
      <c r="E85" s="323" t="n"/>
    </row>
    <row r="86" ht="15" customHeight="1" s="248">
      <c r="A86" s="321" t="inlineStr">
        <is>
          <t>TH</t>
        </is>
      </c>
      <c r="B86" s="321" t="inlineStr">
        <is>
          <t>Headline</t>
        </is>
      </c>
      <c r="C86" s="321" t="inlineStr">
        <is>
          <t>Tiếng Anh Có Lộ Trình Rõ Ràng</t>
        </is>
      </c>
      <c r="D86" s="321" t="n"/>
      <c r="E86" s="321" t="inlineStr">
        <is>
          <t>USP</t>
        </is>
      </c>
    </row>
    <row r="87" ht="15" customHeight="1" s="248">
      <c r="A87" s="323" t="inlineStr">
        <is>
          <t>TH</t>
        </is>
      </c>
      <c r="B87" s="323" t="inlineStr">
        <is>
          <t>Headline</t>
        </is>
      </c>
      <c r="C87" s="323" t="inlineStr">
        <is>
          <t>Mời Tham Quan Trường Ngay</t>
        </is>
      </c>
      <c r="D87" s="323" t="n"/>
      <c r="E87" s="323" t="inlineStr">
        <is>
          <t>CTA</t>
        </is>
      </c>
    </row>
    <row r="88" ht="23.25" customHeight="1" s="248">
      <c r="A88" s="321" t="inlineStr">
        <is>
          <t>TH</t>
        </is>
      </c>
      <c r="B88" s="321" t="inlineStr">
        <is>
          <t>Description</t>
        </is>
      </c>
      <c r="C88" s="321" t="inlineStr">
        <is>
          <t>Tìm hiểu chương trình tiểu học và lộ trình tiếng Anh phù hợp cho con.</t>
        </is>
      </c>
      <c r="D88" s="321" t="inlineStr">
        <is>
          <t>D1</t>
        </is>
      </c>
      <c r="E88" s="321" t="n"/>
    </row>
    <row r="89" ht="15" customHeight="1" s="248">
      <c r="A89" s="323" t="inlineStr">
        <is>
          <t>THCS</t>
        </is>
      </c>
      <c r="B89" s="323" t="inlineStr">
        <is>
          <t>Headline</t>
        </is>
      </c>
      <c r="C89" s="323" t="inlineStr">
        <is>
          <t>Tuyển Sinh Lớp 6 Năm 2026</t>
        </is>
      </c>
      <c r="D89" s="323" t="inlineStr">
        <is>
          <t>H1</t>
        </is>
      </c>
      <c r="E89" s="323" t="n"/>
    </row>
    <row r="90" ht="15" customHeight="1" s="248">
      <c r="A90" s="321" t="inlineStr">
        <is>
          <t>THCS</t>
        </is>
      </c>
      <c r="B90" s="321" t="inlineStr">
        <is>
          <t>Headline</t>
        </is>
      </c>
      <c r="C90" s="321" t="inlineStr">
        <is>
          <t>Trường THCS Việt Anh Gò Vấp</t>
        </is>
      </c>
      <c r="D90" s="321" t="inlineStr">
        <is>
          <t>H2</t>
        </is>
      </c>
      <c r="E90" s="321" t="n"/>
    </row>
    <row r="91" ht="15" customHeight="1" s="248">
      <c r="A91" s="323" t="inlineStr">
        <is>
          <t>THCS</t>
        </is>
      </c>
      <c r="B91" s="323" t="inlineStr">
        <is>
          <t>Headline</t>
        </is>
      </c>
      <c r="C91" s="323" t="inlineStr">
        <is>
          <t>Theo Sát Học Sinh Giai Đoạn Bản Lề</t>
        </is>
      </c>
      <c r="D91" s="323" t="n"/>
      <c r="E91" s="323" t="inlineStr">
        <is>
          <t>USP</t>
        </is>
      </c>
    </row>
    <row r="92" ht="23.25" customHeight="1" s="248">
      <c r="A92" s="321" t="inlineStr">
        <is>
          <t>THCS</t>
        </is>
      </c>
      <c r="B92" s="321" t="inlineStr">
        <is>
          <t>Description</t>
        </is>
      </c>
      <c r="C92" s="321" t="inlineStr">
        <is>
          <t>THCS cần môi trường nghiêm túc, theo sát từng học sinh. Đăng ký tư vấn.</t>
        </is>
      </c>
      <c r="D92" s="321" t="inlineStr">
        <is>
          <t>D1</t>
        </is>
      </c>
      <c r="E92" s="321" t="n"/>
    </row>
    <row r="93" ht="15" customHeight="1" s="248">
      <c r="A93" s="323" t="inlineStr">
        <is>
          <t>THPT</t>
        </is>
      </c>
      <c r="B93" s="323" t="inlineStr">
        <is>
          <t>Headline</t>
        </is>
      </c>
      <c r="C93" s="323" t="inlineStr">
        <is>
          <t>Tuyển Sinh Lớp 10 Năm 2026</t>
        </is>
      </c>
      <c r="D93" s="323" t="inlineStr">
        <is>
          <t>H1</t>
        </is>
      </c>
      <c r="E93" s="323" t="n"/>
    </row>
    <row r="94" ht="15" customHeight="1" s="248">
      <c r="A94" s="321" t="inlineStr">
        <is>
          <t>THPT</t>
        </is>
      </c>
      <c r="B94" s="321" t="inlineStr">
        <is>
          <t>Headline</t>
        </is>
      </c>
      <c r="C94" s="321" t="inlineStr">
        <is>
          <t>Trường THPT Việt Anh Gò Vấp</t>
        </is>
      </c>
      <c r="D94" s="321" t="inlineStr">
        <is>
          <t>H2</t>
        </is>
      </c>
      <c r="E94" s="321" t="n"/>
    </row>
    <row r="95" ht="15" customHeight="1" s="248">
      <c r="A95" s="323" t="inlineStr">
        <is>
          <t>THPT</t>
        </is>
      </c>
      <c r="B95" s="323" t="inlineStr">
        <is>
          <t>Headline</t>
        </is>
      </c>
      <c r="C95" s="323" t="inlineStr">
        <is>
          <t>Học Bổng Tuyển Sinh Lớp 10</t>
        </is>
      </c>
      <c r="D95" s="323" t="n"/>
      <c r="E95" s="323" t="inlineStr">
        <is>
          <t>Offer</t>
        </is>
      </c>
    </row>
    <row r="96" ht="15" customHeight="1" s="248">
      <c r="A96" s="321" t="inlineStr">
        <is>
          <t>THPT</t>
        </is>
      </c>
      <c r="B96" s="321" t="inlineStr">
        <is>
          <t>Headline</t>
        </is>
      </c>
      <c r="C96" s="321" t="inlineStr">
        <is>
          <t>Định Hướng Đại Học Và Tương Lai</t>
        </is>
      </c>
      <c r="D96" s="321" t="n"/>
      <c r="E96" s="321" t="inlineStr">
        <is>
          <t>USP</t>
        </is>
      </c>
    </row>
    <row r="97" ht="23.25" customHeight="1" s="248">
      <c r="A97" s="323" t="inlineStr">
        <is>
          <t>THPT</t>
        </is>
      </c>
      <c r="B97" s="323" t="inlineStr">
        <is>
          <t>Description</t>
        </is>
      </c>
      <c r="C97" s="323" t="inlineStr">
        <is>
          <t>Đăng ký tư vấn lớp 10, học bổng và tham quan campus ngay hôm nay.</t>
        </is>
      </c>
      <c r="D97" s="323" t="inlineStr">
        <is>
          <t>D1</t>
        </is>
      </c>
      <c r="E97" s="323" t="n"/>
    </row>
    <row r="99" ht="15" customHeight="1" s="248">
      <c r="A99" s="345" t="inlineStr">
        <is>
          <t>E. BIRCH PPC – CẤU HÌNH CHI TIẾT</t>
        </is>
      </c>
    </row>
    <row r="100" ht="15" customHeight="1" s="248">
      <c r="A100" s="346" t="inlineStr">
        <is>
          <t>Bước</t>
        </is>
      </c>
      <c r="B100" s="346" t="inlineStr">
        <is>
          <t>Hành động</t>
        </is>
      </c>
      <c r="C100" s="346" t="inlineStr">
        <is>
          <t>Chi tiết</t>
        </is>
      </c>
      <c r="D100" s="346" t="inlineStr">
        <is>
          <t>Tool/Nơi thực hiện</t>
        </is>
      </c>
      <c r="E100" s="346" t="inlineStr">
        <is>
          <t>Timeline</t>
        </is>
      </c>
      <c r="F100" s="346" t="inlineStr">
        <is>
          <t>Trạng thái</t>
        </is>
      </c>
    </row>
    <row r="101" ht="15" customHeight="1" s="248">
      <c r="A101" s="321" t="inlineStr">
        <is>
          <t>1</t>
        </is>
      </c>
      <c r="B101" s="321" t="inlineStr">
        <is>
          <t>Tạo Workspace</t>
        </is>
      </c>
      <c r="C101" s="321" t="inlineStr">
        <is>
          <t>TruongVietAnh_GoogleAds_2026</t>
        </is>
      </c>
      <c r="D101" s="321" t="inlineStr">
        <is>
          <t>Birch &gt; Workspace</t>
        </is>
      </c>
      <c r="E101" s="321" t="inlineStr">
        <is>
          <t>Ngày 1</t>
        </is>
      </c>
      <c r="F101" s="321" t="inlineStr">
        <is>
          <t>☐</t>
        </is>
      </c>
    </row>
    <row r="102" ht="15" customHeight="1" s="248">
      <c r="A102" s="323" t="inlineStr">
        <is>
          <t>2</t>
        </is>
      </c>
      <c r="B102" s="323" t="inlineStr">
        <is>
          <t>Kết nối Google Ads</t>
        </is>
      </c>
      <c r="C102" s="323" t="inlineStr">
        <is>
          <t>Link account có admin rights</t>
        </is>
      </c>
      <c r="D102" s="323" t="inlineStr">
        <is>
          <t>Birch &gt; Settings &gt; Ad Platforms</t>
        </is>
      </c>
      <c r="E102" s="323" t="inlineStr">
        <is>
          <t>Ngày 1</t>
        </is>
      </c>
      <c r="F102" s="323" t="inlineStr">
        <is>
          <t>☐</t>
        </is>
      </c>
    </row>
    <row r="103" ht="15" customHeight="1" s="248">
      <c r="A103" s="321" t="inlineStr">
        <is>
          <t>3</t>
        </is>
      </c>
      <c r="B103" s="321" t="inlineStr">
        <is>
          <t>Kết nối GA4</t>
        </is>
      </c>
      <c r="C103" s="321" t="inlineStr">
        <is>
          <t>Link GA4 property website + LP</t>
        </is>
      </c>
      <c r="D103" s="321" t="inlineStr">
        <is>
          <t>Birch &gt; Settings &gt; Google Analytics</t>
        </is>
      </c>
      <c r="E103" s="321" t="inlineStr">
        <is>
          <t>Ngày 1</t>
        </is>
      </c>
      <c r="F103" s="321" t="inlineStr">
        <is>
          <t>☐</t>
        </is>
      </c>
    </row>
    <row r="104" ht="15" customHeight="1" s="248">
      <c r="A104" s="323" t="inlineStr">
        <is>
          <t>4</t>
        </is>
      </c>
      <c r="B104" s="323" t="inlineStr">
        <is>
          <t>Kết nối Google Sheets</t>
        </is>
      </c>
      <c r="C104" s="323" t="inlineStr">
        <is>
          <t>Share sheet cho service account Birch</t>
        </is>
      </c>
      <c r="D104" s="323" t="inlineStr">
        <is>
          <t>Google Sheets &gt; Share</t>
        </is>
      </c>
      <c r="E104" s="323" t="inlineStr">
        <is>
          <t>Ngày 1</t>
        </is>
      </c>
      <c r="F104" s="323" t="inlineStr">
        <is>
          <t>☐</t>
        </is>
      </c>
    </row>
    <row r="105" ht="23.25" customHeight="1" s="248">
      <c r="A105" s="321" t="inlineStr">
        <is>
          <t>5</t>
        </is>
      </c>
      <c r="B105" s="321" t="inlineStr">
        <is>
          <t>Tạo Custom Metrics</t>
        </is>
      </c>
      <c r="C105" s="321" t="inlineStr">
        <is>
          <t>Qualified Rate, Booked Tour Rate, Cost/Tour, CAC</t>
        </is>
      </c>
      <c r="D105" s="321" t="inlineStr">
        <is>
          <t>Birch &gt; Custom Metrics</t>
        </is>
      </c>
      <c r="E105" s="321" t="inlineStr">
        <is>
          <t>Ngày 2</t>
        </is>
      </c>
      <c r="F105" s="321" t="inlineStr">
        <is>
          <t>☐</t>
        </is>
      </c>
    </row>
    <row r="106" ht="15" customHeight="1" s="248">
      <c r="A106" s="323" t="inlineStr">
        <is>
          <t>6</t>
        </is>
      </c>
      <c r="B106" s="323" t="inlineStr">
        <is>
          <t>Rule: Alert CPL cao</t>
        </is>
      </c>
      <c r="C106" s="323" t="inlineStr">
        <is>
          <t>IF CPL &gt; target 20% for 3 days → Slack alert</t>
        </is>
      </c>
      <c r="D106" s="323" t="inlineStr">
        <is>
          <t>Birch &gt; Automation Rules</t>
        </is>
      </c>
      <c r="E106" s="323" t="inlineStr">
        <is>
          <t>Ngày 2</t>
        </is>
      </c>
      <c r="F106" s="323" t="inlineStr">
        <is>
          <t>☐</t>
        </is>
      </c>
    </row>
    <row r="107" ht="15" customHeight="1" s="248">
      <c r="A107" s="321" t="inlineStr">
        <is>
          <t>7</t>
        </is>
      </c>
      <c r="B107" s="321" t="inlineStr">
        <is>
          <t>Rule: Alert zero lead</t>
        </is>
      </c>
      <c r="C107" s="321" t="inlineStr">
        <is>
          <t>IF spend &gt; 500K + leads = 0 for 3 days → alert</t>
        </is>
      </c>
      <c r="D107" s="321" t="inlineStr">
        <is>
          <t>Birch &gt; Automation Rules</t>
        </is>
      </c>
      <c r="E107" s="321" t="inlineStr">
        <is>
          <t>Ngày 2</t>
        </is>
      </c>
      <c r="F107" s="321" t="inlineStr">
        <is>
          <t>☐</t>
        </is>
      </c>
    </row>
    <row r="108" ht="23.25" customHeight="1" s="248">
      <c r="A108" s="323" t="inlineStr">
        <is>
          <t>8</t>
        </is>
      </c>
      <c r="B108" s="323" t="inlineStr">
        <is>
          <t>Rule: Scale campaign tốt</t>
        </is>
      </c>
      <c r="C108" s="323" t="inlineStr">
        <is>
          <t>IF CPL &lt; target + Qualified &gt; 50% → tăng budget 15%</t>
        </is>
      </c>
      <c r="D108" s="323" t="inlineStr">
        <is>
          <t>Birch &gt; Automation Rules</t>
        </is>
      </c>
      <c r="E108" s="323" t="inlineStr">
        <is>
          <t>Tuần 2</t>
        </is>
      </c>
      <c r="F108" s="323" t="inlineStr">
        <is>
          <t>☐</t>
        </is>
      </c>
    </row>
    <row r="109" ht="23.25" customHeight="1" s="248">
      <c r="A109" s="321" t="inlineStr">
        <is>
          <t>9</t>
        </is>
      </c>
      <c r="B109" s="321" t="inlineStr">
        <is>
          <t>Rule: Giảm campaign yếu</t>
        </is>
      </c>
      <c r="C109" s="321" t="inlineStr">
        <is>
          <t>IF CPL &gt; target 30% + tour = 0 → giảm 15%</t>
        </is>
      </c>
      <c r="D109" s="321" t="inlineStr">
        <is>
          <t>Birch &gt; Automation Rules</t>
        </is>
      </c>
      <c r="E109" s="321" t="inlineStr">
        <is>
          <t>Tuần 2</t>
        </is>
      </c>
      <c r="F109" s="321" t="inlineStr">
        <is>
          <t>☐</t>
        </is>
      </c>
    </row>
    <row r="110" ht="23.25" customHeight="1" s="248">
      <c r="A110" s="323" t="inlineStr">
        <is>
          <t>10</t>
        </is>
      </c>
      <c r="B110" s="323" t="inlineStr">
        <is>
          <t>Rule: Pause KW lãng phí</t>
        </is>
      </c>
      <c r="C110" s="323" t="inlineStr">
        <is>
          <t>IF KW spend &gt; 500K + conv = 0 → pause</t>
        </is>
      </c>
      <c r="D110" s="323" t="inlineStr">
        <is>
          <t>Birch &gt; Automation Rules</t>
        </is>
      </c>
      <c r="E110" s="323" t="inlineStr">
        <is>
          <t>Tuần 2</t>
        </is>
      </c>
      <c r="F110" s="323" t="inlineStr">
        <is>
          <t>☐</t>
        </is>
      </c>
    </row>
    <row r="111" ht="15" customHeight="1" s="248">
      <c r="A111" s="321" t="inlineStr">
        <is>
          <t>11</t>
        </is>
      </c>
      <c r="B111" s="321" t="inlineStr">
        <is>
          <t>Rule: Brand always-on</t>
        </is>
      </c>
      <c r="C111" s="321" t="inlineStr">
        <is>
          <t>IF brand campaign paused → auto-notify</t>
        </is>
      </c>
      <c r="D111" s="321" t="inlineStr">
        <is>
          <t>Birch &gt; Automation Rules</t>
        </is>
      </c>
      <c r="E111" s="321" t="inlineStr">
        <is>
          <t>Ngày 2</t>
        </is>
      </c>
      <c r="F111" s="321" t="inlineStr">
        <is>
          <t>☐</t>
        </is>
      </c>
    </row>
    <row r="112" ht="23.25" customHeight="1" s="248">
      <c r="A112" s="323" t="inlineStr">
        <is>
          <t>12</t>
        </is>
      </c>
      <c r="B112" s="323" t="inlineStr">
        <is>
          <t>Dashboard weekly</t>
        </is>
      </c>
      <c r="C112" s="323" t="inlineStr">
        <is>
          <t>CPL by campaign, campus, grade | Auto email T2+T5</t>
        </is>
      </c>
      <c r="D112" s="323" t="inlineStr">
        <is>
          <t>Birch &gt; Custom Reports</t>
        </is>
      </c>
      <c r="E112" s="323" t="inlineStr">
        <is>
          <t>Tuần 1</t>
        </is>
      </c>
      <c r="F112" s="323" t="inlineStr">
        <is>
          <t>☐</t>
        </is>
      </c>
    </row>
    <row r="113" ht="23.25" customHeight="1" s="248">
      <c r="A113" s="321" t="inlineStr">
        <is>
          <t>13</t>
        </is>
      </c>
      <c r="B113" s="321" t="inlineStr">
        <is>
          <t>Negative KW auto-check</t>
        </is>
      </c>
      <c r="C113" s="321" t="inlineStr">
        <is>
          <t>Shared negative list, auto-update weekly</t>
        </is>
      </c>
      <c r="D113" s="321" t="inlineStr">
        <is>
          <t>Birch &gt; Rules + Manual</t>
        </is>
      </c>
      <c r="E113" s="321" t="inlineStr">
        <is>
          <t>Tuần 1</t>
        </is>
      </c>
      <c r="F113" s="321" t="inlineStr">
        <is>
          <t>☐</t>
        </is>
      </c>
    </row>
    <row r="115" ht="15" customHeight="1" s="248">
      <c r="A115" s="345" t="inlineStr">
        <is>
          <t>F. LANDING PAGE BLUEPRINT</t>
        </is>
      </c>
    </row>
    <row r="116" ht="15" customHeight="1" s="248">
      <c r="A116" s="346" t="inlineStr">
        <is>
          <t>LP</t>
        </is>
      </c>
      <c r="B116" s="346" t="inlineStr">
        <is>
          <t>URL slug</t>
        </is>
      </c>
      <c r="C116" s="346" t="inlineStr">
        <is>
          <t>Cấp học</t>
        </is>
      </c>
      <c r="D116" s="346" t="inlineStr">
        <is>
          <t>Cơ sở</t>
        </is>
      </c>
      <c r="E116" s="346" t="inlineStr">
        <is>
          <t>Khối cần có</t>
        </is>
      </c>
      <c r="F116" s="346" t="inlineStr">
        <is>
          <t>Form fields</t>
        </is>
      </c>
      <c r="G116" s="346" t="inlineStr">
        <is>
          <t>GTM Events</t>
        </is>
      </c>
    </row>
    <row r="117" ht="34.5" customHeight="1" s="248">
      <c r="A117" s="321" t="inlineStr">
        <is>
          <t>LP_MN_GV</t>
        </is>
      </c>
      <c r="B117" s="321" t="inlineStr">
        <is>
          <t>/mam-non-go-vap</t>
        </is>
      </c>
      <c r="C117" s="321" t="inlineStr">
        <is>
          <t>MN</t>
        </is>
      </c>
      <c r="D117" s="321" t="inlineStr">
        <is>
          <t>Gò Vấp</t>
        </is>
      </c>
      <c r="E117" s="321" t="inlineStr">
        <is>
          <t>Hero video + USP + Ảnh + Testi + FAQ + Map + Form</t>
        </is>
      </c>
      <c r="F117" s="321" t="inlineStr">
        <is>
          <t>Tên, SĐT, Cơ sở, Cấp, Nhu cầu</t>
        </is>
      </c>
      <c r="G117" s="321" t="inlineStr">
        <is>
          <t>form_submit, click_call, click_zalo</t>
        </is>
      </c>
    </row>
    <row r="118" ht="34.5" customHeight="1" s="248">
      <c r="A118" s="323" t="inlineStr">
        <is>
          <t>LP_TH_GV</t>
        </is>
      </c>
      <c r="B118" s="323" t="inlineStr">
        <is>
          <t>/tieu-hoc-go-vap</t>
        </is>
      </c>
      <c r="C118" s="323" t="inlineStr">
        <is>
          <t>TH</t>
        </is>
      </c>
      <c r="D118" s="323" t="inlineStr">
        <is>
          <t>Gò Vấp</t>
        </is>
      </c>
      <c r="E118" s="323" t="inlineStr">
        <is>
          <t>Hero + Chương trình + Tiếng Anh + Testi + Form</t>
        </is>
      </c>
      <c r="F118" s="323" t="inlineStr">
        <is>
          <t>Tên, SĐT, Cơ sở, Lớp</t>
        </is>
      </c>
      <c r="G118" s="323" t="inlineStr">
        <is>
          <t>form_submit, click_call</t>
        </is>
      </c>
    </row>
    <row r="119" ht="23.25" customHeight="1" s="248">
      <c r="A119" s="321" t="inlineStr">
        <is>
          <t>LP_TH_BT</t>
        </is>
      </c>
      <c r="B119" s="321" t="inlineStr">
        <is>
          <t>/tieu-hoc-binh-tan</t>
        </is>
      </c>
      <c r="C119" s="321" t="inlineStr">
        <is>
          <t>TH</t>
        </is>
      </c>
      <c r="D119" s="321" t="inlineStr">
        <is>
          <t>Bình Tân</t>
        </is>
      </c>
      <c r="E119" s="321" t="inlineStr">
        <is>
          <t>Hero + USP + Ảnh + Form + Map</t>
        </is>
      </c>
      <c r="F119" s="321" t="inlineStr">
        <is>
          <t>Tên, SĐT, Cơ sở, Lớp</t>
        </is>
      </c>
      <c r="G119" s="321" t="inlineStr">
        <is>
          <t>form_submit, click_call</t>
        </is>
      </c>
    </row>
    <row r="120" ht="34.5" customHeight="1" s="248">
      <c r="A120" s="323" t="inlineStr">
        <is>
          <t>LP_THCS_GV</t>
        </is>
      </c>
      <c r="B120" s="323" t="inlineStr">
        <is>
          <t>/thcs-go-vap</t>
        </is>
      </c>
      <c r="C120" s="323" t="inlineStr">
        <is>
          <t>THCS</t>
        </is>
      </c>
      <c r="D120" s="323" t="inlineStr">
        <is>
          <t>Gò Vấp</t>
        </is>
      </c>
      <c r="E120" s="323" t="inlineStr">
        <is>
          <t>Hero + Lộ trình + GV + Testi + Webinar CTA + Form</t>
        </is>
      </c>
      <c r="F120" s="323" t="inlineStr">
        <is>
          <t>Tên, SĐT, Cấp, Nhu cầu</t>
        </is>
      </c>
      <c r="G120" s="323" t="inlineStr">
        <is>
          <t>form_submit, webinar_reg, click_call</t>
        </is>
      </c>
    </row>
    <row r="121" ht="34.5" customHeight="1" s="248">
      <c r="A121" s="321" t="inlineStr">
        <is>
          <t>LP_THPT_GV</t>
        </is>
      </c>
      <c r="B121" s="321" t="inlineStr">
        <is>
          <t>/thpt-go-vap</t>
        </is>
      </c>
      <c r="C121" s="321" t="inlineStr">
        <is>
          <t>THPT</t>
        </is>
      </c>
      <c r="D121" s="321" t="inlineStr">
        <is>
          <t>Gò Vấp</t>
        </is>
      </c>
      <c r="E121" s="321" t="inlineStr">
        <is>
          <t>Hero + Lộ trình + Học bổng + ĐH + Testi + Form</t>
        </is>
      </c>
      <c r="F121" s="321" t="inlineStr">
        <is>
          <t>Tên, SĐT, Cấp, Nhu cầu</t>
        </is>
      </c>
      <c r="G121" s="321" t="inlineStr">
        <is>
          <t>form_submit, scholarship_click, click_call</t>
        </is>
      </c>
    </row>
    <row r="122" ht="23.25" customHeight="1" s="248">
      <c r="A122" s="323" t="inlineStr">
        <is>
          <t>LP_WEBINAR</t>
        </is>
      </c>
      <c r="B122" s="323" t="inlineStr">
        <is>
          <t>/webinar-chon-truong</t>
        </is>
      </c>
      <c r="C122" s="323" t="inlineStr">
        <is>
          <t>THCS/THPT</t>
        </is>
      </c>
      <c r="D122" s="323" t="inlineStr">
        <is>
          <t>System</t>
        </is>
      </c>
      <c r="E122" s="323" t="inlineStr">
        <is>
          <t>Chủ đề + Diễn giả + CTA + Countdown</t>
        </is>
      </c>
      <c r="F122" s="323" t="inlineStr">
        <is>
          <t>Tên, SĐT, Email, Cấp</t>
        </is>
      </c>
      <c r="G122" s="323" t="inlineStr">
        <is>
          <t>webinar_register, click_call</t>
        </is>
      </c>
    </row>
    <row r="123" ht="23.25" customHeight="1" s="248">
      <c r="A123" s="321" t="inlineStr">
        <is>
          <t>LP_MN_Tinh</t>
        </is>
      </c>
      <c r="B123" s="321" t="inlineStr">
        <is>
          <t>/mam-non-tinh</t>
        </is>
      </c>
      <c r="C123" s="321" t="inlineStr">
        <is>
          <t>MN</t>
        </is>
      </c>
      <c r="D123" s="321" t="inlineStr">
        <is>
          <t>Tây Ninh/An Giang</t>
        </is>
      </c>
      <c r="E123" s="321" t="inlineStr">
        <is>
          <t>Hero + Local USP + Ảnh + Map + Form</t>
        </is>
      </c>
      <c r="F123" s="321" t="inlineStr">
        <is>
          <t>Tên, SĐT, Cơ sở</t>
        </is>
      </c>
      <c r="G123" s="321" t="inlineStr">
        <is>
          <t>form_submit, click_call, click_zalo</t>
        </is>
      </c>
    </row>
    <row r="124" ht="23.25" customHeight="1" s="248">
      <c r="A124" s="323" t="inlineStr">
        <is>
          <t>LP_TH_Tinh</t>
        </is>
      </c>
      <c r="B124" s="323" t="inlineStr">
        <is>
          <t>/tieu-hoc-tinh</t>
        </is>
      </c>
      <c r="C124" s="323" t="inlineStr">
        <is>
          <t>TH</t>
        </is>
      </c>
      <c r="D124" s="323" t="inlineStr">
        <is>
          <t>Tây Ninh/An Giang</t>
        </is>
      </c>
      <c r="E124" s="323" t="inlineStr">
        <is>
          <t>Hero + Local USP + Form</t>
        </is>
      </c>
      <c r="F124" s="323" t="inlineStr">
        <is>
          <t>Tên, SĐT, Cơ sở</t>
        </is>
      </c>
      <c r="G124" s="323" t="inlineStr">
        <is>
          <t>form_submit, click_call</t>
        </is>
      </c>
    </row>
    <row r="126" ht="15" customHeight="1" s="248">
      <c r="A126" s="253" t="inlineStr">
        <is>
          <t>G. DAILY OPERATIONS – GOOGLE ADS HÀNG NGÀY</t>
        </is>
      </c>
    </row>
    <row r="127" ht="15" customHeight="1" s="248">
      <c r="A127" s="250" t="inlineStr">
        <is>
          <t>Thời gian</t>
        </is>
      </c>
      <c r="B127" s="250" t="inlineStr">
        <is>
          <t>Công việc</t>
        </is>
      </c>
      <c r="C127" s="250" t="inlineStr">
        <is>
          <t>Chi tiết</t>
        </is>
      </c>
      <c r="D127" s="250" t="inlineStr">
        <is>
          <t>Tool</t>
        </is>
      </c>
      <c r="E127" s="250" t="inlineStr">
        <is>
          <t>KPI check</t>
        </is>
      </c>
      <c r="F127" s="250" t="inlineStr">
        <is>
          <t>Action nếu lệch</t>
        </is>
      </c>
      <c r="G127" s="250" t="inlineStr">
        <is>
          <t>Ai làm</t>
        </is>
      </c>
    </row>
    <row r="128" ht="35.05" customHeight="1" s="248">
      <c r="A128" s="251" t="inlineStr">
        <is>
          <t>8:00</t>
        </is>
      </c>
      <c r="B128" s="251" t="inlineStr">
        <is>
          <t>Check spend pacing</t>
        </is>
      </c>
      <c r="C128" s="251" t="inlineStr">
        <is>
          <t>Birch → Budget pacing → Alert nếu &gt;110% hoặc &lt;80%</t>
        </is>
      </c>
      <c r="D128" s="251" t="inlineStr">
        <is>
          <t>Birch PPC</t>
        </is>
      </c>
      <c r="E128" s="251" t="inlineStr">
        <is>
          <t>Daily spend vs target ±10%</t>
        </is>
      </c>
      <c r="F128" s="251" t="inlineStr">
        <is>
          <t>Overspend → giảm budget | Underspend → check impression share</t>
        </is>
      </c>
      <c r="G128" s="251" t="inlineStr">
        <is>
          <t>Performance</t>
        </is>
      </c>
    </row>
    <row r="129" ht="35.05" customHeight="1" s="248">
      <c r="A129" s="252" t="inlineStr">
        <is>
          <t>8:15</t>
        </is>
      </c>
      <c r="B129" s="252" t="inlineStr">
        <is>
          <t>Search terms review</t>
        </is>
      </c>
      <c r="C129" s="252" t="inlineStr">
        <is>
          <t>Birch Explorer hoặc Google Ads → Search terms report</t>
        </is>
      </c>
      <c r="D129" s="252" t="inlineStr">
        <is>
          <t>Birch / Google Ads</t>
        </is>
      </c>
      <c r="E129" s="252" t="inlineStr">
        <is>
          <t>Irrelevant terms &lt; 5%</t>
        </is>
      </c>
      <c r="F129" s="252" t="inlineStr">
        <is>
          <t>Thêm negative keywords ngay → Update shared list</t>
        </is>
      </c>
      <c r="G129" s="252" t="inlineStr">
        <is>
          <t>Performance</t>
        </is>
      </c>
    </row>
    <row r="130" ht="35.05" customHeight="1" s="248">
      <c r="A130" s="251" t="inlineStr">
        <is>
          <t>8:30</t>
        </is>
      </c>
      <c r="B130" s="251" t="inlineStr">
        <is>
          <t>Check CPC &amp; Position</t>
        </is>
      </c>
      <c r="C130" s="251" t="inlineStr">
        <is>
          <t>Campaign → Auction insights + CPC by keyword</t>
        </is>
      </c>
      <c r="D130" s="251" t="inlineStr">
        <is>
          <t>Google Ads</t>
        </is>
      </c>
      <c r="E130" s="251" t="inlineStr">
        <is>
          <t>Avg position top 3 | CPC &lt; max bid</t>
        </is>
      </c>
      <c r="F130" s="251" t="inlineStr">
        <is>
          <t>Position drop → check competitor | CPC spike → review Quality Score</t>
        </is>
      </c>
      <c r="G130" s="251" t="inlineStr">
        <is>
          <t>Performance</t>
        </is>
      </c>
    </row>
    <row r="131" ht="35.05" customHeight="1" s="248">
      <c r="A131" s="252" t="inlineStr">
        <is>
          <t>8:45</t>
        </is>
      </c>
      <c r="B131" s="252" t="inlineStr">
        <is>
          <t>Check conversion/leads</t>
        </is>
      </c>
      <c r="C131" s="252" t="inlineStr">
        <is>
          <t>Conversions by campaign → Compare vs yesterday</t>
        </is>
      </c>
      <c r="D131" s="252" t="inlineStr">
        <is>
          <t>Google Ads</t>
        </is>
      </c>
      <c r="E131" s="252" t="inlineStr">
        <is>
          <t>Leads &gt; 0 per campaign/day</t>
        </is>
      </c>
      <c r="F131" s="252" t="inlineStr">
        <is>
          <t>Zero leads + spend &gt; 500K → pause &amp; investigate</t>
        </is>
      </c>
      <c r="G131" s="252" t="inlineStr">
        <is>
          <t>Performance</t>
        </is>
      </c>
    </row>
    <row r="132" ht="35.05" customHeight="1" s="248">
      <c r="A132" s="251" t="inlineStr">
        <is>
          <t>14:00</t>
        </is>
      </c>
      <c r="B132" s="251" t="inlineStr">
        <is>
          <t>Quality Score audit</t>
        </is>
      </c>
      <c r="C132" s="251" t="inlineStr">
        <is>
          <t>Keyword tab → Filter QS &lt; 5 → Plan improvement</t>
        </is>
      </c>
      <c r="D132" s="251" t="inlineStr">
        <is>
          <t>Google Ads</t>
        </is>
      </c>
      <c r="E132" s="251" t="inlineStr">
        <is>
          <t>Avg QS ≥ 7</t>
        </is>
      </c>
      <c r="F132" s="251" t="inlineStr">
        <is>
          <t>QS &lt; 5 → improve ad relevance / LP experience</t>
        </is>
      </c>
      <c r="G132" s="251" t="inlineStr">
        <is>
          <t>Performance</t>
        </is>
      </c>
    </row>
    <row r="133" ht="35.05" customHeight="1" s="248">
      <c r="A133" s="252" t="inlineStr">
        <is>
          <t>15:00</t>
        </is>
      </c>
      <c r="B133" s="252" t="inlineStr">
        <is>
          <t>Bidding adjustment</t>
        </is>
      </c>
      <c r="C133" s="252" t="inlineStr">
        <is>
          <t>Device, location, time-of-day bid adjustment</t>
        </is>
      </c>
      <c r="D133" s="252" t="inlineStr">
        <is>
          <t>Google Ads</t>
        </is>
      </c>
      <c r="E133" s="252" t="inlineStr">
        <is>
          <t>Peak hours: 9-11am, 7-9pm</t>
        </is>
      </c>
      <c r="F133" s="252" t="inlineStr">
        <is>
          <t>Tăng bid +20% peak hours, giảm -30% midnight</t>
        </is>
      </c>
      <c r="G133" s="252" t="inlineStr">
        <is>
          <t>Performance</t>
        </is>
      </c>
    </row>
    <row r="134" ht="15" customHeight="1" s="248">
      <c r="A134" s="251" t="inlineStr">
        <is>
          <t>17:00</t>
        </is>
      </c>
      <c r="B134" s="251" t="inlineStr">
        <is>
          <t>Log metrics</t>
        </is>
      </c>
      <c r="C134" s="251" t="inlineStr">
        <is>
          <t>Ghi spend, clicks, leads, CPL vào KPI tracker</t>
        </is>
      </c>
      <c r="D134" s="251" t="inlineStr">
        <is>
          <t>Excel</t>
        </is>
      </c>
      <c r="E134" s="251" t="inlineStr">
        <is>
          <t>-</t>
        </is>
      </c>
      <c r="F134" s="251" t="inlineStr">
        <is>
          <t>-</t>
        </is>
      </c>
      <c r="G134" s="251" t="inlineStr">
        <is>
          <t>Performance</t>
        </is>
      </c>
    </row>
    <row r="137" ht="15" customHeight="1" s="248">
      <c r="A137" s="253" t="inlineStr">
        <is>
          <t>H. RESOURCE PLAN – ẢNH/VIDEO CHO GOOGLE ADS</t>
        </is>
      </c>
    </row>
    <row r="138" ht="15" customHeight="1" s="248">
      <c r="A138" s="250" t="inlineStr">
        <is>
          <t>Campaign Type</t>
        </is>
      </c>
      <c r="B138" s="250" t="inlineStr">
        <is>
          <t>Loại asset</t>
        </is>
      </c>
      <c r="C138" s="250" t="inlineStr">
        <is>
          <t>Số lượng</t>
        </is>
      </c>
      <c r="D138" s="250" t="inlineStr">
        <is>
          <t>Specs</t>
        </is>
      </c>
      <c r="E138" s="250" t="inlineStr">
        <is>
          <t>Nội dung</t>
        </is>
      </c>
      <c r="F138" s="250" t="inlineStr">
        <is>
          <t>Nguồn</t>
        </is>
      </c>
      <c r="G138" s="250" t="inlineStr">
        <is>
          <t>Refresh</t>
        </is>
      </c>
    </row>
    <row r="139" ht="23.85" customHeight="1" s="248">
      <c r="A139" s="251" t="inlineStr">
        <is>
          <t>Search (RSA)</t>
        </is>
      </c>
      <c r="B139" s="251" t="inlineStr">
        <is>
          <t>Headlines</t>
        </is>
      </c>
      <c r="C139" s="251" t="inlineStr">
        <is>
          <t>15/campaign</t>
        </is>
      </c>
      <c r="D139" s="251" t="inlineStr">
        <is>
          <t>Max 30 ký tự</t>
        </is>
      </c>
      <c r="E139" s="251" t="inlineStr">
        <is>
          <t>Brand, USP, CTA, Location, Offer</t>
        </is>
      </c>
      <c r="F139" s="251" t="inlineStr">
        <is>
          <t>Copywriter</t>
        </is>
      </c>
      <c r="G139" s="251" t="inlineStr">
        <is>
          <t>4 tuần test</t>
        </is>
      </c>
    </row>
    <row r="140" ht="23.85" customHeight="1" s="248">
      <c r="A140" s="252" t="inlineStr">
        <is>
          <t>Search (RSA)</t>
        </is>
      </c>
      <c r="B140" s="252" t="inlineStr">
        <is>
          <t>Descriptions</t>
        </is>
      </c>
      <c r="C140" s="252" t="inlineStr">
        <is>
          <t>4/campaign</t>
        </is>
      </c>
      <c r="D140" s="252" t="inlineStr">
        <is>
          <t>Max 90 ký tự</t>
        </is>
      </c>
      <c r="E140" s="252" t="inlineStr">
        <is>
          <t>Detailed value prop, social proof, urgency</t>
        </is>
      </c>
      <c r="F140" s="252" t="inlineStr">
        <is>
          <t>Copywriter</t>
        </is>
      </c>
      <c r="G140" s="252" t="inlineStr">
        <is>
          <t>4 tuần test</t>
        </is>
      </c>
    </row>
    <row r="141" ht="23.85" customHeight="1" s="248">
      <c r="A141" s="251" t="inlineStr">
        <is>
          <t>Display</t>
        </is>
      </c>
      <c r="B141" s="251" t="inlineStr">
        <is>
          <t>Banner images</t>
        </is>
      </c>
      <c r="C141" s="251" t="inlineStr">
        <is>
          <t>5 sizes/campaign</t>
        </is>
      </c>
      <c r="D141" s="251" t="inlineStr">
        <is>
          <t>300x250, 728x90, 160x600, 320x50, 336x280</t>
        </is>
      </c>
      <c r="E141" s="251" t="inlineStr">
        <is>
          <t>Campus photo + headline + CTA</t>
        </is>
      </c>
      <c r="F141" s="251" t="inlineStr">
        <is>
          <t>Designer</t>
        </is>
      </c>
      <c r="G141" s="251" t="inlineStr">
        <is>
          <t>4 tuần</t>
        </is>
      </c>
    </row>
    <row r="142" ht="23.85" customHeight="1" s="248">
      <c r="A142" s="252" t="inlineStr">
        <is>
          <t>Display</t>
        </is>
      </c>
      <c r="B142" s="252" t="inlineStr">
        <is>
          <t>Responsive Display</t>
        </is>
      </c>
      <c r="C142" s="252" t="inlineStr">
        <is>
          <t>5 images+5 headlines</t>
        </is>
      </c>
      <c r="D142" s="252" t="inlineStr">
        <is>
          <t>1200x628, 1200x1200 | 30 char headlines</t>
        </is>
      </c>
      <c r="E142" s="252" t="inlineStr">
        <is>
          <t>Mix campus, HS, GV, CSVC</t>
        </is>
      </c>
      <c r="F142" s="252" t="inlineStr">
        <is>
          <t>Designer + Chụp</t>
        </is>
      </c>
      <c r="G142" s="252" t="inlineStr">
        <is>
          <t>4 tuần</t>
        </is>
      </c>
    </row>
    <row r="143" ht="23.85" customHeight="1" s="248">
      <c r="A143" s="251" t="inlineStr">
        <is>
          <t>YouTube/DG</t>
        </is>
      </c>
      <c r="B143" s="251" t="inlineStr">
        <is>
          <t>Video testimonial</t>
        </is>
      </c>
      <c r="C143" s="251" t="inlineStr">
        <is>
          <t>3 videos</t>
        </is>
      </c>
      <c r="D143" s="251" t="inlineStr">
        <is>
          <t>15s + 30s + 60s (16:9)</t>
        </is>
      </c>
      <c r="E143" s="251" t="inlineStr">
        <is>
          <t>PH/HS testimonial + campus + CTA</t>
        </is>
      </c>
      <c r="F143" s="251" t="inlineStr">
        <is>
          <t>Quay tại campus</t>
        </is>
      </c>
      <c r="G143" s="251" t="inlineStr">
        <is>
          <t>6 tuần</t>
        </is>
      </c>
    </row>
    <row r="144" ht="23.85" customHeight="1" s="248">
      <c r="A144" s="252" t="inlineStr">
        <is>
          <t>YouTube/DG</t>
        </is>
      </c>
      <c r="B144" s="252" t="inlineStr">
        <is>
          <t>Video brand</t>
        </is>
      </c>
      <c r="C144" s="252" t="inlineStr">
        <is>
          <t>1 video</t>
        </is>
      </c>
      <c r="D144" s="252" t="inlineStr">
        <is>
          <t>15s (16:9 + 9:16)</t>
        </is>
      </c>
      <c r="E144" s="252" t="inlineStr">
        <is>
          <t>Brand montage 8 cơ sở + USP overlay</t>
        </is>
      </c>
      <c r="F144" s="252" t="inlineStr">
        <is>
          <t>Edit pro</t>
        </is>
      </c>
      <c r="G144" s="252" t="inlineStr">
        <is>
          <t>1 lần/mùa</t>
        </is>
      </c>
    </row>
    <row r="145" ht="23.85" customHeight="1" s="248">
      <c r="A145" s="251" t="inlineStr">
        <is>
          <t>PMax</t>
        </is>
      </c>
      <c r="B145" s="251" t="inlineStr">
        <is>
          <t>Asset group</t>
        </is>
      </c>
      <c r="C145" s="251" t="inlineStr">
        <is>
          <t>1/campus</t>
        </is>
      </c>
      <c r="D145" s="251" t="inlineStr">
        <is>
          <t>Images+videos+headlines+descriptions+audience signals</t>
        </is>
      </c>
      <c r="E145" s="251" t="inlineStr">
        <is>
          <t>Full asset mix theo campus</t>
        </is>
      </c>
      <c r="F145" s="251" t="inlineStr">
        <is>
          <t>Mix sources</t>
        </is>
      </c>
      <c r="G145" s="251" t="inlineStr">
        <is>
          <t>Monitor weekly</t>
        </is>
      </c>
    </row>
    <row r="146" ht="23.85" customHeight="1" s="248">
      <c r="A146" s="252" t="inlineStr">
        <is>
          <t>Sitelink Extensions</t>
        </is>
      </c>
      <c r="B146" s="252" t="inlineStr">
        <is>
          <t>Sitelinks</t>
        </is>
      </c>
      <c r="C146" s="252" t="inlineStr">
        <is>
          <t>4/campaign</t>
        </is>
      </c>
      <c r="D146" s="252" t="inlineStr">
        <is>
          <t>Link text 25 char + Description</t>
        </is>
      </c>
      <c r="E146" s="252" t="inlineStr">
        <is>
          <t>Học phí, Tour, Hotline, Webinar</t>
        </is>
      </c>
      <c r="F146" s="252" t="inlineStr">
        <is>
          <t>Copywriter</t>
        </is>
      </c>
      <c r="G146" s="252" t="inlineStr">
        <is>
          <t>Đầu mùa + refresh T6</t>
        </is>
      </c>
    </row>
    <row r="149">
      <c r="A149" s="505" t="inlineStr">
        <is>
          <t>BẢNG TỪ KHÓA CHI TIẾT (Detailed Keyword Table)</t>
        </is>
      </c>
    </row>
    <row r="151">
      <c r="A151" s="506" t="inlineStr">
        <is>
          <t>Từ Khóa (Keyword)</t>
        </is>
      </c>
      <c r="B151" s="506" t="inlineStr">
        <is>
          <t>Kiểu Khóp (Match Type)</t>
        </is>
      </c>
      <c r="C151" s="506" t="inlineStr">
        <is>
          <t>Tìm Kiếm/Tháng</t>
        </is>
      </c>
      <c r="D151" s="506" t="inlineStr">
        <is>
          <t>CPC (VND)</t>
        </is>
      </c>
      <c r="E151" s="506" t="inlineStr">
        <is>
          <t>Campaign</t>
        </is>
      </c>
      <c r="F151" s="506" t="inlineStr">
        <is>
          <t>Ad Group</t>
        </is>
      </c>
      <c r="G151" s="506" t="inlineStr">
        <is>
          <t>Landing Page</t>
        </is>
      </c>
      <c r="H151" s="506" t="inlineStr">
        <is>
          <t>Vị Trí (6 cơ sở)</t>
        </is>
      </c>
      <c r="I151" s="506" t="inlineStr">
        <is>
          <t>CTR %</t>
        </is>
      </c>
      <c r="J151" s="506" t="inlineStr">
        <is>
          <t>Conv Rate %</t>
        </is>
      </c>
      <c r="K151" s="506" t="inlineStr">
        <is>
          <t>Budget/Tháng (VND)</t>
        </is>
      </c>
    </row>
    <row r="152">
      <c r="A152" s="507" t="inlineStr">
        <is>
          <t>trường tư thục quận Gò Vấp</t>
        </is>
      </c>
      <c r="B152" s="507" t="inlineStr">
        <is>
          <t>Phrase</t>
        </is>
      </c>
      <c r="C152" s="508" t="n">
        <v>320</v>
      </c>
      <c r="D152" s="508" t="n">
        <v>45000</v>
      </c>
      <c r="E152" s="507" t="inlineStr">
        <is>
          <t>Q1: Brand Awareness</t>
        </is>
      </c>
      <c r="F152" s="507" t="inlineStr">
        <is>
          <t>Quận Gò Vấp</t>
        </is>
      </c>
      <c r="G152" s="507" t="inlineStr">
        <is>
          <t>https://khoaviet.edu.vn/govovap</t>
        </is>
      </c>
      <c r="H152" s="509" t="inlineStr">
        <is>
          <t>GV, TĐ</t>
        </is>
      </c>
      <c r="I152" s="509" t="n">
        <v>3.2</v>
      </c>
      <c r="J152" s="509" t="n">
        <v>1.8</v>
      </c>
      <c r="K152" s="508" t="n">
        <v>2400000</v>
      </c>
    </row>
    <row r="153">
      <c r="A153" s="507" t="inlineStr">
        <is>
          <t>trường mầm non tốt TPHCM</t>
        </is>
      </c>
      <c r="B153" s="507" t="inlineStr">
        <is>
          <t>Phrase</t>
        </is>
      </c>
      <c r="C153" s="508" t="n">
        <v>450</v>
      </c>
      <c r="D153" s="508" t="n">
        <v>38000</v>
      </c>
      <c r="E153" s="507" t="inlineStr">
        <is>
          <t>Q2: MN Enrollment</t>
        </is>
      </c>
      <c r="F153" s="507" t="inlineStr">
        <is>
          <t>Mầm Non</t>
        </is>
      </c>
      <c r="G153" s="507" t="inlineStr">
        <is>
          <t>https://khoaviet.edu.vn/mn</t>
        </is>
      </c>
      <c r="H153" s="509" t="inlineStr">
        <is>
          <t>GV, TĐ, BL</t>
        </is>
      </c>
      <c r="I153" s="509" t="n">
        <v>2.8</v>
      </c>
      <c r="J153" s="509" t="n">
        <v>2.1</v>
      </c>
      <c r="K153" s="508" t="n">
        <v>2000000</v>
      </c>
    </row>
    <row r="154">
      <c r="A154" s="507" t="inlineStr">
        <is>
          <t>học phí trường tư thục TPHCM</t>
        </is>
      </c>
      <c r="B154" s="507" t="inlineStr">
        <is>
          <t>Broad</t>
        </is>
      </c>
      <c r="C154" s="508" t="n">
        <v>380</v>
      </c>
      <c r="D154" s="508" t="n">
        <v>42000</v>
      </c>
      <c r="E154" s="507" t="inlineStr">
        <is>
          <t>Q3: Consideration</t>
        </is>
      </c>
      <c r="F154" s="507" t="inlineStr">
        <is>
          <t>Tuition</t>
        </is>
      </c>
      <c r="G154" s="507" t="inlineStr">
        <is>
          <t>https://khoaviet.edu.vn/tuition</t>
        </is>
      </c>
      <c r="H154" s="509" t="inlineStr">
        <is>
          <t>All</t>
        </is>
      </c>
      <c r="I154" s="509" t="n">
        <v>2.5</v>
      </c>
      <c r="J154" s="509" t="n">
        <v>1.5</v>
      </c>
      <c r="K154" s="508" t="n">
        <v>1800000</v>
      </c>
    </row>
    <row r="155">
      <c r="A155" s="507" t="inlineStr">
        <is>
          <t>trường tiểu học chất lượng cao</t>
        </is>
      </c>
      <c r="B155" s="507" t="inlineStr">
        <is>
          <t>Phrase</t>
        </is>
      </c>
      <c r="C155" s="508" t="n">
        <v>520</v>
      </c>
      <c r="D155" s="508" t="n">
        <v>41000</v>
      </c>
      <c r="E155" s="507" t="inlineStr">
        <is>
          <t>Q2: TH Enrollment</t>
        </is>
      </c>
      <c r="F155" s="507" t="inlineStr">
        <is>
          <t>Tiểu Học</t>
        </is>
      </c>
      <c r="G155" s="507" t="inlineStr">
        <is>
          <t>https://khoaviet.edu.vn/th</t>
        </is>
      </c>
      <c r="H155" s="509" t="inlineStr">
        <is>
          <t>GV, PH, BL, TĐ</t>
        </is>
      </c>
      <c r="I155" s="509" t="n">
        <v>3.1</v>
      </c>
      <c r="J155" s="509" t="n">
        <v>2.2</v>
      </c>
      <c r="K155" s="508" t="n">
        <v>2600000</v>
      </c>
    </row>
    <row r="156">
      <c r="A156" s="507" t="inlineStr">
        <is>
          <t>tuyển sinh lớp 1 2026</t>
        </is>
      </c>
      <c r="B156" s="507" t="inlineStr">
        <is>
          <t>Phrase</t>
        </is>
      </c>
      <c r="C156" s="508" t="n">
        <v>680</v>
      </c>
      <c r="D156" s="508" t="n">
        <v>39000</v>
      </c>
      <c r="E156" s="507" t="inlineStr">
        <is>
          <t>Q1: Launch</t>
        </is>
      </c>
      <c r="F156" s="507" t="inlineStr">
        <is>
          <t>Tuyển Sinh</t>
        </is>
      </c>
      <c r="G156" s="507" t="inlineStr">
        <is>
          <t>https://khoaviet.edu.vn/ts1</t>
        </is>
      </c>
      <c r="H156" s="509" t="inlineStr">
        <is>
          <t>All</t>
        </is>
      </c>
      <c r="I156" s="509" t="n">
        <v>3.5</v>
      </c>
      <c r="J156" s="509" t="n">
        <v>2.4</v>
      </c>
      <c r="K156" s="508" t="n">
        <v>3000000</v>
      </c>
    </row>
    <row r="157">
      <c r="A157" s="507" t="inlineStr">
        <is>
          <t>trường quốc tế lớp 1 HCMC</t>
        </is>
      </c>
      <c r="B157" s="507" t="inlineStr">
        <is>
          <t>Exact</t>
        </is>
      </c>
      <c r="C157" s="508" t="n">
        <v>240</v>
      </c>
      <c r="D157" s="508" t="n">
        <v>48000</v>
      </c>
      <c r="E157" s="507" t="inlineStr">
        <is>
          <t>Q3: Consideration</t>
        </is>
      </c>
      <c r="F157" s="507" t="inlineStr">
        <is>
          <t>Quốc Tế</t>
        </is>
      </c>
      <c r="G157" s="507" t="inlineStr">
        <is>
          <t>https://khoaviet.edu.vn/qt</t>
        </is>
      </c>
      <c r="H157" s="509" t="inlineStr">
        <is>
          <t>BL, PH</t>
        </is>
      </c>
      <c r="I157" s="509" t="n">
        <v>4.2</v>
      </c>
      <c r="J157" s="509" t="n">
        <v>2.8</v>
      </c>
      <c r="K157" s="508" t="n">
        <v>1600000</v>
      </c>
    </row>
    <row r="158">
      <c r="A158" s="507" t="inlineStr">
        <is>
          <t>cấp độc lập lớp 7 2026</t>
        </is>
      </c>
      <c r="B158" s="507" t="inlineStr">
        <is>
          <t>Phrase</t>
        </is>
      </c>
      <c r="C158" s="508" t="n">
        <v>290</v>
      </c>
      <c r="D158" s="508" t="n">
        <v>44000</v>
      </c>
      <c r="E158" s="507" t="inlineStr">
        <is>
          <t>Q2: THCS Enrollment</t>
        </is>
      </c>
      <c r="F158" s="507" t="inlineStr">
        <is>
          <t>THCS</t>
        </is>
      </c>
      <c r="G158" s="507" t="inlineStr">
        <is>
          <t>https://khoaviet.edu.vn/thcs</t>
        </is>
      </c>
      <c r="H158" s="509" t="inlineStr">
        <is>
          <t>GV, TĐ, NQ, VT</t>
        </is>
      </c>
      <c r="I158" s="509" t="n">
        <v>2.9</v>
      </c>
      <c r="J158" s="509" t="n">
        <v>1.9</v>
      </c>
      <c r="K158" s="508" t="n">
        <v>2200000</v>
      </c>
    </row>
    <row r="159">
      <c r="A159" s="507" t="inlineStr">
        <is>
          <t>lớp 10 tuyển sinh TPHCM</t>
        </is>
      </c>
      <c r="B159" s="507" t="inlineStr">
        <is>
          <t>Phrase</t>
        </is>
      </c>
      <c r="C159" s="508" t="n">
        <v>410</v>
      </c>
      <c r="D159" s="508" t="n">
        <v>46000</v>
      </c>
      <c r="E159" s="507" t="inlineStr">
        <is>
          <t>Q2: THPT Enrollment</t>
        </is>
      </c>
      <c r="F159" s="507" t="inlineStr">
        <is>
          <t>THPT</t>
        </is>
      </c>
      <c r="G159" s="507" t="inlineStr">
        <is>
          <t>https://khoaviet.edu.vn/thpt</t>
        </is>
      </c>
      <c r="H159" s="509" t="inlineStr">
        <is>
          <t>All</t>
        </is>
      </c>
      <c r="I159" s="509" t="n">
        <v>3.3</v>
      </c>
      <c r="J159" s="509" t="n">
        <v>2.3</v>
      </c>
      <c r="K159" s="508" t="n">
        <v>2800000</v>
      </c>
    </row>
    <row r="160">
      <c r="A160" s="507" t="inlineStr">
        <is>
          <t>trường song ngữ gò vấp</t>
        </is>
      </c>
      <c r="B160" s="507" t="inlineStr">
        <is>
          <t>Phrase</t>
        </is>
      </c>
      <c r="C160" s="508" t="n">
        <v>180</v>
      </c>
      <c r="D160" s="508" t="n">
        <v>43000</v>
      </c>
      <c r="E160" s="507" t="inlineStr">
        <is>
          <t>Q1: Brand Awareness</t>
        </is>
      </c>
      <c r="F160" s="507" t="inlineStr">
        <is>
          <t>Đặc Tính</t>
        </is>
      </c>
      <c r="G160" s="507" t="inlineStr">
        <is>
          <t>https://khoaviet.edu.vn/bilingual</t>
        </is>
      </c>
      <c r="H160" s="509" t="inlineStr">
        <is>
          <t>GV, TĐ</t>
        </is>
      </c>
      <c r="I160" s="509" t="n">
        <v>3</v>
      </c>
      <c r="J160" s="509" t="n">
        <v>1.7</v>
      </c>
      <c r="K160" s="508" t="n">
        <v>1400000</v>
      </c>
    </row>
    <row r="161">
      <c r="A161" s="507" t="inlineStr">
        <is>
          <t>mầm non song ngữ anh việt</t>
        </is>
      </c>
      <c r="B161" s="507" t="inlineStr">
        <is>
          <t>Phrase</t>
        </is>
      </c>
      <c r="C161" s="508" t="n">
        <v>350</v>
      </c>
      <c r="D161" s="508" t="n">
        <v>37000</v>
      </c>
      <c r="E161" s="507" t="inlineStr">
        <is>
          <t>Q2: MN Enrollment</t>
        </is>
      </c>
      <c r="F161" s="507" t="inlineStr">
        <is>
          <t>Mầm Non</t>
        </is>
      </c>
      <c r="G161" s="507" t="inlineStr">
        <is>
          <t>https://khoaviet.edu.vn/mn-bilingual</t>
        </is>
      </c>
      <c r="H161" s="509" t="inlineStr">
        <is>
          <t>All</t>
        </is>
      </c>
      <c r="I161" s="509" t="n">
        <v>2.7</v>
      </c>
      <c r="J161" s="509" t="n">
        <v>2</v>
      </c>
      <c r="K161" s="508" t="n">
        <v>1800000</v>
      </c>
    </row>
    <row r="162">
      <c r="A162" s="507" t="inlineStr">
        <is>
          <t>chương trình học quốc tế</t>
        </is>
      </c>
      <c r="B162" s="507" t="inlineStr">
        <is>
          <t>Broad</t>
        </is>
      </c>
      <c r="C162" s="508" t="n">
        <v>420</v>
      </c>
      <c r="D162" s="508" t="n">
        <v>40000</v>
      </c>
      <c r="E162" s="507" t="inlineStr">
        <is>
          <t>Q3: Consideration</t>
        </is>
      </c>
      <c r="F162" s="507" t="inlineStr">
        <is>
          <t>Chương Trình</t>
        </is>
      </c>
      <c r="G162" s="507" t="inlineStr">
        <is>
          <t>https://khoaviet.edu.vn/programs</t>
        </is>
      </c>
      <c r="H162" s="509" t="inlineStr">
        <is>
          <t>All</t>
        </is>
      </c>
      <c r="I162" s="509" t="n">
        <v>2.6</v>
      </c>
      <c r="J162" s="509" t="n">
        <v>1.6</v>
      </c>
      <c r="K162" s="508" t="n">
        <v>2100000</v>
      </c>
    </row>
    <row r="163">
      <c r="A163" s="507" t="inlineStr">
        <is>
          <t>cơ sở vật chất trường học</t>
        </is>
      </c>
      <c r="B163" s="507" t="inlineStr">
        <is>
          <t>Broad</t>
        </is>
      </c>
      <c r="C163" s="508" t="n">
        <v>270</v>
      </c>
      <c r="D163" s="508" t="n">
        <v>35000</v>
      </c>
      <c r="E163" s="507" t="inlineStr">
        <is>
          <t>Q1: Brand Awareness</t>
        </is>
      </c>
      <c r="F163" s="507" t="inlineStr">
        <is>
          <t>Cơ Sở Vật Chất</t>
        </is>
      </c>
      <c r="G163" s="507" t="inlineStr">
        <is>
          <t>https://khoaviet.edu.vn/facilities</t>
        </is>
      </c>
      <c r="H163" s="509" t="inlineStr">
        <is>
          <t>GV, PH</t>
        </is>
      </c>
      <c r="I163" s="509" t="n">
        <v>2.4</v>
      </c>
      <c r="J163" s="509" t="n">
        <v>1.2</v>
      </c>
      <c r="K163" s="508" t="n">
        <v>1200000</v>
      </c>
    </row>
    <row r="164">
      <c r="A164" s="507" t="inlineStr">
        <is>
          <t>đội ngũ giáo viên chuyên nghiệp</t>
        </is>
      </c>
      <c r="B164" s="507" t="inlineStr">
        <is>
          <t>Phrase</t>
        </is>
      </c>
      <c r="C164" s="508" t="n">
        <v>150</v>
      </c>
      <c r="D164" s="508" t="n">
        <v>41000</v>
      </c>
      <c r="E164" s="507" t="inlineStr">
        <is>
          <t>Q1: Brand Awareness</t>
        </is>
      </c>
      <c r="F164" s="507" t="inlineStr">
        <is>
          <t>Đội Ngũ</t>
        </is>
      </c>
      <c r="G164" s="507" t="inlineStr">
        <is>
          <t>https://khoaviet.edu.vn/teachers</t>
        </is>
      </c>
      <c r="H164" s="509" t="inlineStr">
        <is>
          <t>All</t>
        </is>
      </c>
      <c r="I164" s="509" t="n">
        <v>2.8</v>
      </c>
      <c r="J164" s="509" t="n">
        <v>1.4</v>
      </c>
      <c r="K164" s="508" t="n">
        <v>1100000</v>
      </c>
    </row>
    <row r="165">
      <c r="A165" s="507" t="inlineStr">
        <is>
          <t>phương pháp giáo dục hiện đại</t>
        </is>
      </c>
      <c r="B165" s="507" t="inlineStr">
        <is>
          <t>Phrase</t>
        </is>
      </c>
      <c r="C165" s="508" t="n">
        <v>310</v>
      </c>
      <c r="D165" s="508" t="n">
        <v>39000</v>
      </c>
      <c r="E165" s="507" t="inlineStr">
        <is>
          <t>Q3: Consideration</t>
        </is>
      </c>
      <c r="F165" s="507" t="inlineStr">
        <is>
          <t>Phương Pháp</t>
        </is>
      </c>
      <c r="G165" s="507" t="inlineStr">
        <is>
          <t>https://khoaviet.edu.vn/method</t>
        </is>
      </c>
      <c r="H165" s="509" t="inlineStr">
        <is>
          <t>All</t>
        </is>
      </c>
      <c r="I165" s="509" t="n">
        <v>2.5</v>
      </c>
      <c r="J165" s="509" t="n">
        <v>1.5</v>
      </c>
      <c r="K165" s="508" t="n">
        <v>1600000</v>
      </c>
    </row>
    <row r="166">
      <c r="A166" s="507" t="inlineStr">
        <is>
          <t>học bổng trường tiểu học</t>
        </is>
      </c>
      <c r="B166" s="507" t="inlineStr">
        <is>
          <t>Phrase</t>
        </is>
      </c>
      <c r="C166" s="508" t="n">
        <v>220</v>
      </c>
      <c r="D166" s="508" t="n">
        <v>44000</v>
      </c>
      <c r="E166" s="507" t="inlineStr">
        <is>
          <t>Q2: TH Enrollment</t>
        </is>
      </c>
      <c r="F166" s="507" t="inlineStr">
        <is>
          <t>Học Bổng</t>
        </is>
      </c>
      <c r="G166" s="507" t="inlineStr">
        <is>
          <t>https://khoaviet.edu.vn/scholarship</t>
        </is>
      </c>
      <c r="H166" s="509" t="inlineStr">
        <is>
          <t>GV, TĐ</t>
        </is>
      </c>
      <c r="I166" s="509" t="n">
        <v>3.2</v>
      </c>
      <c r="J166" s="509" t="n">
        <v>2.1</v>
      </c>
      <c r="K166" s="508" t="n">
        <v>1500000</v>
      </c>
    </row>
    <row r="167">
      <c r="A167" s="507" t="inlineStr">
        <is>
          <t>hệ thống camera an toàn trường học</t>
        </is>
      </c>
      <c r="B167" s="507" t="inlineStr">
        <is>
          <t>Broad</t>
        </is>
      </c>
      <c r="C167" s="508" t="n">
        <v>180</v>
      </c>
      <c r="D167" s="508" t="n">
        <v>33000</v>
      </c>
      <c r="E167" s="507" t="inlineStr">
        <is>
          <t>Q1: Brand Awareness</t>
        </is>
      </c>
      <c r="F167" s="507" t="inlineStr">
        <is>
          <t>An Toàn</t>
        </is>
      </c>
      <c r="G167" s="507" t="inlineStr">
        <is>
          <t>https://khoaviet.edu.vn/safety</t>
        </is>
      </c>
      <c r="H167" s="509" t="inlineStr">
        <is>
          <t>All</t>
        </is>
      </c>
      <c r="I167" s="509" t="n">
        <v>2.2</v>
      </c>
      <c r="J167" s="509" t="n">
        <v>1.1</v>
      </c>
      <c r="K167" s="508" t="n">
        <v>900000</v>
      </c>
    </row>
    <row r="168">
      <c r="A168" s="507" t="inlineStr">
        <is>
          <t>hoạt động ngoại khóa học sinh</t>
        </is>
      </c>
      <c r="B168" s="507" t="inlineStr">
        <is>
          <t>Phrase</t>
        </is>
      </c>
      <c r="C168" s="508" t="n">
        <v>280</v>
      </c>
      <c r="D168" s="508" t="n">
        <v>36000</v>
      </c>
      <c r="E168" s="507" t="inlineStr">
        <is>
          <t>Q1: Brand Awareness</t>
        </is>
      </c>
      <c r="F168" s="507" t="inlineStr">
        <is>
          <t>Hoạt Động</t>
        </is>
      </c>
      <c r="G168" s="507" t="inlineStr">
        <is>
          <t>https://khoaviet.edu.vn/activities</t>
        </is>
      </c>
      <c r="H168" s="509" t="inlineStr">
        <is>
          <t>All</t>
        </is>
      </c>
      <c r="I168" s="509" t="n">
        <v>2.6</v>
      </c>
      <c r="J168" s="509" t="n">
        <v>1.4</v>
      </c>
      <c r="K168" s="508" t="n">
        <v>1300000</v>
      </c>
    </row>
    <row r="169">
      <c r="A169" s="507" t="inlineStr">
        <is>
          <t>kỹ năng sống tiểu học</t>
        </is>
      </c>
      <c r="B169" s="507" t="inlineStr">
        <is>
          <t>Phrase</t>
        </is>
      </c>
      <c r="C169" s="508" t="n">
        <v>240</v>
      </c>
      <c r="D169" s="508" t="n">
        <v>38000</v>
      </c>
      <c r="E169" s="507" t="inlineStr">
        <is>
          <t>Q3: Consideration</t>
        </is>
      </c>
      <c r="F169" s="507" t="inlineStr">
        <is>
          <t>Kỹ Năng</t>
        </is>
      </c>
      <c r="G169" s="507" t="inlineStr">
        <is>
          <t>https://khoaviet.edu.vn/skills</t>
        </is>
      </c>
      <c r="H169" s="509" t="inlineStr">
        <is>
          <t>All</t>
        </is>
      </c>
      <c r="I169" s="509" t="n">
        <v>2.3</v>
      </c>
      <c r="J169" s="509" t="n">
        <v>1.3</v>
      </c>
      <c r="K169" s="508" t="n">
        <v>1100000</v>
      </c>
    </row>
    <row r="170">
      <c r="A170" s="507" t="inlineStr">
        <is>
          <t>trường tiểu học thuận tiện đón</t>
        </is>
      </c>
      <c r="B170" s="507" t="inlineStr">
        <is>
          <t>Broad</t>
        </is>
      </c>
      <c r="C170" s="508" t="n">
        <v>190</v>
      </c>
      <c r="D170" s="508" t="n">
        <v>34000</v>
      </c>
      <c r="E170" s="507" t="inlineStr">
        <is>
          <t>Q1: Brand Awareness</t>
        </is>
      </c>
      <c r="F170" s="507" t="inlineStr">
        <is>
          <t>Tiện Ích</t>
        </is>
      </c>
      <c r="G170" s="507" t="inlineStr">
        <is>
          <t>https://khoaviet.edu.vn/convenience</t>
        </is>
      </c>
      <c r="H170" s="509" t="inlineStr">
        <is>
          <t>GV, TĐ, PH</t>
        </is>
      </c>
      <c r="I170" s="509" t="n">
        <v>2.1</v>
      </c>
      <c r="J170" s="509" t="n">
        <v>0.9</v>
      </c>
      <c r="K170" s="508" t="n">
        <v>800000</v>
      </c>
    </row>
    <row r="171">
      <c r="A171" s="507" t="inlineStr">
        <is>
          <t>lịch học linh hoạt trường tư thục</t>
        </is>
      </c>
      <c r="B171" s="507" t="inlineStr">
        <is>
          <t>Phrase</t>
        </is>
      </c>
      <c r="C171" s="508" t="n">
        <v>160</v>
      </c>
      <c r="D171" s="508" t="n">
        <v>40000</v>
      </c>
      <c r="E171" s="507" t="inlineStr">
        <is>
          <t>Q1: Brand Awareness</t>
        </is>
      </c>
      <c r="F171" s="507" t="inlineStr">
        <is>
          <t>Lịch Học</t>
        </is>
      </c>
      <c r="G171" s="507" t="inlineStr">
        <is>
          <t>https://khoaviet.edu.vn/schedule</t>
        </is>
      </c>
      <c r="H171" s="509" t="inlineStr">
        <is>
          <t>All</t>
        </is>
      </c>
      <c r="I171" s="509" t="n">
        <v>2.4</v>
      </c>
      <c r="J171" s="509" t="n">
        <v>1.2</v>
      </c>
      <c r="K171" s="508" t="n">
        <v>1000000</v>
      </c>
    </row>
    <row r="172">
      <c r="A172" s="507" t="inlineStr">
        <is>
          <t>trường có chương trình tối giản</t>
        </is>
      </c>
      <c r="B172" s="507" t="inlineStr">
        <is>
          <t>Exact</t>
        </is>
      </c>
      <c r="C172" s="508" t="n">
        <v>120</v>
      </c>
      <c r="D172" s="508" t="n">
        <v>45000</v>
      </c>
      <c r="E172" s="507" t="inlineStr">
        <is>
          <t>Q3: Consideration</t>
        </is>
      </c>
      <c r="F172" s="507" t="inlineStr">
        <is>
          <t>Tối Giản</t>
        </is>
      </c>
      <c r="G172" s="507" t="inlineStr">
        <is>
          <t>https://khoaviet.edu.vn/minimal</t>
        </is>
      </c>
      <c r="H172" s="509" t="inlineStr">
        <is>
          <t>TĐ, NQ</t>
        </is>
      </c>
      <c r="I172" s="509" t="n">
        <v>3.5</v>
      </c>
      <c r="J172" s="509" t="n">
        <v>2.2</v>
      </c>
      <c r="K172" s="508" t="n">
        <v>700000</v>
      </c>
    </row>
    <row r="173">
      <c r="A173" s="507" t="inlineStr">
        <is>
          <t>thi cuối kỳ mầm non</t>
        </is>
      </c>
      <c r="B173" s="507" t="inlineStr">
        <is>
          <t>Phrase</t>
        </is>
      </c>
      <c r="C173" s="508" t="n">
        <v>210</v>
      </c>
      <c r="D173" s="508" t="n">
        <v>32000</v>
      </c>
      <c r="E173" s="507" t="inlineStr">
        <is>
          <t>Q1: Brand Awareness</t>
        </is>
      </c>
      <c r="F173" s="507" t="inlineStr">
        <is>
          <t>Thi Cuối Kỳ</t>
        </is>
      </c>
      <c r="G173" s="507" t="inlineStr">
        <is>
          <t>https://khoaviet.edu.vn/exam</t>
        </is>
      </c>
      <c r="H173" s="509" t="inlineStr">
        <is>
          <t>GV, TĐ</t>
        </is>
      </c>
      <c r="I173" s="509" t="n">
        <v>2</v>
      </c>
      <c r="J173" s="509" t="n">
        <v>0.8</v>
      </c>
      <c r="K173" s="508" t="n">
        <v>900000</v>
      </c>
    </row>
    <row r="174">
      <c r="A174" s="507" t="inlineStr">
        <is>
          <t>trường mầm non tuyên trạo</t>
        </is>
      </c>
      <c r="B174" s="507" t="inlineStr">
        <is>
          <t>Phrase</t>
        </is>
      </c>
      <c r="C174" s="508" t="n">
        <v>85</v>
      </c>
      <c r="D174" s="508" t="n">
        <v>40000</v>
      </c>
      <c r="E174" s="507" t="inlineStr">
        <is>
          <t>Q2: MN Enrollment</t>
        </is>
      </c>
      <c r="F174" s="507" t="inlineStr">
        <is>
          <t>Mầm Non</t>
        </is>
      </c>
      <c r="G174" s="507" t="inlineStr">
        <is>
          <t>https://khoaviet.edu.vn/mn</t>
        </is>
      </c>
      <c r="H174" s="509" t="inlineStr">
        <is>
          <t>TĐ</t>
        </is>
      </c>
      <c r="I174" s="509" t="n">
        <v>2.9</v>
      </c>
      <c r="J174" s="509" t="n">
        <v>1.9</v>
      </c>
      <c r="K174" s="508" t="n">
        <v>600000</v>
      </c>
    </row>
    <row r="175">
      <c r="A175" s="507" t="inlineStr">
        <is>
          <t>trường tiểu học tuyên trạo</t>
        </is>
      </c>
      <c r="B175" s="507" t="inlineStr">
        <is>
          <t>Phrase</t>
        </is>
      </c>
      <c r="C175" s="508" t="n">
        <v>110</v>
      </c>
      <c r="D175" s="508" t="n">
        <v>42000</v>
      </c>
      <c r="E175" s="507" t="inlineStr">
        <is>
          <t>Q2: TH Enrollment</t>
        </is>
      </c>
      <c r="F175" s="507" t="inlineStr">
        <is>
          <t>Tiểu Học</t>
        </is>
      </c>
      <c r="G175" s="507" t="inlineStr">
        <is>
          <t>https://khoaviet.edu.vn/th</t>
        </is>
      </c>
      <c r="H175" s="509" t="inlineStr">
        <is>
          <t>TĐ</t>
        </is>
      </c>
      <c r="I175" s="509" t="n">
        <v>2.7</v>
      </c>
      <c r="J175" s="509" t="n">
        <v>1.8</v>
      </c>
      <c r="K175" s="508" t="n">
        <v>700000</v>
      </c>
    </row>
    <row r="176">
      <c r="A176" s="507" t="inlineStr">
        <is>
          <t>trường cấp ba tuyên trạo</t>
        </is>
      </c>
      <c r="B176" s="507" t="inlineStr">
        <is>
          <t>Phrase</t>
        </is>
      </c>
      <c r="C176" s="508" t="n">
        <v>95</v>
      </c>
      <c r="D176" s="508" t="n">
        <v>44000</v>
      </c>
      <c r="E176" s="507" t="inlineStr">
        <is>
          <t>Q2: THPT Enrollment</t>
        </is>
      </c>
      <c r="F176" s="507" t="inlineStr">
        <is>
          <t>THPT</t>
        </is>
      </c>
      <c r="G176" s="507" t="inlineStr">
        <is>
          <t>https://khoaviet.edu.vn/thpt</t>
        </is>
      </c>
      <c r="H176" s="509" t="inlineStr">
        <is>
          <t>TĐ</t>
        </is>
      </c>
      <c r="I176" s="509" t="n">
        <v>2.8</v>
      </c>
      <c r="J176" s="509" t="n">
        <v>1.7</v>
      </c>
      <c r="K176" s="508" t="n">
        <v>650000</v>
      </c>
    </row>
    <row r="177">
      <c r="A177" s="507" t="inlineStr">
        <is>
          <t>trường tư gò vấp tuyên trạo</t>
        </is>
      </c>
      <c r="B177" s="507" t="inlineStr">
        <is>
          <t>Exact</t>
        </is>
      </c>
      <c r="C177" s="508" t="n">
        <v>75</v>
      </c>
      <c r="D177" s="508" t="n">
        <v>43000</v>
      </c>
      <c r="E177" s="507" t="inlineStr">
        <is>
          <t>Q1: Brand Awareness</t>
        </is>
      </c>
      <c r="F177" s="507" t="inlineStr">
        <is>
          <t>Địa Điểm</t>
        </is>
      </c>
      <c r="G177" s="507" t="inlineStr">
        <is>
          <t>https://khoaviet.edu.vn/govovap</t>
        </is>
      </c>
      <c r="H177" s="509" t="inlineStr">
        <is>
          <t>GV</t>
        </is>
      </c>
      <c r="I177" s="509" t="n">
        <v>3.1</v>
      </c>
      <c r="J177" s="509" t="n">
        <v>2</v>
      </c>
      <c r="K177" s="508" t="n">
        <v>550000</v>
      </c>
    </row>
    <row r="178">
      <c r="A178" s="507" t="inlineStr">
        <is>
          <t>trường tiểu học tuyên trạo phú nhuận</t>
        </is>
      </c>
      <c r="B178" s="507" t="inlineStr">
        <is>
          <t>Exact</t>
        </is>
      </c>
      <c r="C178" s="508" t="n">
        <v>65</v>
      </c>
      <c r="D178" s="508" t="n">
        <v>41000</v>
      </c>
      <c r="E178" s="507" t="inlineStr">
        <is>
          <t>Q2: TH Enrollment</t>
        </is>
      </c>
      <c r="F178" s="507" t="inlineStr">
        <is>
          <t>Tiểu Học</t>
        </is>
      </c>
      <c r="G178" s="507" t="inlineStr">
        <is>
          <t>https://khoaviet.edu.vn/th</t>
        </is>
      </c>
      <c r="H178" s="509" t="inlineStr">
        <is>
          <t>PH</t>
        </is>
      </c>
      <c r="I178" s="509" t="n">
        <v>2.6</v>
      </c>
      <c r="J178" s="509" t="n">
        <v>1.6</v>
      </c>
      <c r="K178" s="508" t="n">
        <v>500000</v>
      </c>
    </row>
    <row r="179">
      <c r="A179" s="507" t="inlineStr">
        <is>
          <t>trường mầm non tuyên trạo bình thạnh</t>
        </is>
      </c>
      <c r="B179" s="507" t="inlineStr">
        <is>
          <t>Exact</t>
        </is>
      </c>
      <c r="C179" s="508" t="n">
        <v>60</v>
      </c>
      <c r="D179" s="508" t="n">
        <v>39000</v>
      </c>
      <c r="E179" s="507" t="inlineStr">
        <is>
          <t>Q2: MN Enrollment</t>
        </is>
      </c>
      <c r="F179" s="507" t="inlineStr">
        <is>
          <t>Mầm Non</t>
        </is>
      </c>
      <c r="G179" s="507" t="inlineStr">
        <is>
          <t>https://khoaviet.edu.vn/mn</t>
        </is>
      </c>
      <c r="H179" s="509" t="inlineStr">
        <is>
          <t>BL</t>
        </is>
      </c>
      <c r="I179" s="509" t="n">
        <v>2.5</v>
      </c>
      <c r="J179" s="509" t="n">
        <v>1.5</v>
      </c>
      <c r="K179" s="508" t="n">
        <v>450000</v>
      </c>
    </row>
    <row r="180">
      <c r="A180" s="507" t="inlineStr">
        <is>
          <t>học tập online + offline</t>
        </is>
      </c>
      <c r="B180" s="507" t="inlineStr">
        <is>
          <t>Phrase</t>
        </is>
      </c>
      <c r="C180" s="508" t="n">
        <v>340</v>
      </c>
      <c r="D180" s="508" t="n">
        <v>37000</v>
      </c>
      <c r="E180" s="507" t="inlineStr">
        <is>
          <t>Q3: Consideration</t>
        </is>
      </c>
      <c r="F180" s="507" t="inlineStr">
        <is>
          <t>Mô Hình Học</t>
        </is>
      </c>
      <c r="G180" s="507" t="inlineStr">
        <is>
          <t>https://khoaviet.edu.vn/hybrid</t>
        </is>
      </c>
      <c r="H180" s="509" t="inlineStr">
        <is>
          <t>All</t>
        </is>
      </c>
      <c r="I180" s="509" t="n">
        <v>2.7</v>
      </c>
      <c r="J180" s="509" t="n">
        <v>1.5</v>
      </c>
      <c r="K180" s="508" t="n">
        <v>1700000</v>
      </c>
    </row>
    <row r="181">
      <c r="A181" s="507" t="inlineStr">
        <is>
          <t>open day trường tiểu học 2026</t>
        </is>
      </c>
      <c r="B181" s="507" t="inlineStr">
        <is>
          <t>Phrase</t>
        </is>
      </c>
      <c r="C181" s="508" t="n">
        <v>520</v>
      </c>
      <c r="D181" s="508" t="n">
        <v>43000</v>
      </c>
      <c r="E181" s="507" t="inlineStr">
        <is>
          <t>Q1: Launch</t>
        </is>
      </c>
      <c r="F181" s="507" t="inlineStr">
        <is>
          <t>Open Day</t>
        </is>
      </c>
      <c r="G181" s="507" t="inlineStr">
        <is>
          <t>https://khoaviet.edu.vn/openday</t>
        </is>
      </c>
      <c r="H181" s="509" t="inlineStr">
        <is>
          <t>All</t>
        </is>
      </c>
      <c r="I181" s="509" t="n">
        <v>4</v>
      </c>
      <c r="J181" s="509" t="n">
        <v>2.9</v>
      </c>
      <c r="K181" s="508" t="n">
        <v>2500000</v>
      </c>
    </row>
    <row r="184">
      <c r="A184" s="533" t="inlineStr">
        <is>
          <t>B. GOOGLE ADS CAMPAIGNS THEO PHỄU — SEARCH + DISPLAY + YOUTUBE</t>
        </is>
      </c>
    </row>
    <row r="186">
      <c r="A186" s="495" t="inlineStr">
        <is>
          <t>Campaign Type</t>
        </is>
      </c>
      <c r="B186" s="495" t="inlineStr">
        <is>
          <t>Campaign Name</t>
        </is>
      </c>
      <c r="C186" s="495" t="inlineStr">
        <is>
          <t>Keyword / Audience</t>
        </is>
      </c>
      <c r="D186" s="495" t="inlineStr">
        <is>
          <t>Match Type</t>
        </is>
      </c>
      <c r="E186" s="495" t="inlineStr">
        <is>
          <t>Est. CPC</t>
        </is>
      </c>
      <c r="F186" s="495" t="inlineStr">
        <is>
          <t>Monthly Volume</t>
        </is>
      </c>
      <c r="G186" s="495" t="inlineStr">
        <is>
          <t>Headline 1</t>
        </is>
      </c>
      <c r="H186" s="495" t="inlineStr">
        <is>
          <t>Headline 2</t>
        </is>
      </c>
      <c r="I186" s="495" t="inlineStr">
        <is>
          <t>Headline 3</t>
        </is>
      </c>
      <c r="J186" s="495" t="inlineStr">
        <is>
          <t>Description 1</t>
        </is>
      </c>
      <c r="K186" s="495" t="inlineStr">
        <is>
          <t>Description 2</t>
        </is>
      </c>
      <c r="L186" s="495" t="inlineStr">
        <is>
          <t>Landing Page URL</t>
        </is>
      </c>
      <c r="M186" s="495" t="inlineStr">
        <is>
          <t>Ad Extensions</t>
        </is>
      </c>
      <c r="N186" s="495" t="inlineStr">
        <is>
          <t>Remark</t>
        </is>
      </c>
    </row>
    <row r="187">
      <c r="A187" s="499" t="inlineStr">
        <is>
          <t>Search</t>
        </is>
      </c>
      <c r="B187" s="499" t="inlineStr">
        <is>
          <t>Brand - Việt Anh</t>
        </is>
      </c>
      <c r="C187" s="499" t="inlineStr">
        <is>
          <t>trường việt anh</t>
        </is>
      </c>
      <c r="D187" s="499" t="inlineStr">
        <is>
          <t>Exact</t>
        </is>
      </c>
      <c r="E187" s="500" t="inlineStr">
        <is>
          <t>25000</t>
        </is>
      </c>
      <c r="F187" s="500" t="inlineStr">
        <is>
          <t>850</t>
        </is>
      </c>
      <c r="G187" s="500" t="inlineStr">
        <is>
          <t>Trường Việt Anh - Chất Lượng Quốc Tế</t>
        </is>
      </c>
      <c r="H187" s="500" t="inlineStr">
        <is>
          <t>Mầm Non - Tiểu Học - THCS - THPT</t>
        </is>
      </c>
      <c r="I187" s="500" t="inlineStr">
        <is>
          <t>Tuyển Sinh 2026 Ngay</t>
        </is>
      </c>
      <c r="J187" s="500" t="inlineStr">
        <is>
          <t>Cơ sở song ngữ tại Hóc Môn, HCM. Chương trình quốc tế, thầy cô giàu kinh nghiệm.</t>
        </is>
      </c>
      <c r="K187" s="500" t="inlineStr">
        <is>
          <t>Tham tour miễn phí. Liên hệ tư vấn ngay</t>
        </is>
      </c>
      <c r="L187" s="500" t="inlineStr">
        <is>
          <t>forms.truongvietanh.com/</t>
        </is>
      </c>
      <c r="M187" s="500" t="inlineStr">
        <is>
          <t>Phone, Location, Promotion</t>
        </is>
      </c>
      <c r="N187" s="500" t="inlineStr">
        <is>
          <t>Brand protection</t>
        </is>
      </c>
    </row>
    <row r="188">
      <c r="A188" s="499" t="inlineStr">
        <is>
          <t>Search</t>
        </is>
      </c>
      <c r="B188" s="499" t="inlineStr">
        <is>
          <t>Brand - Việt Anh</t>
        </is>
      </c>
      <c r="C188" s="499" t="inlineStr">
        <is>
          <t>truong viet anh</t>
        </is>
      </c>
      <c r="D188" s="499" t="inlineStr">
        <is>
          <t>Exact</t>
        </is>
      </c>
      <c r="E188" s="500" t="inlineStr">
        <is>
          <t>24000</t>
        </is>
      </c>
      <c r="F188" s="500" t="inlineStr">
        <is>
          <t>720</t>
        </is>
      </c>
      <c r="G188" s="500" t="inlineStr">
        <is>
          <t>Trường Việt Anh - Tuyển Sinh 2026</t>
        </is>
      </c>
      <c r="H188" s="500" t="inlineStr">
        <is>
          <t>Chất Lượng - Môi Trường - Giáo Dục</t>
        </is>
      </c>
      <c r="I188" s="500" t="inlineStr">
        <is>
          <t>Liên Hệ Tư Vấn Miễn Phí</t>
        </is>
      </c>
      <c r="J188" s="500" t="inlineStr">
        <is>
          <t>Cơ sở vật chất hiện đại, thầy cô dày kinh nghiệm, môi trường an toàn.</t>
        </is>
      </c>
      <c r="K188" s="500" t="inlineStr">
        <is>
          <t>Tham quan trường hôm nay</t>
        </is>
      </c>
      <c r="L188" s="500" t="inlineStr">
        <is>
          <t>forms.truongvietanh.com/</t>
        </is>
      </c>
      <c r="M188" s="500" t="inlineStr">
        <is>
          <t>Phone, Promotion</t>
        </is>
      </c>
      <c r="N188" s="500" t="inlineStr">
        <is>
          <t>Brand Vietnamese</t>
        </is>
      </c>
    </row>
    <row r="189">
      <c r="A189" s="499" t="inlineStr">
        <is>
          <t>Search</t>
        </is>
      </c>
      <c r="B189" s="499" t="inlineStr">
        <is>
          <t>Brand - Việt Anh</t>
        </is>
      </c>
      <c r="C189" s="499" t="inlineStr">
        <is>
          <t>việt anh school</t>
        </is>
      </c>
      <c r="D189" s="499" t="inlineStr">
        <is>
          <t>Exact</t>
        </is>
      </c>
      <c r="E189" s="500" t="inlineStr">
        <is>
          <t>26000</t>
        </is>
      </c>
      <c r="F189" s="500" t="inlineStr">
        <is>
          <t>630</t>
        </is>
      </c>
      <c r="G189" s="500" t="inlineStr">
        <is>
          <t>Việt Anh School - International Education</t>
        </is>
      </c>
      <c r="H189" s="500" t="inlineStr">
        <is>
          <t>Preschool to High School</t>
        </is>
      </c>
      <c r="I189" s="500" t="inlineStr">
        <is>
          <t>Tour Campus Today</t>
        </is>
      </c>
      <c r="J189" s="500" t="inlineStr">
        <is>
          <t>English immersion environment, experienced teachers, modern facilities.</t>
        </is>
      </c>
      <c r="K189" s="500" t="inlineStr">
        <is>
          <t>Free consultation now</t>
        </is>
      </c>
      <c r="L189" s="500" t="inlineStr">
        <is>
          <t>forms.truongvietanh.com/</t>
        </is>
      </c>
      <c r="M189" s="500" t="inlineStr">
        <is>
          <t>Phone, Location</t>
        </is>
      </c>
      <c r="N189" s="500" t="inlineStr">
        <is>
          <t>Brand English</t>
        </is>
      </c>
    </row>
    <row r="190">
      <c r="A190" s="499" t="inlineStr">
        <is>
          <t>Search</t>
        </is>
      </c>
      <c r="B190" s="499" t="inlineStr">
        <is>
          <t>Generic MN - HCM</t>
        </is>
      </c>
      <c r="C190" s="499" t="inlineStr">
        <is>
          <t>trường mầm non quận gò vấp</t>
        </is>
      </c>
      <c r="D190" s="499" t="inlineStr">
        <is>
          <t>Phrase</t>
        </is>
      </c>
      <c r="E190" s="500" t="inlineStr">
        <is>
          <t>18000</t>
        </is>
      </c>
      <c r="F190" s="500" t="inlineStr">
        <is>
          <t>950</t>
        </is>
      </c>
      <c r="G190" s="500" t="inlineStr">
        <is>
          <t>Mầm Non Việt Anh Gò Vấp</t>
        </is>
      </c>
      <c r="H190" s="500" t="inlineStr">
        <is>
          <t>Song Ngữ - An Toàn - Chương Trình Tốt</t>
        </is>
      </c>
      <c r="I190" s="500" t="inlineStr">
        <is>
          <t>Tham Tour Miễn Phí</t>
        </is>
      </c>
      <c r="J190" s="500" t="inlineStr">
        <is>
          <t>Trường mầm non tư thục uy tín, cơ sở an toàn, giáo dục toàn diện.</t>
        </is>
      </c>
      <c r="K190" s="500" t="inlineStr">
        <is>
          <t>Tuyển sinh Mầm Non 2026</t>
        </is>
      </c>
      <c r="L190" s="500" t="inlineStr">
        <is>
          <t>forms.truongvietanh.com/tuyen-sinh-mam-non</t>
        </is>
      </c>
      <c r="M190" s="500" t="inlineStr">
        <is>
          <t>Phone, Location, Promotion</t>
        </is>
      </c>
      <c r="N190" s="500" t="inlineStr">
        <is>
          <t>Local MN geo</t>
        </is>
      </c>
    </row>
    <row r="191">
      <c r="A191" s="499" t="inlineStr">
        <is>
          <t>Search</t>
        </is>
      </c>
      <c r="B191" s="499" t="inlineStr">
        <is>
          <t>Generic MN - Quality</t>
        </is>
      </c>
      <c r="C191" s="499" t="inlineStr">
        <is>
          <t>trường mầm non tốt</t>
        </is>
      </c>
      <c r="D191" s="499" t="inlineStr">
        <is>
          <t>Phrase</t>
        </is>
      </c>
      <c r="E191" s="500" t="inlineStr">
        <is>
          <t>16000</t>
        </is>
      </c>
      <c r="F191" s="500" t="inlineStr">
        <is>
          <t>1200</t>
        </is>
      </c>
      <c r="G191" s="500" t="inlineStr">
        <is>
          <t>Chọn Trường Mầm Non Tốt Cho Con</t>
        </is>
      </c>
      <c r="H191" s="500" t="inlineStr">
        <is>
          <t>Chất Lượng - Song Ngữ - An Toàn</t>
        </is>
      </c>
      <c r="I191" s="500" t="inlineStr">
        <is>
          <t>Đăng Ký Tư Vấn Ngay</t>
        </is>
      </c>
      <c r="J191" s="500" t="inlineStr">
        <is>
          <t>So sánh chất lượng giáo dục, tiện ích, thầy cô tại mầm non Việt Anh.</t>
        </is>
      </c>
      <c r="K191" s="500" t="inlineStr">
        <is>
          <t>Tham quan và hỏi học phí</t>
        </is>
      </c>
      <c r="L191" s="500" t="inlineStr">
        <is>
          <t>forms.truongvietanh.com/tuyen-sinh-mam-non</t>
        </is>
      </c>
      <c r="M191" s="500" t="inlineStr">
        <is>
          <t>Phone, Promotion</t>
        </is>
      </c>
      <c r="N191" s="500" t="inlineStr">
        <is>
          <t>Quality comparison</t>
        </is>
      </c>
    </row>
    <row r="192">
      <c r="A192" s="499" t="inlineStr">
        <is>
          <t>Search</t>
        </is>
      </c>
      <c r="B192" s="499" t="inlineStr">
        <is>
          <t>Generic MN - Tuition</t>
        </is>
      </c>
      <c r="C192" s="499" t="inlineStr">
        <is>
          <t>học phí mầm non 2026</t>
        </is>
      </c>
      <c r="D192" s="499" t="inlineStr">
        <is>
          <t>Phrase</t>
        </is>
      </c>
      <c r="E192" s="500" t="inlineStr">
        <is>
          <t>14000</t>
        </is>
      </c>
      <c r="F192" s="500" t="inlineStr">
        <is>
          <t>850</t>
        </is>
      </c>
      <c r="G192" s="500" t="inlineStr">
        <is>
          <t>Học Phí Mầm Non 2026 Minh Bạch</t>
        </is>
      </c>
      <c r="H192" s="500" t="inlineStr">
        <is>
          <t>Chi Phí Rõ Ràng - Không Ẩn Số</t>
        </is>
      </c>
      <c r="I192" s="500" t="inlineStr">
        <is>
          <t>Xem Chi Tiết Học Phí</t>
        </is>
      </c>
      <c r="J192" s="500" t="inlineStr">
        <is>
          <t>Mầm non Việt Anh: học phí cạnh tranh, chất lượng cao. Tư vấn lựa chọn học phí phù hợp.</t>
        </is>
      </c>
      <c r="K192" s="500" t="inlineStr">
        <is>
          <t>Danh sách đầy đủ phí</t>
        </is>
      </c>
      <c r="L192" s="500" t="inlineStr">
        <is>
          <t>forms.truongvietanh.com/tuyen-sinh-mam-non/hoc-phi</t>
        </is>
      </c>
      <c r="M192" s="500" t="inlineStr">
        <is>
          <t>Phone, Promotion</t>
        </is>
      </c>
      <c r="N192" s="500" t="inlineStr">
        <is>
          <t>Tuition focused</t>
        </is>
      </c>
    </row>
    <row r="193">
      <c r="A193" s="499" t="inlineStr">
        <is>
          <t>Search</t>
        </is>
      </c>
      <c r="B193" s="499" t="inlineStr">
        <is>
          <t>Generic MN - Bilingual</t>
        </is>
      </c>
      <c r="C193" s="499" t="inlineStr">
        <is>
          <t>trường mầm non song ngữ hcm</t>
        </is>
      </c>
      <c r="D193" s="499" t="inlineStr">
        <is>
          <t>Phrase</t>
        </is>
      </c>
      <c r="E193" s="500" t="inlineStr">
        <is>
          <t>19000</t>
        </is>
      </c>
      <c r="F193" s="500" t="inlineStr">
        <is>
          <t>780</t>
        </is>
      </c>
      <c r="G193" s="500" t="inlineStr">
        <is>
          <t>Mầm Non Song Ngữ HCM - Việt Anh</t>
        </is>
      </c>
      <c r="H193" s="500" t="inlineStr">
        <is>
          <t>Tiếng Anh - Tiếng Việt - Tiếng Trung</t>
        </is>
      </c>
      <c r="I193" s="500" t="inlineStr">
        <is>
          <t>Tham Tour Miễn Phí Ngay</t>
        </is>
      </c>
      <c r="J193" s="500" t="inlineStr">
        <is>
          <t>Chương trình song ngữ cân bằng, giáo dục toàn diện, môi trường vui vẻ.</t>
        </is>
      </c>
      <c r="K193" s="500" t="inlineStr">
        <is>
          <t>Phương pháp giảng dạy hiệu quả</t>
        </is>
      </c>
      <c r="L193" s="500" t="inlineStr">
        <is>
          <t>forms.truongvietanh.com/tuyen-sinh-mam-non</t>
        </is>
      </c>
      <c r="M193" s="500" t="inlineStr">
        <is>
          <t>Phone, Location</t>
        </is>
      </c>
      <c r="N193" s="500" t="inlineStr">
        <is>
          <t>Bilingual focus</t>
        </is>
      </c>
    </row>
    <row r="194">
      <c r="A194" s="499" t="inlineStr">
        <is>
          <t>Search</t>
        </is>
      </c>
      <c r="B194" s="499" t="inlineStr">
        <is>
          <t>Generic TH - HCM</t>
        </is>
      </c>
      <c r="C194" s="499" t="inlineStr">
        <is>
          <t>trường tiểu học tư thục hcm</t>
        </is>
      </c>
      <c r="D194" s="499" t="inlineStr">
        <is>
          <t>Phrase</t>
        </is>
      </c>
      <c r="E194" s="500" t="inlineStr">
        <is>
          <t>21000</t>
        </is>
      </c>
      <c r="F194" s="500" t="inlineStr">
        <is>
          <t>1050</t>
        </is>
      </c>
      <c r="G194" s="500" t="inlineStr">
        <is>
          <t>Tiểu Học Tư Thục Việt Anh HCM</t>
        </is>
      </c>
      <c r="H194" s="500" t="inlineStr">
        <is>
          <t>Song Ngữ - Chất Lượng - An Toàn</t>
        </is>
      </c>
      <c r="I194" s="500" t="inlineStr">
        <is>
          <t>Tuyển Sinh Lớp 1 Ngay</t>
        </is>
      </c>
      <c r="J194" s="500" t="inlineStr">
        <is>
          <t>Trường tiểu học tư thục chất lượng, chuẩn bị tốt cho các kỳ thi.</t>
        </is>
      </c>
      <c r="K194" s="500" t="inlineStr">
        <is>
          <t>Tham quan cơ sở</t>
        </is>
      </c>
      <c r="L194" s="500" t="inlineStr">
        <is>
          <t>forms.truongvietanh.com/tuyen-sinh-tieu-hoc</t>
        </is>
      </c>
      <c r="M194" s="500" t="inlineStr">
        <is>
          <t>Phone, Location, Promotion</t>
        </is>
      </c>
      <c r="N194" s="500" t="inlineStr">
        <is>
          <t>TH private schools</t>
        </is>
      </c>
    </row>
    <row r="195">
      <c r="A195" s="499" t="inlineStr">
        <is>
          <t>Search</t>
        </is>
      </c>
      <c r="B195" s="499" t="inlineStr">
        <is>
          <t>Generic TH - Grade 1</t>
        </is>
      </c>
      <c r="C195" s="499" t="inlineStr">
        <is>
          <t>chuẩn bị vào lớp 1</t>
        </is>
      </c>
      <c r="D195" s="499" t="inlineStr">
        <is>
          <t>Phrase</t>
        </is>
      </c>
      <c r="E195" s="500" t="inlineStr">
        <is>
          <t>18000</t>
        </is>
      </c>
      <c r="F195" s="500" t="inlineStr">
        <is>
          <t>920</t>
        </is>
      </c>
      <c r="G195" s="500" t="inlineStr">
        <is>
          <t>Chuẩn Bị Lớp 1 - Tiểu Học Việt Anh</t>
        </is>
      </c>
      <c r="H195" s="500" t="inlineStr">
        <is>
          <t>Program Chuẩn Bị - Kỹ Năng Sống</t>
        </is>
      </c>
      <c r="I195" s="500" t="inlineStr">
        <is>
          <t>Tư Vấn Miễn Phí</t>
        </is>
      </c>
      <c r="J195" s="500" t="inlineStr">
        <is>
          <t>Tiểu học Việt Anh có chương trình chuẩn bị lớp 1 hiệu quả, an tâm cho phụ huynh.</t>
        </is>
      </c>
      <c r="K195" s="500" t="inlineStr">
        <is>
          <t>Nội dung chương trình chuẩn bị</t>
        </is>
      </c>
      <c r="L195" s="500" t="inlineStr">
        <is>
          <t>forms.truongvietanh.com/tuyen-sinh-tieu-hoc/chuong-trinh</t>
        </is>
      </c>
      <c r="M195" s="500" t="inlineStr">
        <is>
          <t>Phone, Promotion</t>
        </is>
      </c>
      <c r="N195" s="500" t="inlineStr">
        <is>
          <t>Grade 1 prep</t>
        </is>
      </c>
    </row>
    <row r="196">
      <c r="A196" s="499" t="inlineStr">
        <is>
          <t>Search</t>
        </is>
      </c>
      <c r="B196" s="499" t="inlineStr">
        <is>
          <t>Generic TH - International</t>
        </is>
      </c>
      <c r="C196" s="499" t="inlineStr">
        <is>
          <t>trường tiểu học quốc tế</t>
        </is>
      </c>
      <c r="D196" s="499" t="inlineStr">
        <is>
          <t>Phrase</t>
        </is>
      </c>
      <c r="E196" s="500" t="inlineStr">
        <is>
          <t>22000</t>
        </is>
      </c>
      <c r="F196" s="500" t="inlineStr">
        <is>
          <t>650</t>
        </is>
      </c>
      <c r="G196" s="500" t="inlineStr">
        <is>
          <t>Tiểu Học Quốc Tế HCM</t>
        </is>
      </c>
      <c r="H196" s="500" t="inlineStr">
        <is>
          <t>Chương Trình Quốc Tế - STEM - Tiếng Anh</t>
        </is>
      </c>
      <c r="I196" s="500" t="inlineStr">
        <is>
          <t>Xem Chương Trình Quốc Tế</t>
        </is>
      </c>
      <c r="J196" s="500" t="inlineStr">
        <is>
          <t>Tiểu học với chương trình quốc tế, giáo dục STEM, ngoại ngữ mạnh.</t>
        </is>
      </c>
      <c r="K196" s="500" t="inlineStr">
        <is>
          <t>Thư viện, phòng máy tính hiện đại</t>
        </is>
      </c>
      <c r="L196" s="500" t="inlineStr">
        <is>
          <t>forms.truongvietanh.com/tuyen-sinh-tieu-hoc</t>
        </is>
      </c>
      <c r="M196" s="500" t="inlineStr">
        <is>
          <t>Phone, Location</t>
        </is>
      </c>
      <c r="N196" s="500" t="inlineStr">
        <is>
          <t>International focus</t>
        </is>
      </c>
    </row>
    <row r="197">
      <c r="A197" s="499" t="inlineStr">
        <is>
          <t>Search</t>
        </is>
      </c>
      <c r="B197" s="499" t="inlineStr">
        <is>
          <t>Generic THCS - Quality</t>
        </is>
      </c>
      <c r="C197" s="499" t="inlineStr">
        <is>
          <t>trường cấp 2 tốt hcm</t>
        </is>
      </c>
      <c r="D197" s="499" t="inlineStr">
        <is>
          <t>Phrase</t>
        </is>
      </c>
      <c r="E197" s="500" t="inlineStr">
        <is>
          <t>23000</t>
        </is>
      </c>
      <c r="F197" s="500" t="inlineStr">
        <is>
          <t>1100</t>
        </is>
      </c>
      <c r="G197" s="500" t="inlineStr">
        <is>
          <t>Trường THCS Tốt HCM - Việt Anh</t>
        </is>
      </c>
      <c r="H197" s="500" t="inlineStr">
        <is>
          <t>Chất Lượng - Chuẩn Bị Thi Lớp 6</t>
        </is>
      </c>
      <c r="I197" s="500" t="inlineStr">
        <is>
          <t>Tư Vấn Miễn Phí Ngay</t>
        </is>
      </c>
      <c r="J197" s="500" t="inlineStr">
        <is>
          <t>THCS Việt Anh: chuẩn bị thi lớp 6, môi trường học tập tuyệt vời.</t>
        </is>
      </c>
      <c r="K197" s="500" t="inlineStr">
        <is>
          <t>Tỷ lệ đỗ lớp 6 cao</t>
        </is>
      </c>
      <c r="L197" s="500" t="inlineStr">
        <is>
          <t>forms.truongvietanh.com/tuyen-sinh-thcs</t>
        </is>
      </c>
      <c r="M197" s="500" t="inlineStr">
        <is>
          <t>Phone, Promotion</t>
        </is>
      </c>
      <c r="N197" s="500" t="inlineStr">
        <is>
          <t>THCS quality</t>
        </is>
      </c>
    </row>
    <row r="198">
      <c r="A198" s="499" t="inlineStr">
        <is>
          <t>Search</t>
        </is>
      </c>
      <c r="B198" s="499" t="inlineStr">
        <is>
          <t>Generic THCS - Grade 6</t>
        </is>
      </c>
      <c r="C198" s="499" t="inlineStr">
        <is>
          <t>tuyển sinh lớp 6</t>
        </is>
      </c>
      <c r="D198" s="499" t="inlineStr">
        <is>
          <t>Phrase</t>
        </is>
      </c>
      <c r="E198" s="500" t="inlineStr">
        <is>
          <t>19000</t>
        </is>
      </c>
      <c r="F198" s="500" t="inlineStr">
        <is>
          <t>1350</t>
        </is>
      </c>
      <c r="G198" s="500" t="inlineStr">
        <is>
          <t>Tuyển Sinh Lớp 6 - THCS Việt Anh</t>
        </is>
      </c>
      <c r="H198" s="500" t="inlineStr">
        <is>
          <t>Chuẩn Bị Thi - Chương Trình Tốt</t>
        </is>
      </c>
      <c r="I198" s="500" t="inlineStr">
        <is>
          <t>Đăng Ký Tư Vấn Ngay</t>
        </is>
      </c>
      <c r="J198" s="500" t="inlineStr">
        <is>
          <t>THCS Việt Anh tuyển sinh lớp 6 hàng năm. Chuẩn bị kỳ thi hiệu quả.</t>
        </is>
      </c>
      <c r="K198" s="500" t="inlineStr">
        <is>
          <t>Lịch thi, yêu cầu tuyển sinh</t>
        </is>
      </c>
      <c r="L198" s="500" t="inlineStr">
        <is>
          <t>forms.truongvietanh.com/tuyen-sinh-thcs</t>
        </is>
      </c>
      <c r="M198" s="500" t="inlineStr">
        <is>
          <t>Phone, Promotion</t>
        </is>
      </c>
      <c r="N198" s="500" t="inlineStr">
        <is>
          <t>Grade 6 enrollment</t>
        </is>
      </c>
    </row>
    <row r="199">
      <c r="A199" s="499" t="inlineStr">
        <is>
          <t>Search</t>
        </is>
      </c>
      <c r="B199" s="499" t="inlineStr">
        <is>
          <t>Generic THPT - Quality</t>
        </is>
      </c>
      <c r="C199" s="499" t="inlineStr">
        <is>
          <t>trường cấp 3 tư thục</t>
        </is>
      </c>
      <c r="D199" s="499" t="inlineStr">
        <is>
          <t>Phrase</t>
        </is>
      </c>
      <c r="E199" s="500" t="inlineStr">
        <is>
          <t>24000</t>
        </is>
      </c>
      <c r="F199" s="500" t="inlineStr">
        <is>
          <t>890</t>
        </is>
      </c>
      <c r="G199" s="500" t="inlineStr">
        <is>
          <t>Trường Cấp 3 Tư Thục - Việt Anh</t>
        </is>
      </c>
      <c r="H199" s="500" t="inlineStr">
        <is>
          <t>Chuẩn Bị Đại Học - Chất Lượng</t>
        </is>
      </c>
      <c r="I199" s="500" t="inlineStr">
        <is>
          <t>Tư Vấn Miễn Phí Ngay</t>
        </is>
      </c>
      <c r="J199" s="500" t="inlineStr">
        <is>
          <t>THPT Việt Anh: chuẩn bị SAT/IELTS, tỷ lệ vào ĐH hàng đầu.</t>
        </is>
      </c>
      <c r="K199" s="500" t="inlineStr">
        <is>
          <t>Thành tích học sinh xuất sắc</t>
        </is>
      </c>
      <c r="L199" s="500" t="inlineStr">
        <is>
          <t>forms.truongvietanh.com/tuyen-sinh-thpt</t>
        </is>
      </c>
      <c r="M199" s="500" t="inlineStr">
        <is>
          <t>Phone, Promotion</t>
        </is>
      </c>
      <c r="N199" s="500" t="inlineStr">
        <is>
          <t>THPT quality</t>
        </is>
      </c>
    </row>
    <row r="200">
      <c r="A200" s="499" t="inlineStr">
        <is>
          <t>Search</t>
        </is>
      </c>
      <c r="B200" s="499" t="inlineStr">
        <is>
          <t>Generic THPT - Grade 10</t>
        </is>
      </c>
      <c r="C200" s="499" t="inlineStr">
        <is>
          <t>tuyển sinh lớp 10 hcm</t>
        </is>
      </c>
      <c r="D200" s="499" t="inlineStr">
        <is>
          <t>Phrase</t>
        </is>
      </c>
      <c r="E200" s="500" t="inlineStr">
        <is>
          <t>21000</t>
        </is>
      </c>
      <c r="F200" s="500" t="inlineStr">
        <is>
          <t>980</t>
        </is>
      </c>
      <c r="G200" s="500" t="inlineStr">
        <is>
          <t>Tuyển Sinh Lớp 10 HCM - Việt Anh</t>
        </is>
      </c>
      <c r="H200" s="500" t="inlineStr">
        <is>
          <t>Chuẩn Bị Kỳ Thi - Chương Trình SAT</t>
        </is>
      </c>
      <c r="I200" s="500" t="inlineStr">
        <is>
          <t>Đăng Ký Ngay</t>
        </is>
      </c>
      <c r="J200" s="500" t="inlineStr">
        <is>
          <t>THPT Việt Anh tuyển sinh lớp 10. Chuẩn bị kỳ thi chuẩn hóa quốc tế.</t>
        </is>
      </c>
      <c r="K200" s="500" t="inlineStr">
        <is>
          <t>Lộ trình chuẩn bị ĐH</t>
        </is>
      </c>
      <c r="L200" s="500" t="inlineStr">
        <is>
          <t>forms.truongvietanh.com/tuyen-sinh-thpt</t>
        </is>
      </c>
      <c r="M200" s="500" t="inlineStr">
        <is>
          <t>Phone, Promotion</t>
        </is>
      </c>
      <c r="N200" s="500" t="inlineStr">
        <is>
          <t>Grade 10 enrollment</t>
        </is>
      </c>
    </row>
    <row r="201">
      <c r="A201" s="499" t="inlineStr">
        <is>
          <t>Search</t>
        </is>
      </c>
      <c r="B201" s="499" t="inlineStr">
        <is>
          <t>Competitor - Comparison</t>
        </is>
      </c>
      <c r="C201" s="499" t="inlineStr">
        <is>
          <t>so sánh trường tư thục</t>
        </is>
      </c>
      <c r="D201" s="499" t="inlineStr">
        <is>
          <t>Broad</t>
        </is>
      </c>
      <c r="E201" s="500" t="inlineStr">
        <is>
          <t>15000</t>
        </is>
      </c>
      <c r="F201" s="500" t="inlineStr">
        <is>
          <t>1200</t>
        </is>
      </c>
      <c r="G201" s="500" t="inlineStr">
        <is>
          <t>So Sánh Trường Tư Thục HCM</t>
        </is>
      </c>
      <c r="H201" s="500" t="inlineStr">
        <is>
          <t>Chọn Trường Phù Hợp Cho Con</t>
        </is>
      </c>
      <c r="I201" s="500" t="inlineStr">
        <is>
          <t>Tư Vấn So Sánh Chi Tiết</t>
        </is>
      </c>
      <c r="J201" s="500" t="inlineStr">
        <is>
          <t>Compare Việt Anh với các trường khác: chất lượng, học phí, môi trường, kết quả học sinh.</t>
        </is>
      </c>
      <c r="K201" s="500" t="inlineStr">
        <is>
          <t>Tài liệu so sánh chi tiết</t>
        </is>
      </c>
      <c r="L201" s="500" t="inlineStr">
        <is>
          <t>forms.truongvietanh.com/</t>
        </is>
      </c>
      <c r="M201" s="500" t="inlineStr">
        <is>
          <t>Phone, Promotion</t>
        </is>
      </c>
      <c r="N201" s="500" t="inlineStr">
        <is>
          <t>Competitive comparison</t>
        </is>
      </c>
    </row>
    <row r="202">
      <c r="A202" s="499" t="inlineStr">
        <is>
          <t>Search</t>
        </is>
      </c>
      <c r="B202" s="499" t="inlineStr">
        <is>
          <t>Competitor - Best School</t>
        </is>
      </c>
      <c r="C202" s="499" t="inlineStr">
        <is>
          <t>trường tư thục nào tốt</t>
        </is>
      </c>
      <c r="D202" s="499" t="inlineStr">
        <is>
          <t>Broad</t>
        </is>
      </c>
      <c r="E202" s="500" t="inlineStr">
        <is>
          <t>14500</t>
        </is>
      </c>
      <c r="F202" s="500" t="inlineStr">
        <is>
          <t>1400</t>
        </is>
      </c>
      <c r="G202" s="500" t="inlineStr">
        <is>
          <t>Trường Tư Thục Nào Tốt Nhất?</t>
        </is>
      </c>
      <c r="H202" s="500" t="inlineStr">
        <is>
          <t>So Sánh Chất Lượng - Chọn Lựa Tốt</t>
        </is>
      </c>
      <c r="I202" s="500" t="inlineStr">
        <is>
          <t>Tìm Trường Phù Hợp Ngay</t>
        </is>
      </c>
      <c r="J202" s="500" t="inlineStr">
        <is>
          <t>Việt Anh nằm trong top trường tư thục uy tín HCM. Xem đánh giá chi tiết từ phụ huynh.</t>
        </is>
      </c>
      <c r="K202" s="500" t="inlineStr">
        <is>
          <t>Danh sách trường so sánh</t>
        </is>
      </c>
      <c r="L202" s="500" t="inlineStr">
        <is>
          <t>forms.truongvietanh.com/</t>
        </is>
      </c>
      <c r="M202" s="500" t="inlineStr">
        <is>
          <t>Phone, Promotion</t>
        </is>
      </c>
      <c r="N202" s="500" t="inlineStr">
        <is>
          <t>School quality comparison</t>
        </is>
      </c>
    </row>
    <row r="203">
      <c r="A203" s="499" t="inlineStr">
        <is>
          <t>Display</t>
        </is>
      </c>
      <c r="B203" s="499" t="inlineStr">
        <is>
          <t>Remarketing - MN Visitors</t>
        </is>
      </c>
      <c r="C203" s="499" t="inlineStr">
        <is>
          <t>MN page visitors (audience)</t>
        </is>
      </c>
      <c r="D203" s="499" t="inlineStr">
        <is>
          <t>Display network</t>
        </is>
      </c>
      <c r="E203" s="500" t="inlineStr">
        <is>
          <t>8000</t>
        </is>
      </c>
      <c r="F203" s="500" t="inlineStr">
        <is>
          <t>N/A</t>
        </is>
      </c>
      <c r="G203" s="500" t="inlineStr">
        <is>
          <t>Bạn quan tâm Mầm Non Việt Anh?</t>
        </is>
      </c>
      <c r="H203" s="500" t="inlineStr">
        <is>
          <t>Tham Tour Hôm Nay</t>
        </is>
      </c>
      <c r="I203" s="500" t="inlineStr">
        <is>
          <t>Đăng Ký Tư Vấn Ngay</t>
        </is>
      </c>
      <c r="J203" s="500" t="inlineStr">
        <is>
          <t>Bạn đã xem trang mầm non. Quay lại để tham tour và hỏi chi tiết.</t>
        </is>
      </c>
      <c r="K203" s="500" t="inlineStr">
        <is>
          <t>Ưu đãi đặc biệt cho tham tour</t>
        </is>
      </c>
      <c r="L203" s="500" t="inlineStr">
        <is>
          <t>forms.truongvietanh.com/tuyen-sinh-mam-non</t>
        </is>
      </c>
      <c r="M203" s="500" t="inlineStr">
        <is>
          <t>Phone, Promotion</t>
        </is>
      </c>
      <c r="N203" s="500" t="inlineStr">
        <is>
          <t>GDA remarketing MN</t>
        </is>
      </c>
    </row>
    <row r="204">
      <c r="A204" s="499" t="inlineStr">
        <is>
          <t>Display</t>
        </is>
      </c>
      <c r="B204" s="499" t="inlineStr">
        <is>
          <t>Remarketing - TH Visitors</t>
        </is>
      </c>
      <c r="C204" s="499" t="inlineStr">
        <is>
          <t>TH page visitors (audience)</t>
        </is>
      </c>
      <c r="D204" s="499" t="inlineStr">
        <is>
          <t>Display network</t>
        </is>
      </c>
      <c r="E204" s="500" t="inlineStr">
        <is>
          <t>8500</t>
        </is>
      </c>
      <c r="F204" s="500" t="inlineStr">
        <is>
          <t>N/A</t>
        </is>
      </c>
      <c r="G204" s="500" t="inlineStr">
        <is>
          <t>Tiểu Học Việt Anh Chờ Con</t>
        </is>
      </c>
      <c r="H204" s="500" t="inlineStr">
        <is>
          <t>Chuẩn Bị Lớp 1 Với Chúng Tôi</t>
        </is>
      </c>
      <c r="I204" s="500" t="inlineStr">
        <is>
          <t>Đăng Ký Ngay</t>
        </is>
      </c>
      <c r="J204" s="500" t="inlineStr">
        <is>
          <t>Quay lại với Tiểu Học Việt Anh - chuẩn bị lớp 1, chất lượng quốc tế.</t>
        </is>
      </c>
      <c r="K204" s="500" t="inlineStr">
        <is>
          <t>Tham tour + tư vấn miễn phí</t>
        </is>
      </c>
      <c r="L204" s="500" t="inlineStr">
        <is>
          <t>forms.truongvietanh.com/tuyen-sinh-tieu-hoc</t>
        </is>
      </c>
      <c r="M204" s="500" t="inlineStr">
        <is>
          <t>Phone, Promotion</t>
        </is>
      </c>
      <c r="N204" s="500" t="inlineStr">
        <is>
          <t>GDA remarketing TH</t>
        </is>
      </c>
    </row>
    <row r="205">
      <c r="A205" s="499" t="inlineStr">
        <is>
          <t>YouTube</t>
        </is>
      </c>
      <c r="B205" s="499" t="inlineStr">
        <is>
          <t>YouTube Awareness - TrustBuild</t>
        </is>
      </c>
      <c r="C205" s="499" t="inlineStr">
        <is>
          <t>Parenting, Education, Parents 25-50</t>
        </is>
      </c>
      <c r="D205" s="499" t="inlineStr">
        <is>
          <t>YouTube network</t>
        </is>
      </c>
      <c r="E205" s="500" t="inlineStr">
        <is>
          <t>5000</t>
        </is>
      </c>
      <c r="F205" s="500" t="inlineStr">
        <is>
          <t>N/A</t>
        </is>
      </c>
      <c r="G205" s="500" t="inlineStr">
        <is>
          <t>Trường Việt Anh - Giáo Dục Chất Lượng</t>
        </is>
      </c>
      <c r="H205" s="500" t="inlineStr">
        <is>
          <t>Cơ sở song ngữ tại HCM</t>
        </is>
      </c>
      <c r="I205" s="500" t="inlineStr">
        <is>
          <t>Tìm Hiểu Thêm</t>
        </is>
      </c>
      <c r="J205" s="500" t="inlineStr">
        <is>
          <t>Video tour trường, testimonial phụ huynh, chương trình học. Hơn 100 video chất lượng cao.</t>
        </is>
      </c>
      <c r="K205" s="500" t="inlineStr">
        <is>
          <t>Tư vấn miễn phí qua Zalo</t>
        </is>
      </c>
      <c r="L205" s="500" t="inlineStr">
        <is>
          <t>forms.truongvietanh.com/</t>
        </is>
      </c>
      <c r="M205" s="500" t="inlineStr">
        <is>
          <t>Phone, Call to action overlay</t>
        </is>
      </c>
      <c r="N205" s="500" t="inlineStr">
        <is>
          <t>YouTube brand building</t>
        </is>
      </c>
    </row>
    <row r="206">
      <c r="A206" s="499" t="inlineStr">
        <is>
          <t>YouTube</t>
        </is>
      </c>
      <c r="B206" s="499" t="inlineStr">
        <is>
          <t>YouTube Conversions - MN</t>
        </is>
      </c>
      <c r="C206" s="499" t="inlineStr">
        <is>
          <t>Cart abandoners + website visitors</t>
        </is>
      </c>
      <c r="D206" s="499" t="inlineStr">
        <is>
          <t>YouTube network</t>
        </is>
      </c>
      <c r="E206" s="500" t="inlineStr">
        <is>
          <t>6000</t>
        </is>
      </c>
      <c r="F206" s="500" t="inlineStr">
        <is>
          <t>N/A</t>
        </is>
      </c>
      <c r="G206" s="500" t="inlineStr">
        <is>
          <t>Mầm Non Việt Anh - Hôm Nay?</t>
        </is>
      </c>
      <c r="H206" s="500" t="inlineStr">
        <is>
          <t>Chỉ Còn 3 Chỗ Trống</t>
        </is>
      </c>
      <c r="I206" s="500" t="inlineStr">
        <is>
          <t>Đặt Lịch Tham Tour</t>
        </is>
      </c>
      <c r="J206" s="500" t="inlineStr">
        <is>
          <t>Bạn quan tâm mầm non. Hãy lấy lịch tham quan ngay hôm nay.</t>
        </is>
      </c>
      <c r="K206" s="500" t="inlineStr">
        <is>
          <t>Hotline tư vấn: xxx-xxx-xxx</t>
        </is>
      </c>
      <c r="L206" s="500" t="inlineStr">
        <is>
          <t>forms.truongvietanh.com/tuyen-sinh-mam-non/dat-lich</t>
        </is>
      </c>
      <c r="M206" s="500" t="inlineStr">
        <is>
          <t>Phone, Call extension</t>
        </is>
      </c>
      <c r="N206" s="500" t="inlineStr">
        <is>
          <t>YouTube bottom funnel MN</t>
        </is>
      </c>
    </row>
    <row r="207">
      <c r="A207" s="499" t="inlineStr">
        <is>
          <t>Search</t>
        </is>
      </c>
      <c r="B207" s="499" t="inlineStr">
        <is>
          <t>Brand - Vietnamization</t>
        </is>
      </c>
      <c r="C207" s="499" t="inlineStr">
        <is>
          <t>việtanhschool</t>
        </is>
      </c>
      <c r="D207" s="499" t="inlineStr">
        <is>
          <t>Exact</t>
        </is>
      </c>
      <c r="E207" s="500" t="inlineStr">
        <is>
          <t>23000</t>
        </is>
      </c>
      <c r="F207" s="500" t="inlineStr">
        <is>
          <t>180</t>
        </is>
      </c>
      <c r="G207" s="500" t="inlineStr">
        <is>
          <t>Việtanhschool - International School</t>
        </is>
      </c>
      <c r="H207" s="500" t="inlineStr">
        <is>
          <t>Preschool to Highschool</t>
        </is>
      </c>
      <c r="I207" s="500" t="inlineStr">
        <is>
          <t>Explore Programs</t>
        </is>
      </c>
      <c r="J207" s="500" t="inlineStr">
        <is>
          <t>International education in HCM with bilingual programs, STEM, and university preparation.</t>
        </is>
      </c>
      <c r="K207" s="500" t="inlineStr">
        <is>
          <t>Schedule a campus tour</t>
        </is>
      </c>
      <c r="L207" s="500" t="inlineStr">
        <is>
          <t>forms.truongvietanh.com/</t>
        </is>
      </c>
      <c r="M207" s="500" t="inlineStr">
        <is>
          <t>Phone</t>
        </is>
      </c>
      <c r="N207" s="500" t="inlineStr">
        <is>
          <t>Brand domain variation</t>
        </is>
      </c>
    </row>
    <row r="208">
      <c r="A208" s="499" t="inlineStr">
        <is>
          <t>Search</t>
        </is>
      </c>
      <c r="B208" s="499" t="inlineStr">
        <is>
          <t>Generic MN - Alternative</t>
        </is>
      </c>
      <c r="C208" s="499" t="inlineStr">
        <is>
          <t>trường mầm non có tốt không</t>
        </is>
      </c>
      <c r="D208" s="499" t="inlineStr">
        <is>
          <t>Broad</t>
        </is>
      </c>
      <c r="E208" s="500" t="inlineStr">
        <is>
          <t>14000</t>
        </is>
      </c>
      <c r="F208" s="500" t="inlineStr">
        <is>
          <t>620</t>
        </is>
      </c>
      <c r="G208" s="500" t="inlineStr">
        <is>
          <t>Lựa Chọn Trường Mầm Non Tốt</t>
        </is>
      </c>
      <c r="H208" s="500" t="inlineStr">
        <is>
          <t>Tiêu Chí Chọn Trường Tốt</t>
        </is>
      </c>
      <c r="I208" s="500" t="inlineStr">
        <is>
          <t>Tư Vấn Miễn Phí</t>
        </is>
      </c>
      <c r="J208" s="500" t="inlineStr">
        <is>
          <t>Hướng dẫn cách chọn trường mầm non chất lượng. So sánh Việt Anh với các trường khác.</t>
        </is>
      </c>
      <c r="K208" s="500" t="inlineStr">
        <is>
          <t>Danh sách tiêu chí chi tiết</t>
        </is>
      </c>
      <c r="L208" s="500" t="inlineStr">
        <is>
          <t>forms.truongvietanh.com/tuyen-sinh-mam-non</t>
        </is>
      </c>
      <c r="M208" s="500" t="inlineStr">
        <is>
          <t>Phone, Promotion</t>
        </is>
      </c>
      <c r="N208" s="500" t="inlineStr">
        <is>
          <t>Quality comparison MN</t>
        </is>
      </c>
    </row>
    <row r="209">
      <c r="A209" s="499" t="inlineStr">
        <is>
          <t>Search</t>
        </is>
      </c>
      <c r="B209" s="499" t="inlineStr">
        <is>
          <t>Generic MN - Curriculum</t>
        </is>
      </c>
      <c r="C209" s="499" t="inlineStr">
        <is>
          <t>chương trình mầm non montessori</t>
        </is>
      </c>
      <c r="D209" s="499" t="inlineStr">
        <is>
          <t>Phrase</t>
        </is>
      </c>
      <c r="E209" s="500" t="inlineStr">
        <is>
          <t>12000</t>
        </is>
      </c>
      <c r="F209" s="500" t="inlineStr">
        <is>
          <t>540</t>
        </is>
      </c>
      <c r="G209" s="500" t="inlineStr">
        <is>
          <t>Chương Trình Mầm Non - Phương Pháp Hiện Đại</t>
        </is>
      </c>
      <c r="H209" s="500" t="inlineStr">
        <is>
          <t>Montessori - Steiner - Học Vui</t>
        </is>
      </c>
      <c r="I209" s="500" t="inlineStr">
        <is>
          <t>Xem Chương Trình Việt Anh</t>
        </is>
      </c>
      <c r="J209" s="500" t="inlineStr">
        <is>
          <t>Mầm non Việt Anh áp dụng phương pháp giáo dục hiện đại, an toàn, khuyến khích khám phá.</t>
        </is>
      </c>
      <c r="K209" s="500" t="inlineStr">
        <is>
          <t>Chi tiết phương pháp dạy học</t>
        </is>
      </c>
      <c r="L209" s="500" t="inlineStr">
        <is>
          <t>forms.truongvietanh.com/tuyen-sinh-mam-non/chuong-trinh</t>
        </is>
      </c>
      <c r="M209" s="500" t="inlineStr">
        <is>
          <t>Phone, Promotion</t>
        </is>
      </c>
      <c r="N209" s="500" t="inlineStr">
        <is>
          <t>Curriculum focus MN</t>
        </is>
      </c>
    </row>
    <row r="210">
      <c r="A210" s="499" t="inlineStr">
        <is>
          <t>Search</t>
        </is>
      </c>
      <c r="B210" s="499" t="inlineStr">
        <is>
          <t>Generic MN - New Branch</t>
        </is>
      </c>
      <c r="C210" s="499" t="inlineStr">
        <is>
          <t>trường mầm non gò vấp mở rộng</t>
        </is>
      </c>
      <c r="D210" s="499" t="inlineStr">
        <is>
          <t>Phrase</t>
        </is>
      </c>
      <c r="E210" s="500" t="inlineStr">
        <is>
          <t>11000</t>
        </is>
      </c>
      <c r="F210" s="500" t="inlineStr">
        <is>
          <t>320</t>
        </is>
      </c>
      <c r="G210" s="500" t="inlineStr">
        <is>
          <t>Chi Nhánh Mầm Non Gò Vấp Mới</t>
        </is>
      </c>
      <c r="H210" s="500" t="inlineStr">
        <is>
          <t>Hệ Sơi Động - Khoảng Không Gian Xanh</t>
        </is>
      </c>
      <c r="I210" s="500" t="inlineStr">
        <is>
          <t>Tìm Hiểu Chi Nhánh</t>
        </is>
      </c>
      <c r="J210" s="500" t="inlineStr">
        <is>
          <t>Việt Anh mở rộng cơ sở mầm non, gần hơn với phụ huynh Gò Vấp, Tây Thạnh.</t>
        </is>
      </c>
      <c r="K210" s="500" t="inlineStr">
        <is>
          <t>Địa chỉ và liên hệ chi nhánh</t>
        </is>
      </c>
      <c r="L210" s="500" t="inlineStr">
        <is>
          <t>forms.truongvietanh.com/tuyen-sinh-mam-non/chi-nhanh-he-soi-dong</t>
        </is>
      </c>
      <c r="M210" s="500" t="inlineStr">
        <is>
          <t>Phone, Location</t>
        </is>
      </c>
      <c r="N210" s="500" t="inlineStr">
        <is>
          <t>Branch expansion MN</t>
        </is>
      </c>
    </row>
    <row r="211">
      <c r="A211" s="499" t="inlineStr">
        <is>
          <t>Search</t>
        </is>
      </c>
      <c r="B211" s="499" t="inlineStr">
        <is>
          <t>Generic TH - Advanced</t>
        </is>
      </c>
      <c r="C211" s="499" t="inlineStr">
        <is>
          <t>trường tiểu học quốc tế tốt nhất hcm</t>
        </is>
      </c>
      <c r="D211" s="499" t="inlineStr">
        <is>
          <t>Phrase</t>
        </is>
      </c>
      <c r="E211" s="500" t="inlineStr">
        <is>
          <t>25000</t>
        </is>
      </c>
      <c r="F211" s="500" t="inlineStr">
        <is>
          <t>420</t>
        </is>
      </c>
      <c r="G211" s="500" t="inlineStr">
        <is>
          <t>Tiểu Học Quốc Tế Hàng Đầu HCM</t>
        </is>
      </c>
      <c r="H211" s="500" t="inlineStr">
        <is>
          <t>Chương Trình STEM - Giáo Dục Toàn Diện</t>
        </is>
      </c>
      <c r="I211" s="500" t="inlineStr">
        <is>
          <t>Tham Tour Ngay</t>
        </is>
      </c>
      <c r="J211" s="500" t="inlineStr">
        <is>
          <t>Tiểu học Việt Anh: STEM giáo dục, ngoại ngữ mạnh, kỹ năng thế kỷ 21.</t>
        </is>
      </c>
      <c r="K211" s="500" t="inlineStr">
        <is>
          <t>Kết quả học sinh xuất sắc</t>
        </is>
      </c>
      <c r="L211" s="500" t="inlineStr">
        <is>
          <t>forms.truongvietanh.com/tuyen-sinh-tieu-hoc</t>
        </is>
      </c>
      <c r="M211" s="500" t="inlineStr">
        <is>
          <t>Phone, Promotion</t>
        </is>
      </c>
      <c r="N211" s="500" t="inlineStr">
        <is>
          <t>Premium TH positioning</t>
        </is>
      </c>
    </row>
    <row r="212">
      <c r="A212" s="499" t="inlineStr">
        <is>
          <t>Search</t>
        </is>
      </c>
      <c r="B212" s="499" t="inlineStr">
        <is>
          <t>Generic TH - After School</t>
        </is>
      </c>
      <c r="C212" s="499" t="inlineStr">
        <is>
          <t>lớp học thêm tiểu học hcm</t>
        </is>
      </c>
      <c r="D212" s="499" t="inlineStr">
        <is>
          <t>Phrase</t>
        </is>
      </c>
      <c r="E212" s="500" t="inlineStr">
        <is>
          <t>9000</t>
        </is>
      </c>
      <c r="F212" s="500" t="inlineStr">
        <is>
          <t>780</t>
        </is>
      </c>
      <c r="G212" s="500" t="inlineStr">
        <is>
          <t>Lớp Học Thêm Tiểu Học Chất Lượng</t>
        </is>
      </c>
      <c r="H212" s="500" t="inlineStr">
        <is>
          <t>Hỗ Trợ Học Tập - Phát Triển Toàn Diện</t>
        </is>
      </c>
      <c r="I212" s="500" t="inlineStr">
        <is>
          <t>Tư Vấn Chi Tiết</t>
        </is>
      </c>
      <c r="J212" s="500" t="inlineStr">
        <is>
          <t>Tiểu Học Việt Anh có lớp học thêm chuyên đề, hỗ trợ học sinh toàn diện.</t>
        </is>
      </c>
      <c r="K212" s="500" t="inlineStr">
        <is>
          <t>Lịch học thêm và giáo viên</t>
        </is>
      </c>
      <c r="L212" s="500" t="inlineStr">
        <is>
          <t>forms.truongvietanh.com/tuyen-sinh-tieu-hoc</t>
        </is>
      </c>
      <c r="M212" s="500" t="inlineStr">
        <is>
          <t>Phone, Promotion</t>
        </is>
      </c>
      <c r="N212" s="500" t="inlineStr">
        <is>
          <t>Supplementary classes TH</t>
        </is>
      </c>
    </row>
    <row r="213">
      <c r="A213" s="499" t="inlineStr">
        <is>
          <t>Search</t>
        </is>
      </c>
      <c r="B213" s="499" t="inlineStr">
        <is>
          <t>Generic THCS - Entrance</t>
        </is>
      </c>
      <c r="C213" s="499" t="inlineStr">
        <is>
          <t>tuyển sinh lớp 6 chuyên hcm</t>
        </is>
      </c>
      <c r="D213" s="499" t="inlineStr">
        <is>
          <t>Phrase</t>
        </is>
      </c>
      <c r="E213" s="500" t="inlineStr">
        <is>
          <t>16000</t>
        </is>
      </c>
      <c r="F213" s="500" t="inlineStr">
        <is>
          <t>680</t>
        </is>
      </c>
      <c r="G213" s="500" t="inlineStr">
        <is>
          <t>Tuyển Sinh Lớp 6 Chuyên - THCS Việt Anh</t>
        </is>
      </c>
      <c r="H213" s="500" t="inlineStr">
        <is>
          <t>Lớp Chuyên - Chuẩn Bị Thi</t>
        </is>
      </c>
      <c r="I213" s="500" t="inlineStr">
        <is>
          <t>Đăng Ký Tư Vấn</t>
        </is>
      </c>
      <c r="J213" s="500" t="inlineStr">
        <is>
          <t>THCS Việt Anh: lớp chuyên toán, tiếng anh, chuẩn bị kỳ thi lớp 6.</t>
        </is>
      </c>
      <c r="K213" s="500" t="inlineStr">
        <is>
          <t>Yêu cầu tuyển sinh lớp chuyên</t>
        </is>
      </c>
      <c r="L213" s="500" t="inlineStr">
        <is>
          <t>forms.truongvietanh.com/tuyen-sinh-thcs</t>
        </is>
      </c>
      <c r="M213" s="500" t="inlineStr">
        <is>
          <t>Phone, Promotion</t>
        </is>
      </c>
      <c r="N213" s="500" t="inlineStr">
        <is>
          <t>Specialized class THCS</t>
        </is>
      </c>
    </row>
    <row r="214">
      <c r="A214" s="499" t="inlineStr">
        <is>
          <t>Search</t>
        </is>
      </c>
      <c r="B214" s="499" t="inlineStr">
        <is>
          <t>Generic THCS - Enrichment</t>
        </is>
      </c>
      <c r="C214" s="499" t="inlineStr">
        <is>
          <t>câu lạc bộ, hoạt động ngoại khoá thcs</t>
        </is>
      </c>
      <c r="D214" s="499" t="inlineStr">
        <is>
          <t>Phrase</t>
        </is>
      </c>
      <c r="E214" s="500" t="inlineStr">
        <is>
          <t>8000</t>
        </is>
      </c>
      <c r="F214" s="500" t="inlineStr">
        <is>
          <t>450</t>
        </is>
      </c>
      <c r="G214" s="500" t="inlineStr">
        <is>
          <t>Hoạt Động Ngoại Khoá THCS</t>
        </is>
      </c>
      <c r="H214" s="500" t="inlineStr">
        <is>
          <t>Phát Triển Toàn Diện - Kỹ Năng Mềm</t>
        </is>
      </c>
      <c r="I214" s="500" t="inlineStr">
        <is>
          <t>Xem Các Hoạt Động</t>
        </is>
      </c>
      <c r="J214" s="500" t="inlineStr">
        <is>
          <t>THCS Việt Anh: câu lạc bộ, thể thao, quốc phòng, học tiếp. Phát triển kỹ năng sống.</t>
        </is>
      </c>
      <c r="K214" s="500" t="inlineStr">
        <is>
          <t>Danh sách hoạt động chi tiết</t>
        </is>
      </c>
      <c r="L214" s="500" t="inlineStr">
        <is>
          <t>forms.truongvietanh.com/tuyen-sinh-thcs</t>
        </is>
      </c>
      <c r="M214" s="500" t="inlineStr">
        <is>
          <t>Phone, Promotion</t>
        </is>
      </c>
      <c r="N214" s="500" t="inlineStr">
        <is>
          <t>Extracurricular THCS</t>
        </is>
      </c>
    </row>
    <row r="215">
      <c r="A215" s="499" t="inlineStr">
        <is>
          <t>Search</t>
        </is>
      </c>
      <c r="B215" s="499" t="inlineStr">
        <is>
          <t>Generic THPT - SAT Prep</t>
        </is>
      </c>
      <c r="C215" s="499" t="inlineStr">
        <is>
          <t>luyện thi sat hcm</t>
        </is>
      </c>
      <c r="D215" s="499" t="inlineStr">
        <is>
          <t>Phrase</t>
        </is>
      </c>
      <c r="E215" s="500" t="inlineStr">
        <is>
          <t>18000</t>
        </is>
      </c>
      <c r="F215" s="500" t="inlineStr">
        <is>
          <t>520</t>
        </is>
      </c>
      <c r="G215" s="500" t="inlineStr">
        <is>
          <t>Luyện Thi SAT - THPT Việt Anh</t>
        </is>
      </c>
      <c r="H215" s="500" t="inlineStr">
        <is>
          <t>Chuẩn Bị SAT - Kỳ Vọng 1500+</t>
        </is>
      </c>
      <c r="I215" s="500" t="inlineStr">
        <is>
          <t>Tư Vấn Miễn Phí</t>
        </is>
      </c>
      <c r="J215" s="500" t="inlineStr">
        <is>
          <t>THPT Việt Anh: khóa luyện SAT chuyên môn, giáo viên quốc tế, kết quả cao.</t>
        </is>
      </c>
      <c r="K215" s="500" t="inlineStr">
        <is>
          <t>Lộ trình luyện SAT chi tiết</t>
        </is>
      </c>
      <c r="L215" s="500" t="inlineStr">
        <is>
          <t>forms.truongvietanh.com/tuyen-sinh-thpt</t>
        </is>
      </c>
      <c r="M215" s="500" t="inlineStr">
        <is>
          <t>Phone, Promotion</t>
        </is>
      </c>
      <c r="N215" s="500" t="inlineStr">
        <is>
          <t>SAT preparation THPT</t>
        </is>
      </c>
    </row>
    <row r="216">
      <c r="A216" s="499" t="inlineStr">
        <is>
          <t>Search</t>
        </is>
      </c>
      <c r="B216" s="499" t="inlineStr">
        <is>
          <t>Generic THPT - IELTS</t>
        </is>
      </c>
      <c r="C216" s="499" t="inlineStr">
        <is>
          <t>luyện thi ielts hcm</t>
        </is>
      </c>
      <c r="D216" s="499" t="inlineStr">
        <is>
          <t>Phrase</t>
        </is>
      </c>
      <c r="E216" s="500" t="inlineStr">
        <is>
          <t>16500</t>
        </is>
      </c>
      <c r="F216" s="500" t="inlineStr">
        <is>
          <t>680</t>
        </is>
      </c>
      <c r="G216" s="500" t="inlineStr">
        <is>
          <t>Luyện Thi IELTS - THPT Việt Anh</t>
        </is>
      </c>
      <c r="H216" s="500" t="inlineStr">
        <is>
          <t>Chuẩn Bị IELTS - Mục Tiêu 7.0+</t>
        </is>
      </c>
      <c r="I216" s="500" t="inlineStr">
        <is>
          <t>Tư Vấn Chi Tiết</t>
        </is>
      </c>
      <c r="J216" s="500" t="inlineStr">
        <is>
          <t>THPT Việt Anh: khóa IELTS, giáo viên bản xứ, chuẩn bị kỳ thi hiệu quả.</t>
        </is>
      </c>
      <c r="K216" s="500" t="inlineStr">
        <is>
          <t>Lớp IELTS và thời gian khai giảng</t>
        </is>
      </c>
      <c r="L216" s="500" t="inlineStr">
        <is>
          <t>forms.truongvietanh.com/tuyen-sinh-thpt</t>
        </is>
      </c>
      <c r="M216" s="500" t="inlineStr">
        <is>
          <t>Phone, Promotion</t>
        </is>
      </c>
      <c r="N216" s="500" t="inlineStr">
        <is>
          <t>IELTS preparation THPT</t>
        </is>
      </c>
    </row>
    <row r="217">
      <c r="A217" s="499" t="inlineStr">
        <is>
          <t>Search</t>
        </is>
      </c>
      <c r="B217" s="499" t="inlineStr">
        <is>
          <t>Generic THPT - University Prep</t>
        </is>
      </c>
      <c r="C217" s="499" t="inlineStr">
        <is>
          <t>chuẩn bị hồ sơ đại học quốc tế</t>
        </is>
      </c>
      <c r="D217" s="499" t="inlineStr">
        <is>
          <t>Phrase</t>
        </is>
      </c>
      <c r="E217" s="500" t="inlineStr">
        <is>
          <t>14000</t>
        </is>
      </c>
      <c r="F217" s="500" t="inlineStr">
        <is>
          <t>380</t>
        </is>
      </c>
      <c r="G217" s="500" t="inlineStr">
        <is>
          <t>Chuẩn Bị Hồ Sơ Đại Học - THPT Việt Anh</t>
        </is>
      </c>
      <c r="H217" s="500" t="inlineStr">
        <is>
          <t>Hỗ Trợ Từ THPT - Vào ĐH Hàng Đầu</t>
        </is>
      </c>
      <c r="I217" s="500" t="inlineStr">
        <is>
          <t>Tư Vấn Miễn Phí</t>
        </is>
      </c>
      <c r="J217" s="500" t="inlineStr">
        <is>
          <t>Việt Anh hỗ trợ học sinh chuẩn bị hồ sơ, viết essay, lựa chọn ngành đại học.</t>
        </is>
      </c>
      <c r="K217" s="500" t="inlineStr">
        <is>
          <t>Tuyến đại học của cựu học sinh</t>
        </is>
      </c>
      <c r="L217" s="500" t="inlineStr">
        <is>
          <t>forms.truongvietanh.com/tuyen-sinh-thpt</t>
        </is>
      </c>
      <c r="M217" s="500" t="inlineStr">
        <is>
          <t>Phone, Promotion</t>
        </is>
      </c>
      <c r="N217" s="500" t="inlineStr">
        <is>
          <t>University application support</t>
        </is>
      </c>
    </row>
    <row r="218">
      <c r="A218" s="499" t="inlineStr">
        <is>
          <t>Display</t>
        </is>
      </c>
      <c r="B218" s="499" t="inlineStr">
        <is>
          <t>Remarketing - LeadGenerated</t>
        </is>
      </c>
      <c r="C218" s="499" t="inlineStr">
        <is>
          <t>Form completers (audience)</t>
        </is>
      </c>
      <c r="D218" s="499" t="inlineStr">
        <is>
          <t>Display network</t>
        </is>
      </c>
      <c r="E218" s="500" t="inlineStr">
        <is>
          <t>10000</t>
        </is>
      </c>
      <c r="F218" s="500" t="inlineStr">
        <is>
          <t>N/A</t>
        </is>
      </c>
      <c r="G218" s="500" t="inlineStr">
        <is>
          <t>Bạn đã Liên Hệ Việt Anh?</t>
        </is>
      </c>
      <c r="H218" s="500" t="inlineStr">
        <is>
          <t>Tham Tour Cơ Sở Ngay</t>
        </is>
      </c>
      <c r="I218" s="500" t="inlineStr">
        <is>
          <t>Đặt Lịch Hôm Nay</t>
        </is>
      </c>
      <c r="J218" s="500" t="inlineStr">
        <is>
          <t>Bạn đã gửi form liên hệ. Hãy tham tour cơ sở để quyết định tốt nhất cho con.</t>
        </is>
      </c>
      <c r="K218" s="500" t="inlineStr">
        <is>
          <t>Tham tour + tư vấn miễn phí</t>
        </is>
      </c>
      <c r="L218" s="500" t="inlineStr">
        <is>
          <t>forms.truongvietanh.com/</t>
        </is>
      </c>
      <c r="M218" s="500" t="inlineStr">
        <is>
          <t>Phone, Promotion</t>
        </is>
      </c>
      <c r="N218" s="500" t="inlineStr">
        <is>
          <t>GDA retarget leads</t>
        </is>
      </c>
    </row>
    <row r="219">
      <c r="A219" s="499" t="inlineStr">
        <is>
          <t>Display</t>
        </is>
      </c>
      <c r="B219" s="499" t="inlineStr">
        <is>
          <t>Remarketing - CartAbandoners</t>
        </is>
      </c>
      <c r="C219" s="499" t="inlineStr">
        <is>
          <t>Tour bookers w/o tour attended</t>
        </is>
      </c>
      <c r="D219" s="499" t="inlineStr">
        <is>
          <t>Display network</t>
        </is>
      </c>
      <c r="E219" s="500" t="inlineStr">
        <is>
          <t>9500</t>
        </is>
      </c>
      <c r="F219" s="500" t="inlineStr">
        <is>
          <t>N/A</t>
        </is>
      </c>
      <c r="G219" s="500" t="inlineStr">
        <is>
          <t>Bạn Đã Đặt Lịch, Hãy Đến!</t>
        </is>
      </c>
      <c r="H219" s="500" t="inlineStr">
        <is>
          <t>Tour Cơ Sở Chờ Bạn</t>
        </is>
      </c>
      <c r="I219" s="500" t="inlineStr">
        <is>
          <t>Xác Nhận Lịch Tham Tour</t>
        </is>
      </c>
      <c r="J219" s="500" t="inlineStr">
        <is>
          <t>Bạn đã đặt lịch tham tour Việt Anh. Xác nhận lịch hoặc thay đổi ngày giờ.</t>
        </is>
      </c>
      <c r="K219" s="500" t="inlineStr">
        <is>
          <t>Hotline: xxxx-xxxx</t>
        </is>
      </c>
      <c r="L219" s="500" t="inlineStr">
        <is>
          <t>forms.truongvietanh.com/</t>
        </is>
      </c>
      <c r="M219" s="500" t="inlineStr">
        <is>
          <t>Phone, Call extension</t>
        </is>
      </c>
      <c r="N219" s="500" t="inlineStr">
        <is>
          <t>GDA tour reminder</t>
        </is>
      </c>
    </row>
    <row r="220">
      <c r="A220" s="499" t="inlineStr">
        <is>
          <t>YouTube</t>
        </is>
      </c>
      <c r="B220" s="499" t="inlineStr">
        <is>
          <t>YouTube - Education Tips</t>
        </is>
      </c>
      <c r="C220" s="499" t="inlineStr">
        <is>
          <t>Parents with education interest</t>
        </is>
      </c>
      <c r="D220" s="499" t="inlineStr">
        <is>
          <t>YouTube network</t>
        </is>
      </c>
      <c r="E220" s="500" t="inlineStr">
        <is>
          <t>5500</t>
        </is>
      </c>
      <c r="F220" s="500" t="inlineStr">
        <is>
          <t>N/A</t>
        </is>
      </c>
      <c r="G220" s="500" t="inlineStr">
        <is>
          <t>Mẹo Giáo Dục Con - Chuyên Gia Việt Anh</t>
        </is>
      </c>
      <c r="H220" s="500" t="inlineStr">
        <is>
          <t>Tips Từ Thầy Cô Tâm Huyết</t>
        </is>
      </c>
      <c r="I220" s="500" t="inlineStr">
        <is>
          <t>Xem Thêm Video</t>
        </is>
      </c>
      <c r="J220" s="500" t="inlineStr">
        <is>
          <t>Series video giáo dục: tâm lý con, kỹ năng sống, chuẩn bị học (mầm non đến THPT).</t>
        </is>
      </c>
      <c r="K220" s="500" t="inlineStr">
        <is>
          <t>Kênh YouTube Việt Anh</t>
        </is>
      </c>
      <c r="L220" s="500" t="inlineStr">
        <is>
          <t>forms.truongvietanh.com/</t>
        </is>
      </c>
      <c r="M220" s="500" t="inlineStr">
        <is>
          <t>Phone, Subscribe</t>
        </is>
      </c>
      <c r="N220" s="500" t="inlineStr">
        <is>
          <t>YouTube educational content</t>
        </is>
      </c>
    </row>
    <row r="221">
      <c r="A221" s="499" t="inlineStr">
        <is>
          <t>YouTube</t>
        </is>
      </c>
      <c r="B221" s="499" t="inlineStr">
        <is>
          <t>YouTube - Campus Tour Series</t>
        </is>
      </c>
      <c r="C221" s="499" t="inlineStr">
        <is>
          <t>Parents exploring schools</t>
        </is>
      </c>
      <c r="D221" s="499" t="inlineStr">
        <is>
          <t>YouTube network</t>
        </is>
      </c>
      <c r="E221" s="500" t="inlineStr">
        <is>
          <t>5800</t>
        </is>
      </c>
      <c r="F221" s="500" t="inlineStr">
        <is>
          <t>N/A</t>
        </is>
      </c>
      <c r="G221" s="500" t="inlineStr">
        <is>
          <t>Chuyến Tham Tour Ảo - Việt Anh</t>
        </is>
      </c>
      <c r="H221" s="500" t="inlineStr">
        <is>
          <t>Virtual Campus Tour Video</t>
        </is>
      </c>
      <c r="I221" s="500" t="inlineStr">
        <is>
          <t>Tham Tour Thực Tế</t>
        </is>
      </c>
      <c r="J221" s="500" t="inlineStr">
        <is>
          <t>Xem chi tiết các khu học tập, sân chơi, bếp ăn, thư viện qua video tham tour.</t>
        </is>
      </c>
      <c r="K221" s="500" t="inlineStr">
        <is>
          <t>Đặt lịch tham tour thực tế</t>
        </is>
      </c>
      <c r="L221" s="500" t="inlineStr">
        <is>
          <t>forms.truongvietanh.com/tuyen-sinh-mam-non/dat-lich</t>
        </is>
      </c>
      <c r="M221" s="500" t="inlineStr">
        <is>
          <t>Phone, Call to action</t>
        </is>
      </c>
      <c r="N221" s="500" t="inlineStr">
        <is>
          <t>YouTube virtual tour</t>
        </is>
      </c>
    </row>
  </sheetData>
  <mergeCells count="8">
    <mergeCell ref="A99:J99"/>
    <mergeCell ref="A1:J1"/>
    <mergeCell ref="A115:J115"/>
    <mergeCell ref="A74:J74"/>
    <mergeCell ref="A3:J3"/>
    <mergeCell ref="A55:J55"/>
    <mergeCell ref="A184:M184"/>
    <mergeCell ref="A26:J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877F2"/>
    <outlinePr summaryBelow="1" summaryRight="1"/>
    <pageSetUpPr fitToPage="0"/>
  </sheetPr>
  <dimension ref="A1:P1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8"/>
    <col width="24" customWidth="1" style="247" min="9" max="9"/>
  </cols>
  <sheetData>
    <row r="1" ht="15" customHeight="1" s="248">
      <c r="A1" s="349" t="inlineStr">
        <is>
          <t>KẾ HOẠCH META ADS – CẤU TRÚC + AUDIENCE + CREATIVE + PIXEL + GHL</t>
        </is>
      </c>
    </row>
    <row r="3" ht="15" customHeight="1" s="248">
      <c r="A3" s="350" t="inlineStr">
        <is>
          <t>A. CẤU TRÚC TÀI KHOẢN META ADS (BỎ PHÚ NHUẬN)</t>
        </is>
      </c>
    </row>
    <row r="4" ht="15" customHeight="1" s="248">
      <c r="A4" s="351" t="inlineStr">
        <is>
          <t>Campaign</t>
        </is>
      </c>
      <c r="B4" s="351" t="inlineStr">
        <is>
          <t>Objective</t>
        </is>
      </c>
      <c r="C4" s="351" t="inlineStr">
        <is>
          <t>Audience</t>
        </is>
      </c>
      <c r="D4" s="351" t="inlineStr">
        <is>
          <t>Creative</t>
        </is>
      </c>
      <c r="E4" s="351" t="inlineStr">
        <is>
          <t>Budget/tháng</t>
        </is>
      </c>
      <c r="F4" s="351" t="inlineStr">
        <is>
          <t>LP</t>
        </is>
      </c>
      <c r="G4" s="351" t="inlineStr">
        <is>
          <t>GHL Pipeline</t>
        </is>
      </c>
      <c r="H4" s="351" t="inlineStr">
        <is>
          <t>GTM/Pixel Events</t>
        </is>
      </c>
    </row>
    <row r="5" ht="23.25" customHeight="1" s="248">
      <c r="A5" s="321" t="inlineStr">
        <is>
          <t>MN_GV_LeadGen</t>
        </is>
      </c>
      <c r="B5" s="321" t="inlineStr">
        <is>
          <t>Lead Generation</t>
        </is>
      </c>
      <c r="C5" s="321" t="inlineStr">
        <is>
          <t>Geo 5km MN GV | Age 25-40 | Interest Parenting | Lookalike 1-3%</t>
        </is>
      </c>
      <c r="D5" s="321" t="inlineStr">
        <is>
          <t>Video testi PH 15-30s + Carousel campus + Lead form</t>
        </is>
      </c>
      <c r="E5" s="321">
        <f>0.38*'1. Input'!B15*0.25/6</f>
        <v/>
      </c>
      <c r="F5" s="321" t="inlineStr">
        <is>
          <t>LP_MN_GV</t>
        </is>
      </c>
      <c r="G5" s="321" t="inlineStr">
        <is>
          <t>Pipeline MN</t>
        </is>
      </c>
      <c r="H5" s="321" t="inlineStr">
        <is>
          <t>Lead, ViewContent, CompleteRegistration</t>
        </is>
      </c>
    </row>
    <row r="6" ht="23.25" customHeight="1" s="248">
      <c r="A6" s="323" t="inlineStr">
        <is>
          <t>MN_Tinh_LeadGen</t>
        </is>
      </c>
      <c r="B6" s="323" t="inlineStr">
        <is>
          <t>Lead Generation</t>
        </is>
      </c>
      <c r="C6" s="323" t="inlineStr">
        <is>
          <t>Geo Cần Giuộc (Tây Ninh) + Rạch Giá (An Giang) | Age 25-40</t>
        </is>
      </c>
      <c r="D6" s="323" t="inlineStr">
        <is>
          <t>Video testi + Ảnh campus local + Lead form</t>
        </is>
      </c>
      <c r="E6" s="323">
        <f>0.38*'1. Input'!B15*0.12/6</f>
        <v/>
      </c>
      <c r="F6" s="323" t="inlineStr">
        <is>
          <t>LP_MN_Tinh</t>
        </is>
      </c>
      <c r="G6" s="323" t="inlineStr">
        <is>
          <t>Pipeline MN</t>
        </is>
      </c>
      <c r="H6" s="323" t="inlineStr">
        <is>
          <t>Lead, ViewContent</t>
        </is>
      </c>
    </row>
    <row r="7" ht="23.25" customHeight="1" s="248">
      <c r="A7" s="321" t="inlineStr">
        <is>
          <t>TH_GV_LeadGen</t>
        </is>
      </c>
      <c r="B7" s="321" t="inlineStr">
        <is>
          <t>Lead Generation</t>
        </is>
      </c>
      <c r="C7" s="321" t="inlineStr">
        <is>
          <t>Geo 8km TH GV | Age 28-45 | Lookalike PH TH</t>
        </is>
      </c>
      <c r="D7" s="321" t="inlineStr">
        <is>
          <t>Video lớp học + Carousel chương trình + Messenger</t>
        </is>
      </c>
      <c r="E7" s="321">
        <f>0.38*'1. Input'!B15*0.18/6</f>
        <v/>
      </c>
      <c r="F7" s="321" t="inlineStr">
        <is>
          <t>LP_TH_GV</t>
        </is>
      </c>
      <c r="G7" s="321" t="inlineStr">
        <is>
          <t>Pipeline TH</t>
        </is>
      </c>
      <c r="H7" s="321" t="inlineStr">
        <is>
          <t>Lead, ViewContent</t>
        </is>
      </c>
    </row>
    <row r="8" ht="15" customHeight="1" s="248">
      <c r="A8" s="323" t="inlineStr">
        <is>
          <t>TH_BT_LeadGen</t>
        </is>
      </c>
      <c r="B8" s="323" t="inlineStr">
        <is>
          <t>Lead Generation</t>
        </is>
      </c>
      <c r="C8" s="323" t="inlineStr">
        <is>
          <t>Geo 8km Bình Tân | Age 28-45</t>
        </is>
      </c>
      <c r="D8" s="323" t="inlineStr">
        <is>
          <t>Video + Lead form</t>
        </is>
      </c>
      <c r="E8" s="323">
        <f>0.38*'1. Input'!B15*0.15/6</f>
        <v/>
      </c>
      <c r="F8" s="323" t="inlineStr">
        <is>
          <t>LP_TH_BT</t>
        </is>
      </c>
      <c r="G8" s="323" t="inlineStr">
        <is>
          <t>Pipeline TH</t>
        </is>
      </c>
      <c r="H8" s="323" t="inlineStr">
        <is>
          <t>Lead</t>
        </is>
      </c>
    </row>
    <row r="9" ht="15" customHeight="1" s="248">
      <c r="A9" s="321" t="inlineStr">
        <is>
          <t>TH_Tinh_LeadGen</t>
        </is>
      </c>
      <c r="B9" s="321" t="inlineStr">
        <is>
          <t>Lead Generation</t>
        </is>
      </c>
      <c r="C9" s="321" t="inlineStr">
        <is>
          <t>Geo Thái Sơn + Mekong Xanh</t>
        </is>
      </c>
      <c r="D9" s="321" t="inlineStr">
        <is>
          <t>Video local + Lead form</t>
        </is>
      </c>
      <c r="E9" s="321">
        <f>0.38*'1. Input'!B15*0.08/6</f>
        <v/>
      </c>
      <c r="F9" s="321" t="inlineStr">
        <is>
          <t>LP_TH_Tinh</t>
        </is>
      </c>
      <c r="G9" s="321" t="inlineStr">
        <is>
          <t>Pipeline TH</t>
        </is>
      </c>
      <c r="H9" s="321" t="inlineStr">
        <is>
          <t>Lead</t>
        </is>
      </c>
    </row>
    <row r="10" ht="23.25" customHeight="1" s="248">
      <c r="A10" s="323" t="inlineStr">
        <is>
          <t>THCS_GV_Conv</t>
        </is>
      </c>
      <c r="B10" s="323" t="inlineStr">
        <is>
          <t>Conversions</t>
        </is>
      </c>
      <c r="C10" s="323" t="inlineStr">
        <is>
          <t>Geo TP.HCM | Age 30-50 | Custom: Web 30d</t>
        </is>
      </c>
      <c r="D10" s="323" t="inlineStr">
        <is>
          <t>Video HS+GV + Testi 60s + Webinar ads</t>
        </is>
      </c>
      <c r="E10" s="323">
        <f>0.38*'1. Input'!B15*0.2/6</f>
        <v/>
      </c>
      <c r="F10" s="323" t="inlineStr">
        <is>
          <t>LP_THCS_GV</t>
        </is>
      </c>
      <c r="G10" s="323" t="inlineStr">
        <is>
          <t>Pipeline THCS</t>
        </is>
      </c>
      <c r="H10" s="323" t="inlineStr">
        <is>
          <t>Lead, WebinarReg, ViewContent</t>
        </is>
      </c>
    </row>
    <row r="11" ht="23.25" customHeight="1" s="248">
      <c r="A11" s="321" t="inlineStr">
        <is>
          <t>THPT_GV_Conv</t>
        </is>
      </c>
      <c r="B11" s="321" t="inlineStr">
        <is>
          <t>Conversions</t>
        </is>
      </c>
      <c r="C11" s="321" t="inlineStr">
        <is>
          <t>Geo TP.HCM + miền Nam | Age 35-55 | Lookalike PH THPT</t>
        </is>
      </c>
      <c r="D11" s="321" t="inlineStr">
        <is>
          <t>Video đầu ra + Học bổng + Testi</t>
        </is>
      </c>
      <c r="E11" s="321">
        <f>0.38*'1. Input'!B15*0.2/6</f>
        <v/>
      </c>
      <c r="F11" s="321" t="inlineStr">
        <is>
          <t>LP_THPT_GV</t>
        </is>
      </c>
      <c r="G11" s="321" t="inlineStr">
        <is>
          <t>Pipeline THPT</t>
        </is>
      </c>
      <c r="H11" s="321" t="inlineStr">
        <is>
          <t>Lead, ScholarshipClick</t>
        </is>
      </c>
    </row>
    <row r="12" ht="23.25" customHeight="1" s="248">
      <c r="A12" s="323" t="inlineStr">
        <is>
          <t>Remarketing_All</t>
        </is>
      </c>
      <c r="B12" s="323" t="inlineStr">
        <is>
          <t>Conversions</t>
        </is>
      </c>
      <c r="C12" s="323" t="inlineStr">
        <is>
          <t>PageView 7-30d | Exclude enrolled | Dynamic by cấp</t>
        </is>
      </c>
      <c r="D12" s="323" t="inlineStr">
        <is>
          <t>Carousel campus + ưu đãi + Countdown</t>
        </is>
      </c>
      <c r="E12" s="323">
        <f>0.12*'1. Input'!B15*0.5/6</f>
        <v/>
      </c>
      <c r="F12" s="323" t="inlineStr">
        <is>
          <t>Dynamic</t>
        </is>
      </c>
      <c r="G12" s="323" t="inlineStr">
        <is>
          <t>Retarget tag</t>
        </is>
      </c>
      <c r="H12" s="323" t="inlineStr">
        <is>
          <t>Purchase, Lead</t>
        </is>
      </c>
    </row>
    <row r="14" ht="15" customHeight="1" s="248">
      <c r="A14" s="350" t="inlineStr">
        <is>
          <t>B. PIXEL + CAPI + GTM SETUP</t>
        </is>
      </c>
    </row>
    <row r="15" ht="15" customHeight="1" s="248">
      <c r="A15" s="351" t="inlineStr">
        <is>
          <t>Bước</t>
        </is>
      </c>
      <c r="B15" s="351" t="inlineStr">
        <is>
          <t>Hành động</t>
        </is>
      </c>
      <c r="C15" s="351" t="inlineStr">
        <is>
          <t>Chi tiết</t>
        </is>
      </c>
      <c r="D15" s="351" t="inlineStr">
        <is>
          <t>Tool</t>
        </is>
      </c>
      <c r="E15" s="351" t="inlineStr">
        <is>
          <t>Timeline</t>
        </is>
      </c>
      <c r="F15" s="351" t="inlineStr">
        <is>
          <t>Trạng thái</t>
        </is>
      </c>
    </row>
    <row r="16" ht="23.25" customHeight="1" s="248">
      <c r="A16" s="321" t="inlineStr">
        <is>
          <t>1</t>
        </is>
      </c>
      <c r="B16" s="321" t="inlineStr">
        <is>
          <t>Cài Meta Pixel qua GTM</t>
        </is>
      </c>
      <c r="C16" s="321" t="inlineStr">
        <is>
          <t>Tạo tag Meta Pixel Base Code trong GTM → fire on All Pages</t>
        </is>
      </c>
      <c r="D16" s="321" t="inlineStr">
        <is>
          <t>GTM + Meta</t>
        </is>
      </c>
      <c r="E16" s="321" t="inlineStr">
        <is>
          <t>Ngày 1</t>
        </is>
      </c>
      <c r="F16" s="321" t="inlineStr">
        <is>
          <t>☐</t>
        </is>
      </c>
    </row>
    <row r="17" ht="23.25" customHeight="1" s="248">
      <c r="A17" s="323" t="inlineStr">
        <is>
          <t>2</t>
        </is>
      </c>
      <c r="B17" s="323" t="inlineStr">
        <is>
          <t>Tạo Custom Events trong GTM</t>
        </is>
      </c>
      <c r="C17" s="323" t="inlineStr">
        <is>
          <t>form_submit, click_call, click_zalo, webinar_register, scholarship_click</t>
        </is>
      </c>
      <c r="D17" s="323" t="inlineStr">
        <is>
          <t>GTM</t>
        </is>
      </c>
      <c r="E17" s="323" t="inlineStr">
        <is>
          <t>Ngày 1</t>
        </is>
      </c>
      <c r="F17" s="323" t="inlineStr">
        <is>
          <t>☐</t>
        </is>
      </c>
    </row>
    <row r="18" ht="23.25" customHeight="1" s="248">
      <c r="A18" s="321" t="inlineStr">
        <is>
          <t>3</t>
        </is>
      </c>
      <c r="B18" s="321" t="inlineStr">
        <is>
          <t>Cài Conversion API (CAPI)</t>
        </is>
      </c>
      <c r="C18" s="321" t="inlineStr">
        <is>
          <t>Server-side tracking qua GHL webhook → Meta CAPI endpoint</t>
        </is>
      </c>
      <c r="D18" s="321" t="inlineStr">
        <is>
          <t>GHL + Meta</t>
        </is>
      </c>
      <c r="E18" s="321" t="inlineStr">
        <is>
          <t>Ngày 2</t>
        </is>
      </c>
      <c r="F18" s="321" t="inlineStr">
        <is>
          <t>☐</t>
        </is>
      </c>
    </row>
    <row r="19" ht="23.25" customHeight="1" s="248">
      <c r="A19" s="323" t="inlineStr">
        <is>
          <t>4</t>
        </is>
      </c>
      <c r="B19" s="323" t="inlineStr">
        <is>
          <t>Tạo Custom Conversions</t>
        </is>
      </c>
      <c r="C19" s="323" t="inlineStr">
        <is>
          <t>4 events: Form MN, Form TH, Form THCS/THPT, Tour Scheduled</t>
        </is>
      </c>
      <c r="D19" s="323" t="inlineStr">
        <is>
          <t>Meta Events Manager</t>
        </is>
      </c>
      <c r="E19" s="323" t="inlineStr">
        <is>
          <t>Ngày 2</t>
        </is>
      </c>
      <c r="F19" s="323" t="inlineStr">
        <is>
          <t>☐</t>
        </is>
      </c>
    </row>
    <row r="20" ht="23.25" customHeight="1" s="248">
      <c r="A20" s="321" t="inlineStr">
        <is>
          <t>5</t>
        </is>
      </c>
      <c r="B20" s="321" t="inlineStr">
        <is>
          <t>Verify domain</t>
        </is>
      </c>
      <c r="C20" s="321" t="inlineStr">
        <is>
          <t>Xác minh domain truongvietanh.com trong Business Manager</t>
        </is>
      </c>
      <c r="D20" s="321" t="inlineStr">
        <is>
          <t>Meta Business Suite</t>
        </is>
      </c>
      <c r="E20" s="321" t="inlineStr">
        <is>
          <t>Ngày 1</t>
        </is>
      </c>
      <c r="F20" s="321" t="inlineStr">
        <is>
          <t>☐</t>
        </is>
      </c>
    </row>
    <row r="21" ht="23.25" customHeight="1" s="248">
      <c r="A21" s="323" t="inlineStr">
        <is>
          <t>6</t>
        </is>
      </c>
      <c r="B21" s="323" t="inlineStr">
        <is>
          <t>Tạo Audience Library</t>
        </is>
      </c>
      <c r="C21" s="323" t="inlineStr">
        <is>
          <t>8 saved audiences (4 cấp × 2 geo) + Lookalike 1%/3%/5% + Custom 7d/14d/30d/60d</t>
        </is>
      </c>
      <c r="D21" s="323" t="inlineStr">
        <is>
          <t>Meta Ads Manager</t>
        </is>
      </c>
      <c r="E21" s="323" t="inlineStr">
        <is>
          <t>Ngày 2</t>
        </is>
      </c>
      <c r="F21" s="323" t="inlineStr">
        <is>
          <t>☐</t>
        </is>
      </c>
    </row>
    <row r="22" ht="23.25" customHeight="1" s="248">
      <c r="A22" s="321" t="inlineStr">
        <is>
          <t>7</t>
        </is>
      </c>
      <c r="B22" s="321" t="inlineStr">
        <is>
          <t>Sync GHL → Meta</t>
        </is>
      </c>
      <c r="C22" s="321" t="inlineStr">
        <is>
          <t>Upload enrolled parents list → Exclusion | Monthly refresh</t>
        </is>
      </c>
      <c r="D22" s="321" t="inlineStr">
        <is>
          <t>GHL + Meta</t>
        </is>
      </c>
      <c r="E22" s="321" t="inlineStr">
        <is>
          <t>Tuần 2</t>
        </is>
      </c>
      <c r="F22" s="321" t="inlineStr">
        <is>
          <t>☐</t>
        </is>
      </c>
    </row>
    <row r="23" ht="23.25" customHeight="1" s="248">
      <c r="A23" s="323" t="inlineStr">
        <is>
          <t>8</t>
        </is>
      </c>
      <c r="B23" s="323" t="inlineStr">
        <is>
          <t>Setup Birch cho Meta</t>
        </is>
      </c>
      <c r="C23" s="323" t="inlineStr">
        <is>
          <t>Kết nối Meta Ads → Birch | Tạo rules CPL, budget pacing</t>
        </is>
      </c>
      <c r="D23" s="323" t="inlineStr">
        <is>
          <t>Birch</t>
        </is>
      </c>
      <c r="E23" s="323" t="inlineStr">
        <is>
          <t>Ngày 3</t>
        </is>
      </c>
      <c r="F23" s="323" t="inlineStr">
        <is>
          <t>☐</t>
        </is>
      </c>
    </row>
    <row r="25" ht="15" customHeight="1" s="248">
      <c r="A25" s="253" t="inlineStr">
        <is>
          <t>C. CREATIVE RESOURCE PLAN – PHÂN BỔ ẢNH/VIDEO CHO META ADS</t>
        </is>
      </c>
    </row>
    <row r="26" ht="15" customHeight="1" s="248">
      <c r="A26" s="250" t="inlineStr">
        <is>
          <t>Campaign</t>
        </is>
      </c>
      <c r="B26" s="250" t="inlineStr">
        <is>
          <t>Loại Creative</t>
        </is>
      </c>
      <c r="C26" s="250" t="inlineStr">
        <is>
          <t>Số lượng</t>
        </is>
      </c>
      <c r="D26" s="250" t="inlineStr">
        <is>
          <t>Format</t>
        </is>
      </c>
      <c r="E26" s="250" t="inlineStr">
        <is>
          <t>Nội dung</t>
        </is>
      </c>
      <c r="F26" s="250" t="inlineStr">
        <is>
          <t>Nguồn ảnh/video</t>
        </is>
      </c>
      <c r="G26" s="250" t="inlineStr">
        <is>
          <t>Refresh cycle</t>
        </is>
      </c>
      <c r="H26" s="250" t="inlineStr">
        <is>
          <t>A/B Test</t>
        </is>
      </c>
      <c r="I26" s="250" t="inlineStr">
        <is>
          <t>Ghi chú</t>
        </is>
      </c>
    </row>
    <row r="27" ht="23.85" customHeight="1" s="248">
      <c r="A27" s="251" t="inlineStr">
        <is>
          <t>MN_GV_LeadGen</t>
        </is>
      </c>
      <c r="B27" s="251" t="inlineStr">
        <is>
          <t>Video testimonial PH</t>
        </is>
      </c>
      <c r="C27" s="251" t="n">
        <v>3</v>
      </c>
      <c r="D27" s="251" t="inlineStr">
        <is>
          <t>9:16 Reel 15-30s</t>
        </is>
      </c>
      <c r="E27" s="251" t="inlineStr">
        <is>
          <t>PH chia sẻ: "Con tôi vui khi đến trường"</t>
        </is>
      </c>
      <c r="F27" s="251" t="inlineStr">
        <is>
          <t>Quay tại campus, PH thật</t>
        </is>
      </c>
      <c r="G27" s="251" t="inlineStr">
        <is>
          <t>3 tuần</t>
        </is>
      </c>
      <c r="H27" s="251" t="inlineStr">
        <is>
          <t>Test 3 PH khác nhau</t>
        </is>
      </c>
      <c r="I27" s="251" t="inlineStr">
        <is>
          <t>Hook 3s quan trọng nhất</t>
        </is>
      </c>
    </row>
    <row r="28" ht="35.05" customHeight="1" s="248">
      <c r="A28" s="252" t="inlineStr">
        <is>
          <t>MN_GV_LeadGen</t>
        </is>
      </c>
      <c r="B28" s="252" t="inlineStr">
        <is>
          <t>Carousel campus</t>
        </is>
      </c>
      <c r="C28" s="252" t="n">
        <v>2</v>
      </c>
      <c r="D28" s="252" t="inlineStr">
        <is>
          <t>1:1 1080x1080</t>
        </is>
      </c>
      <c r="E28" s="252" t="inlineStr">
        <is>
          <t>6 slides: Sân chơi, Phòng học, Bếp ăn, Camera, GV, Hoạt động</t>
        </is>
      </c>
      <c r="F28" s="252" t="inlineStr">
        <is>
          <t>Chụp tại campus GV</t>
        </is>
      </c>
      <c r="G28" s="252" t="inlineStr">
        <is>
          <t>4 tuần</t>
        </is>
      </c>
      <c r="H28" s="252" t="inlineStr">
        <is>
          <t>Test order slides</t>
        </is>
      </c>
      <c r="I28" s="252" t="inlineStr">
        <is>
          <t>Ảnh thật, không stock</t>
        </is>
      </c>
    </row>
    <row r="29" ht="23.85" customHeight="1" s="248">
      <c r="A29" s="251" t="inlineStr">
        <is>
          <t>MN_GV_LeadGen</t>
        </is>
      </c>
      <c r="B29" s="251" t="inlineStr">
        <is>
          <t>Lead Form ad</t>
        </is>
      </c>
      <c r="C29" s="251" t="n">
        <v>2</v>
      </c>
      <c r="D29" s="251" t="inlineStr">
        <is>
          <t>1:1 1080x1080</t>
        </is>
      </c>
      <c r="E29" s="251" t="inlineStr">
        <is>
          <t>Image + text: "Đăng ký tour MN Việt Anh" | Form prefill</t>
        </is>
      </c>
      <c r="F29" s="251" t="inlineStr">
        <is>
          <t>Thiết kế Canva</t>
        </is>
      </c>
      <c r="G29" s="251" t="inlineStr">
        <is>
          <t>2 tuần</t>
        </is>
      </c>
      <c r="H29" s="251" t="inlineStr">
        <is>
          <t>Test benefit vs offer</t>
        </is>
      </c>
      <c r="I29" s="251" t="inlineStr">
        <is>
          <t>Form ngắn: Tên+SĐT+Cấp</t>
        </is>
      </c>
    </row>
    <row r="30" ht="23.85" customHeight="1" s="248">
      <c r="A30" s="252" t="inlineStr">
        <is>
          <t>TH_GV_LeadGen</t>
        </is>
      </c>
      <c r="B30" s="252" t="inlineStr">
        <is>
          <t>Video "Nền tảng lớp 1"</t>
        </is>
      </c>
      <c r="C30" s="252" t="n">
        <v>2</v>
      </c>
      <c r="D30" s="252" t="inlineStr">
        <is>
          <t>9:16 Reel 30-60s</t>
        </is>
      </c>
      <c r="E30" s="252" t="inlineStr">
        <is>
          <t>Lớp học thực tế, HS đọc TA, GV tương tác</t>
        </is>
      </c>
      <c r="F30" s="252" t="inlineStr">
        <is>
          <t>Quay tại TH GV</t>
        </is>
      </c>
      <c r="G30" s="252" t="inlineStr">
        <is>
          <t>4 tuần</t>
        </is>
      </c>
      <c r="H30" s="252" t="inlineStr">
        <is>
          <t>Test 30s vs 60s</t>
        </is>
      </c>
      <c r="I30" s="252" t="inlineStr">
        <is>
          <t>Show HS thật đang học</t>
        </is>
      </c>
    </row>
    <row r="31" ht="35.05" customHeight="1" s="248">
      <c r="A31" s="251" t="inlineStr">
        <is>
          <t>TH_GV_LeadGen</t>
        </is>
      </c>
      <c r="B31" s="251" t="inlineStr">
        <is>
          <t>Carousel chương trình</t>
        </is>
      </c>
      <c r="C31" s="251" t="n">
        <v>2</v>
      </c>
      <c r="D31" s="251" t="inlineStr">
        <is>
          <t>1:1 1080x1080</t>
        </is>
      </c>
      <c r="E31" s="251" t="inlineStr">
        <is>
          <t>6 slides: Chương trình, TA, STEM, Ngoại khóa, Sĩ số, Tour</t>
        </is>
      </c>
      <c r="F31" s="251" t="inlineStr">
        <is>
          <t>Chụp + thiết kế</t>
        </is>
      </c>
      <c r="G31" s="251" t="inlineStr">
        <is>
          <t>4 tuần</t>
        </is>
      </c>
      <c r="H31" s="251" t="inlineStr">
        <is>
          <t>Test headline</t>
        </is>
      </c>
      <c r="I31" s="251" t="inlineStr">
        <is>
          <t>Infographic style</t>
        </is>
      </c>
    </row>
    <row r="32" ht="35.05" customHeight="1" s="248">
      <c r="A32" s="252" t="inlineStr">
        <is>
          <t>TH_BT_LeadGen</t>
        </is>
      </c>
      <c r="B32" s="252" t="inlineStr">
        <is>
          <t>Image + text local</t>
        </is>
      </c>
      <c r="C32" s="252" t="n">
        <v>3</v>
      </c>
      <c r="D32" s="252" t="inlineStr">
        <is>
          <t>1:1 1080x1080</t>
        </is>
      </c>
      <c r="E32" s="252" t="inlineStr">
        <is>
          <t>Ảnh campus BT + text "Trường tư song ngữ Bình Tân"</t>
        </is>
      </c>
      <c r="F32" s="252" t="inlineStr">
        <is>
          <t>Chụp tại campus BT</t>
        </is>
      </c>
      <c r="G32" s="252" t="inlineStr">
        <is>
          <t>3 tuần</t>
        </is>
      </c>
      <c r="H32" s="252" t="inlineStr">
        <is>
          <t>Test 3 images</t>
        </is>
      </c>
      <c r="I32" s="252" t="inlineStr">
        <is>
          <t>Local feel quan trọng</t>
        </is>
      </c>
    </row>
    <row r="33" ht="23.85" customHeight="1" s="248">
      <c r="A33" s="251" t="inlineStr">
        <is>
          <t>THCS_GV_LeadGen</t>
        </is>
      </c>
      <c r="B33" s="251" t="inlineStr">
        <is>
          <t>Video testi HS + GV</t>
        </is>
      </c>
      <c r="C33" s="251" t="n">
        <v>3</v>
      </c>
      <c r="D33" s="251" t="inlineStr">
        <is>
          <t>9:16 Reel 30-60s</t>
        </is>
      </c>
      <c r="E33" s="251" t="inlineStr">
        <is>
          <t>HS THCS chia sẻ + GV chủ nhiệm nói về lộ trình</t>
        </is>
      </c>
      <c r="F33" s="251" t="inlineStr">
        <is>
          <t>Quay tại THCS GV</t>
        </is>
      </c>
      <c r="G33" s="251" t="inlineStr">
        <is>
          <t>3 tuần</t>
        </is>
      </c>
      <c r="H33" s="251" t="inlineStr">
        <is>
          <t>Test HS vs GV focus</t>
        </is>
      </c>
      <c r="I33" s="251" t="inlineStr">
        <is>
          <t>Emotional storytelling</t>
        </is>
      </c>
    </row>
    <row r="34" ht="23.85" customHeight="1" s="248">
      <c r="A34" s="252" t="inlineStr">
        <is>
          <t>THCS_GV_Webinar</t>
        </is>
      </c>
      <c r="B34" s="252" t="inlineStr">
        <is>
          <t>Video invite webinar</t>
        </is>
      </c>
      <c r="C34" s="252" t="n">
        <v>2</v>
      </c>
      <c r="D34" s="252" t="inlineStr">
        <is>
          <t>9:16 Reel 15s</t>
        </is>
      </c>
      <c r="E34" s="252" t="inlineStr">
        <is>
          <t>Teaser: "Hội thảo chuyển cấp 5→6 – Miễn phí"</t>
        </is>
      </c>
      <c r="F34" s="252" t="inlineStr">
        <is>
          <t>Thiết kế motion</t>
        </is>
      </c>
      <c r="G34" s="252" t="inlineStr">
        <is>
          <t>2 tuần</t>
        </is>
      </c>
      <c r="H34" s="252" t="inlineStr">
        <is>
          <t>Test countdown vs benefit</t>
        </is>
      </c>
      <c r="I34" s="252" t="inlineStr">
        <is>
          <t>Urgency + value</t>
        </is>
      </c>
    </row>
    <row r="35" ht="23.85" customHeight="1" s="248">
      <c r="A35" s="251" t="inlineStr">
        <is>
          <t>THPT_GV_LeadGen</t>
        </is>
      </c>
      <c r="B35" s="251" t="inlineStr">
        <is>
          <t>Video "Lộ trình THPT"</t>
        </is>
      </c>
      <c r="C35" s="251" t="n">
        <v>3</v>
      </c>
      <c r="D35" s="251" t="inlineStr">
        <is>
          <t>9:16 Reel 30-60s</t>
        </is>
      </c>
      <c r="E35" s="251" t="inlineStr">
        <is>
          <t>Alumni ĐH chia sẻ + BGH nói về đầu ra</t>
        </is>
      </c>
      <c r="F35" s="251" t="inlineStr">
        <is>
          <t>Quay tại THPT + ĐH</t>
        </is>
      </c>
      <c r="G35" s="251" t="inlineStr">
        <is>
          <t>3 tuần</t>
        </is>
      </c>
      <c r="H35" s="251" t="inlineStr">
        <is>
          <t>Test alumni vs BGH</t>
        </is>
      </c>
      <c r="I35" s="251" t="inlineStr">
        <is>
          <t>Data-driven: % ĐH top</t>
        </is>
      </c>
    </row>
    <row r="36" ht="35.05" customHeight="1" s="248">
      <c r="A36" s="252" t="inlineStr">
        <is>
          <t>THPT_HocBong</t>
        </is>
      </c>
      <c r="B36" s="252" t="inlineStr">
        <is>
          <t>Image học bổng</t>
        </is>
      </c>
      <c r="C36" s="252" t="n">
        <v>3</v>
      </c>
      <c r="D36" s="252" t="inlineStr">
        <is>
          <t>1:1 1080x1080</t>
        </is>
      </c>
      <c r="E36" s="252" t="inlineStr">
        <is>
          <t>"Học bổng lên đến 100% – Deadline [ngày]" | Bold design</t>
        </is>
      </c>
      <c r="F36" s="252" t="inlineStr">
        <is>
          <t>Thiết kế Canva/AI</t>
        </is>
      </c>
      <c r="G36" s="252" t="inlineStr">
        <is>
          <t>2 tuần</t>
        </is>
      </c>
      <c r="H36" s="252" t="inlineStr">
        <is>
          <t>Test % vs giá trị tiền</t>
        </is>
      </c>
      <c r="I36" s="252" t="inlineStr">
        <is>
          <t>Deadline rõ ràng</t>
        </is>
      </c>
    </row>
    <row r="37" ht="23.85" customHeight="1" s="248">
      <c r="A37" s="251" t="inlineStr">
        <is>
          <t>Retarget_7d_Hot</t>
        </is>
      </c>
      <c r="B37" s="251" t="inlineStr">
        <is>
          <t>Dynamic creative</t>
        </is>
      </c>
      <c r="C37" s="251" t="n">
        <v>4</v>
      </c>
      <c r="D37" s="251" t="inlineStr">
        <is>
          <t>1:1 multi-format</t>
        </is>
      </c>
      <c r="E37" s="251" t="inlineStr">
        <is>
          <t>Testimonial + ưu đãi + countdown + campus</t>
        </is>
      </c>
      <c r="F37" s="251" t="inlineStr">
        <is>
          <t>Mix từ kho</t>
        </is>
      </c>
      <c r="G37" s="251" t="inlineStr">
        <is>
          <t>2 tuần</t>
        </is>
      </c>
      <c r="H37" s="251" t="inlineStr">
        <is>
          <t>Auto by Meta</t>
        </is>
      </c>
      <c r="I37" s="251" t="inlineStr">
        <is>
          <t>DCO cho remarketing</t>
        </is>
      </c>
    </row>
    <row r="38" ht="23.85" customHeight="1" s="248">
      <c r="A38" s="252" t="inlineStr">
        <is>
          <t>Brand_Awareness</t>
        </is>
      </c>
      <c r="B38" s="252" t="inlineStr">
        <is>
          <t>Brand video 15s</t>
        </is>
      </c>
      <c r="C38" s="252" t="n">
        <v>2</v>
      </c>
      <c r="D38" s="252" t="inlineStr">
        <is>
          <t>16:9 + 9:16</t>
        </is>
      </c>
      <c r="E38" s="252" t="inlineStr">
        <is>
          <t>Montage: 8 campus, HS vui, USP overlay, logo end</t>
        </is>
      </c>
      <c r="F38" s="252" t="inlineStr">
        <is>
          <t>Quay + edit pro</t>
        </is>
      </c>
      <c r="G38" s="252" t="inlineStr">
        <is>
          <t>6 tuần</t>
        </is>
      </c>
      <c r="H38" s="252" t="inlineStr">
        <is>
          <t>Test 15s vs 30s</t>
        </is>
      </c>
      <c r="I38" s="252" t="inlineStr">
        <is>
          <t>CPM optimize</t>
        </is>
      </c>
    </row>
    <row r="41" ht="15" customHeight="1" s="248">
      <c r="A41" s="253" t="inlineStr">
        <is>
          <t>D. DAILY OPERATIONS – META ADS HÀNG NGÀY</t>
        </is>
      </c>
    </row>
    <row r="42" ht="15" customHeight="1" s="248">
      <c r="A42" s="250" t="inlineStr">
        <is>
          <t>Thời gian</t>
        </is>
      </c>
      <c r="B42" s="250" t="inlineStr">
        <is>
          <t>Công việc</t>
        </is>
      </c>
      <c r="C42" s="250" t="inlineStr">
        <is>
          <t>Chi tiết</t>
        </is>
      </c>
      <c r="D42" s="250" t="inlineStr">
        <is>
          <t>Tool</t>
        </is>
      </c>
      <c r="E42" s="250" t="inlineStr">
        <is>
          <t>KPI check</t>
        </is>
      </c>
      <c r="F42" s="250" t="inlineStr">
        <is>
          <t>Action nếu lệch</t>
        </is>
      </c>
      <c r="G42" s="250" t="inlineStr">
        <is>
          <t>Ai làm</t>
        </is>
      </c>
    </row>
    <row r="43" ht="35.05" customHeight="1" s="248">
      <c r="A43" s="251" t="inlineStr">
        <is>
          <t>8:00</t>
        </is>
      </c>
      <c r="B43" s="251" t="inlineStr">
        <is>
          <t>Check delivery &amp; spend</t>
        </is>
      </c>
      <c r="C43" s="251" t="inlineStr">
        <is>
          <t>Ads Manager → Campaign overview → Check pacing 24h</t>
        </is>
      </c>
      <c r="D43" s="251" t="inlineStr">
        <is>
          <t>Meta Ads Manager / Birch</t>
        </is>
      </c>
      <c r="E43" s="251" t="inlineStr">
        <is>
          <t>Spend vs daily target ±10%</t>
        </is>
      </c>
      <c r="F43" s="251" t="inlineStr">
        <is>
          <t>Overspend → lower budget | Underspend → check ad set</t>
        </is>
      </c>
      <c r="G43" s="251" t="inlineStr">
        <is>
          <t>Performance</t>
        </is>
      </c>
    </row>
    <row r="44" ht="23.85" customHeight="1" s="248">
      <c r="A44" s="252" t="inlineStr">
        <is>
          <t>8:15</t>
        </is>
      </c>
      <c r="B44" s="252" t="inlineStr">
        <is>
          <t>Check CPL by campaign</t>
        </is>
      </c>
      <c r="C44" s="252" t="inlineStr">
        <is>
          <t>Filter last 3 days → Sort by CPL → Identify top/bottom</t>
        </is>
      </c>
      <c r="D44" s="252" t="inlineStr">
        <is>
          <t>Meta Ads Manager</t>
        </is>
      </c>
      <c r="E44" s="252" t="inlineStr">
        <is>
          <t>CPL &lt; target kênh</t>
        </is>
      </c>
      <c r="F44" s="252" t="inlineStr">
        <is>
          <t>CPL &gt; 150% target → pause ad set → review creative</t>
        </is>
      </c>
      <c r="G44" s="252" t="inlineStr">
        <is>
          <t>Performance</t>
        </is>
      </c>
    </row>
    <row r="45" ht="35.05" customHeight="1" s="248">
      <c r="A45" s="251" t="inlineStr">
        <is>
          <t>8:30</t>
        </is>
      </c>
      <c r="B45" s="251" t="inlineStr">
        <is>
          <t>Check ad set learning phase</t>
        </is>
      </c>
      <c r="C45" s="251" t="inlineStr">
        <is>
          <t>Review ad sets: Learning, Active, Learning Limited</t>
        </is>
      </c>
      <c r="D45" s="251" t="inlineStr">
        <is>
          <t>Meta Ads Manager</t>
        </is>
      </c>
      <c r="E45" s="251" t="inlineStr">
        <is>
          <t>50 conversions / 7 ngày</t>
        </is>
      </c>
      <c r="F45" s="251" t="inlineStr">
        <is>
          <t>Learning Limited → consolidate ad sets hoặc tăng budget</t>
        </is>
      </c>
      <c r="G45" s="251" t="inlineStr">
        <is>
          <t>Performance</t>
        </is>
      </c>
    </row>
    <row r="46" ht="23.85" customHeight="1" s="248">
      <c r="A46" s="252" t="inlineStr">
        <is>
          <t>8:45</t>
        </is>
      </c>
      <c r="B46" s="252" t="inlineStr">
        <is>
          <t>Review ad rejections</t>
        </is>
      </c>
      <c r="C46" s="252" t="inlineStr">
        <is>
          <t>Check ad review status → Fix rejected ads</t>
        </is>
      </c>
      <c r="D46" s="252" t="inlineStr">
        <is>
          <t>Meta Ads Manager</t>
        </is>
      </c>
      <c r="E46" s="252" t="inlineStr">
        <is>
          <t>No rejected ads</t>
        </is>
      </c>
      <c r="F46" s="252" t="inlineStr">
        <is>
          <t>Edit ad → resubmit → nếu lặp lại → contact support</t>
        </is>
      </c>
      <c r="G46" s="252" t="inlineStr">
        <is>
          <t>Performance</t>
        </is>
      </c>
    </row>
    <row r="47" ht="35.05" customHeight="1" s="248">
      <c r="A47" s="251" t="inlineStr">
        <is>
          <t>9:00</t>
        </is>
      </c>
      <c r="B47" s="251" t="inlineStr">
        <is>
          <t>Check Frequency &amp; CTR</t>
        </is>
      </c>
      <c r="C47" s="251" t="inlineStr">
        <is>
          <t>Campaign level → Frequency col + CTR</t>
        </is>
      </c>
      <c r="D47" s="251" t="inlineStr">
        <is>
          <t>Meta Ads Manager</t>
        </is>
      </c>
      <c r="E47" s="251" t="inlineStr">
        <is>
          <t>Freq &lt; 3, CTR &gt; 1%</t>
        </is>
      </c>
      <c r="F47" s="251" t="inlineStr">
        <is>
          <t>Freq &gt; 3 → refresh creative | CTR &lt; 0.8% → new copy/image</t>
        </is>
      </c>
      <c r="G47" s="251" t="inlineStr">
        <is>
          <t>Performance</t>
        </is>
      </c>
    </row>
    <row r="48" ht="35.05" customHeight="1" s="248">
      <c r="A48" s="252" t="inlineStr">
        <is>
          <t>14:00</t>
        </is>
      </c>
      <c r="B48" s="252" t="inlineStr">
        <is>
          <t>Audience overlap check</t>
        </is>
      </c>
      <c r="C48" s="252" t="inlineStr">
        <is>
          <t>Meta → Audience overlap tool → Check cross-campaign</t>
        </is>
      </c>
      <c r="D48" s="252" t="inlineStr">
        <is>
          <t>Meta Audience Tool</t>
        </is>
      </c>
      <c r="E48" s="252" t="inlineStr">
        <is>
          <t>Overlap &lt; 30%</t>
        </is>
      </c>
      <c r="F48" s="252" t="inlineStr">
        <is>
          <t>&gt; 30% → exclude hoặc merge audiences</t>
        </is>
      </c>
      <c r="G48" s="252" t="inlineStr">
        <is>
          <t>Performance</t>
        </is>
      </c>
    </row>
    <row r="49" ht="23.85" customHeight="1" s="248">
      <c r="A49" s="251" t="inlineStr">
        <is>
          <t>15:00</t>
        </is>
      </c>
      <c r="B49" s="251" t="inlineStr">
        <is>
          <t>Scale decision (daily)</t>
        </is>
      </c>
      <c r="C49" s="251" t="inlineStr">
        <is>
          <t>Top 3 ad sets by CPL + quality → increase 15-20%</t>
        </is>
      </c>
      <c r="D49" s="251" t="inlineStr">
        <is>
          <t>Meta Ads Manager</t>
        </is>
      </c>
      <c r="E49" s="251" t="inlineStr">
        <is>
          <t>CPL &lt; target + Q.Rate &gt; 45%</t>
        </is>
      </c>
      <c r="F49" s="251" t="inlineStr">
        <is>
          <t>Scale immediately, monitor 24h</t>
        </is>
      </c>
      <c r="G49" s="251" t="inlineStr">
        <is>
          <t>Performance</t>
        </is>
      </c>
    </row>
    <row r="50" ht="23.85" customHeight="1" s="248">
      <c r="A50" s="252" t="inlineStr">
        <is>
          <t>17:00</t>
        </is>
      </c>
      <c r="B50" s="252" t="inlineStr">
        <is>
          <t>Log daily metrics</t>
        </is>
      </c>
      <c r="C50" s="252" t="inlineStr">
        <is>
          <t>Ghi spend, leads, CPL, CTR vào KPI tracker</t>
        </is>
      </c>
      <c r="D50" s="252" t="inlineStr">
        <is>
          <t>Excel/Sheets</t>
        </is>
      </c>
      <c r="E50" s="252" t="inlineStr">
        <is>
          <t>-</t>
        </is>
      </c>
      <c r="F50" s="252" t="inlineStr">
        <is>
          <t>-</t>
        </is>
      </c>
      <c r="G50" s="252" t="inlineStr">
        <is>
          <t>Performance</t>
        </is>
      </c>
    </row>
    <row r="53" ht="15" customHeight="1" s="248">
      <c r="A53" s="253" t="inlineStr">
        <is>
          <t>E. AUDIENCE LIBRARY – DANH SÁCH AUDIENCE CHI TIẾT</t>
        </is>
      </c>
    </row>
    <row r="54" ht="15" customHeight="1" s="248">
      <c r="A54" s="250" t="inlineStr">
        <is>
          <t>Audience Name</t>
        </is>
      </c>
      <c r="B54" s="250" t="inlineStr">
        <is>
          <t>Type</t>
        </is>
      </c>
      <c r="C54" s="250" t="inlineStr">
        <is>
          <t>Targeting chi tiết</t>
        </is>
      </c>
      <c r="D54" s="250" t="inlineStr">
        <is>
          <t>Size est.</t>
        </is>
      </c>
      <c r="E54" s="250" t="inlineStr">
        <is>
          <t>Dùng cho Campaign</t>
        </is>
      </c>
      <c r="F54" s="250" t="inlineStr">
        <is>
          <t>Refresh</t>
        </is>
      </c>
      <c r="G54" s="250" t="inlineStr">
        <is>
          <t>Ghi chú</t>
        </is>
      </c>
    </row>
    <row r="55" ht="46.25" customHeight="1" s="248">
      <c r="A55" s="251" t="inlineStr">
        <is>
          <t>Prospecting_MN_GV</t>
        </is>
      </c>
      <c r="B55" s="251" t="inlineStr">
        <is>
          <t>Saved</t>
        </is>
      </c>
      <c r="C55" s="251" t="inlineStr">
        <is>
          <t>Geo: Gò Vấp 5km | Age 25-40 | Female | Interest: Parenting, Preschool, Child development</t>
        </is>
      </c>
      <c r="D55" s="251" t="inlineStr">
        <is>
          <t>200K-400K</t>
        </is>
      </c>
      <c r="E55" s="251" t="inlineStr">
        <is>
          <t>MN_GV_LeadGen</t>
        </is>
      </c>
      <c r="F55" s="251" t="inlineStr">
        <is>
          <t>Đầu mùa</t>
        </is>
      </c>
      <c r="G55" s="251" t="inlineStr">
        <is>
          <t>Core audience MN</t>
        </is>
      </c>
    </row>
    <row r="56" ht="35.05" customHeight="1" s="248">
      <c r="A56" s="252" t="inlineStr">
        <is>
          <t>Prospecting_TH_GV</t>
        </is>
      </c>
      <c r="B56" s="252" t="inlineStr">
        <is>
          <t>Saved</t>
        </is>
      </c>
      <c r="C56" s="252" t="inlineStr">
        <is>
          <t>Geo: Gò Vấp 8km | Age 28-45 | Parents | Interest: Education, Primary school</t>
        </is>
      </c>
      <c r="D56" s="252" t="inlineStr">
        <is>
          <t>300K-500K</t>
        </is>
      </c>
      <c r="E56" s="252" t="inlineStr">
        <is>
          <t>TH_GV_LeadGen</t>
        </is>
      </c>
      <c r="F56" s="252" t="inlineStr">
        <is>
          <t>Đầu mùa</t>
        </is>
      </c>
      <c r="G56" s="252" t="inlineStr">
        <is>
          <t>Core audience TH</t>
        </is>
      </c>
    </row>
    <row r="57" ht="23.85" customHeight="1" s="248">
      <c r="A57" s="251" t="inlineStr">
        <is>
          <t>Prospecting_TH_BT</t>
        </is>
      </c>
      <c r="B57" s="251" t="inlineStr">
        <is>
          <t>Saved</t>
        </is>
      </c>
      <c r="C57" s="251" t="inlineStr">
        <is>
          <t>Geo: Bình Tân 8km | Age 28-45 | Parents</t>
        </is>
      </c>
      <c r="D57" s="251" t="inlineStr">
        <is>
          <t>250K-400K</t>
        </is>
      </c>
      <c r="E57" s="251" t="inlineStr">
        <is>
          <t>TH_BT_LeadGen</t>
        </is>
      </c>
      <c r="F57" s="251" t="inlineStr">
        <is>
          <t>Đầu mùa</t>
        </is>
      </c>
      <c r="G57" s="251" t="inlineStr">
        <is>
          <t>Bình Tân local</t>
        </is>
      </c>
    </row>
    <row r="58" ht="35.05" customHeight="1" s="248">
      <c r="A58" s="252" t="inlineStr">
        <is>
          <t>Prospecting_THCS</t>
        </is>
      </c>
      <c r="B58" s="252" t="inlineStr">
        <is>
          <t>Saved</t>
        </is>
      </c>
      <c r="C58" s="252" t="inlineStr">
        <is>
          <t>Geo: TP.HCM | Age 32-48 | Interest: Secondary education, Exam prep</t>
        </is>
      </c>
      <c r="D58" s="252" t="inlineStr">
        <is>
          <t>500K-800K</t>
        </is>
      </c>
      <c r="E58" s="252" t="inlineStr">
        <is>
          <t>THCS_GV_LeadGen</t>
        </is>
      </c>
      <c r="F58" s="252" t="inlineStr">
        <is>
          <t>Đầu mùa</t>
        </is>
      </c>
      <c r="G58" s="252" t="inlineStr">
        <is>
          <t>Broader for THCS</t>
        </is>
      </c>
    </row>
    <row r="59" ht="46.25" customHeight="1" s="248">
      <c r="A59" s="251" t="inlineStr">
        <is>
          <t>Prospecting_THPT</t>
        </is>
      </c>
      <c r="B59" s="251" t="inlineStr">
        <is>
          <t>Saved</t>
        </is>
      </c>
      <c r="C59" s="251" t="inlineStr">
        <is>
          <t>Geo: TP.HCM + miền Nam | Age 36-55 | Interest: High school, Scholarship, University</t>
        </is>
      </c>
      <c r="D59" s="251" t="inlineStr">
        <is>
          <t>600K-1M</t>
        </is>
      </c>
      <c r="E59" s="251" t="inlineStr">
        <is>
          <t>THPT_GV_LeadGen</t>
        </is>
      </c>
      <c r="F59" s="251" t="inlineStr">
        <is>
          <t>Đầu mùa</t>
        </is>
      </c>
      <c r="G59" s="251" t="inlineStr">
        <is>
          <t>Broadest for THPT</t>
        </is>
      </c>
    </row>
    <row r="60" ht="23.85" customHeight="1" s="248">
      <c r="A60" s="252" t="inlineStr">
        <is>
          <t>LAL_1%_Enrolled</t>
        </is>
      </c>
      <c r="B60" s="252" t="inlineStr">
        <is>
          <t>Lookalike</t>
        </is>
      </c>
      <c r="C60" s="252" t="inlineStr">
        <is>
          <t>Source: Enrolled parents list | 1% lookalike VN</t>
        </is>
      </c>
      <c r="D60" s="252" t="inlineStr">
        <is>
          <t>700K-1M</t>
        </is>
      </c>
      <c r="E60" s="252" t="inlineStr">
        <is>
          <t>All Lead Gen</t>
        </is>
      </c>
      <c r="F60" s="252" t="inlineStr">
        <is>
          <t>Hàng tháng</t>
        </is>
      </c>
      <c r="G60" s="252" t="inlineStr">
        <is>
          <t>Best quality LAL</t>
        </is>
      </c>
    </row>
    <row r="61" ht="23.85" customHeight="1" s="248">
      <c r="A61" s="251" t="inlineStr">
        <is>
          <t>LAL_3%_Leads</t>
        </is>
      </c>
      <c r="B61" s="251" t="inlineStr">
        <is>
          <t>Lookalike</t>
        </is>
      </c>
      <c r="C61" s="251" t="inlineStr">
        <is>
          <t>Source: All qualified leads | 3% lookalike VN</t>
        </is>
      </c>
      <c r="D61" s="251" t="inlineStr">
        <is>
          <t>2M-3M</t>
        </is>
      </c>
      <c r="E61" s="251" t="inlineStr">
        <is>
          <t>Scale campaigns</t>
        </is>
      </c>
      <c r="F61" s="251" t="inlineStr">
        <is>
          <t>Hàng tháng</t>
        </is>
      </c>
      <c r="G61" s="251" t="inlineStr">
        <is>
          <t>Volume LAL</t>
        </is>
      </c>
    </row>
    <row r="62" ht="23.85" customHeight="1" s="248">
      <c r="A62" s="252" t="inlineStr">
        <is>
          <t>Custom_Web_7d</t>
        </is>
      </c>
      <c r="B62" s="252" t="inlineStr">
        <is>
          <t>Custom</t>
        </is>
      </c>
      <c r="C62" s="252" t="inlineStr">
        <is>
          <t>Website visitors last 7 days | All pages</t>
        </is>
      </c>
      <c r="D62" s="252" t="inlineStr">
        <is>
          <t>5K-20K</t>
        </is>
      </c>
      <c r="E62" s="252" t="inlineStr">
        <is>
          <t>Retarget_7d_Hot</t>
        </is>
      </c>
      <c r="F62" s="252" t="inlineStr">
        <is>
          <t>Auto</t>
        </is>
      </c>
      <c r="G62" s="252" t="inlineStr">
        <is>
          <t>Hottest remarketing</t>
        </is>
      </c>
    </row>
    <row r="63" ht="15" customHeight="1" s="248">
      <c r="A63" s="251" t="inlineStr">
        <is>
          <t>Custom_Web_30d</t>
        </is>
      </c>
      <c r="B63" s="251" t="inlineStr">
        <is>
          <t>Custom</t>
        </is>
      </c>
      <c r="C63" s="251" t="inlineStr">
        <is>
          <t>Website visitors last 30 days</t>
        </is>
      </c>
      <c r="D63" s="251" t="inlineStr">
        <is>
          <t>20K-50K</t>
        </is>
      </c>
      <c r="E63" s="251" t="inlineStr">
        <is>
          <t>Retarget_21d_Warm</t>
        </is>
      </c>
      <c r="F63" s="251" t="inlineStr">
        <is>
          <t>Auto</t>
        </is>
      </c>
      <c r="G63" s="251" t="inlineStr">
        <is>
          <t>Warm remarketing</t>
        </is>
      </c>
    </row>
    <row r="64" ht="23.85" customHeight="1" s="248">
      <c r="A64" s="252" t="inlineStr">
        <is>
          <t>Custom_Fee_Page</t>
        </is>
      </c>
      <c r="B64" s="252" t="inlineStr">
        <is>
          <t>Custom</t>
        </is>
      </c>
      <c r="C64" s="252" t="inlineStr">
        <is>
          <t>Visitors to /hoc-phi pages | Last 14 days</t>
        </is>
      </c>
      <c r="D64" s="252" t="inlineStr">
        <is>
          <t>2K-8K</t>
        </is>
      </c>
      <c r="E64" s="252" t="inlineStr">
        <is>
          <t>Retarget_7d_Hot</t>
        </is>
      </c>
      <c r="F64" s="252" t="inlineStr">
        <is>
          <t>Auto</t>
        </is>
      </c>
      <c r="G64" s="252" t="inlineStr">
        <is>
          <t>Highest intent</t>
        </is>
      </c>
    </row>
    <row r="65" ht="23.85" customHeight="1" s="248">
      <c r="A65" s="251" t="inlineStr">
        <is>
          <t>Custom_Video_50</t>
        </is>
      </c>
      <c r="B65" s="251" t="inlineStr">
        <is>
          <t>Custom</t>
        </is>
      </c>
      <c r="C65" s="251" t="inlineStr">
        <is>
          <t>Video viewers 50%+ | Last 30 days</t>
        </is>
      </c>
      <c r="D65" s="251" t="inlineStr">
        <is>
          <t>10K-30K</t>
        </is>
      </c>
      <c r="E65" s="251" t="inlineStr">
        <is>
          <t>Retarget_21d_Warm</t>
        </is>
      </c>
      <c r="F65" s="251" t="inlineStr">
        <is>
          <t>Auto</t>
        </is>
      </c>
      <c r="G65" s="251" t="inlineStr">
        <is>
          <t>Engaged viewers</t>
        </is>
      </c>
    </row>
    <row r="66" ht="15" customHeight="1" s="248">
      <c r="A66" s="252" t="inlineStr">
        <is>
          <t>Exclusion_Enrolled</t>
        </is>
      </c>
      <c r="B66" s="252" t="inlineStr">
        <is>
          <t>Custom</t>
        </is>
      </c>
      <c r="C66" s="252" t="inlineStr">
        <is>
          <t>Upload enrolled parents list</t>
        </is>
      </c>
      <c r="D66" s="252" t="inlineStr">
        <is>
          <t>1K-5K</t>
        </is>
      </c>
      <c r="E66" s="252" t="inlineStr">
        <is>
          <t>ALL campaigns</t>
        </is>
      </c>
      <c r="F66" s="252" t="inlineStr">
        <is>
          <t>Hàng tháng</t>
        </is>
      </c>
      <c r="G66" s="252" t="inlineStr">
        <is>
          <t>MUST exclude always</t>
        </is>
      </c>
    </row>
    <row r="69">
      <c r="A69" s="492" t="inlineStr">
        <is>
          <t>CHI TIẾT CREATIVE QUẢNG CÁO (Detailed Ad Creative Specs)</t>
        </is>
      </c>
    </row>
    <row r="71">
      <c r="A71" s="506" t="inlineStr">
        <is>
          <t>Tên Ad</t>
        </is>
      </c>
      <c r="B71" s="506" t="inlineStr">
        <is>
          <t>Campaign</t>
        </is>
      </c>
      <c r="C71" s="506" t="inlineStr">
        <is>
          <t>Format</t>
        </is>
      </c>
      <c r="D71" s="506" t="inlineStr">
        <is>
          <t>Tiêu Đề (25 ký tự)</t>
        </is>
      </c>
      <c r="E71" s="506" t="inlineStr">
        <is>
          <t>Văn Bản Chính (125 ký tự)</t>
        </is>
      </c>
      <c r="F71" s="506" t="inlineStr">
        <is>
          <t>Mô Tả</t>
        </is>
      </c>
      <c r="G71" s="506" t="inlineStr">
        <is>
          <t>CTA</t>
        </is>
      </c>
      <c r="H71" s="506" t="inlineStr">
        <is>
          <t>Kích Thước Hình</t>
        </is>
      </c>
      <c r="I71" s="506" t="inlineStr">
        <is>
          <t>Đối Tượng</t>
        </is>
      </c>
      <c r="J71" s="506" t="inlineStr">
        <is>
          <t>Vị Trí</t>
        </is>
      </c>
      <c r="K71" s="506" t="inlineStr">
        <is>
          <t>Landing Page</t>
        </is>
      </c>
      <c r="L71" s="506" t="inlineStr">
        <is>
          <t>Variant</t>
        </is>
      </c>
      <c r="M71" s="506" t="inlineStr">
        <is>
          <t>CTR % Kỳ Vọng</t>
        </is>
      </c>
      <c r="N71" s="506" t="inlineStr">
        <is>
          <t>Budget/Ngày (VND)</t>
        </is>
      </c>
    </row>
    <row r="72">
      <c r="A72" s="507" t="inlineStr">
        <is>
          <t>MN_Carousel_01</t>
        </is>
      </c>
      <c r="B72" s="507" t="inlineStr">
        <is>
          <t>Q1: MN Awareness</t>
        </is>
      </c>
      <c r="C72" s="507" t="inlineStr">
        <is>
          <t>Carousel</t>
        </is>
      </c>
      <c r="D72" s="507" t="inlineStr">
        <is>
          <t>Mầm Non Chất Lượng</t>
        </is>
      </c>
      <c r="E72" s="507" t="inlineStr">
        <is>
          <t>Khám phá mầm non tuyệt vời với giáo viên chuyên nghiệp, môi trường an toàn và chương trình song ngữ.</t>
        </is>
      </c>
      <c r="F72" s="507" t="inlineStr">
        <is>
          <t>Học tập vui vẻ, phát triển toàn diện</t>
        </is>
      </c>
      <c r="G72" s="507" t="inlineStr">
        <is>
          <t>Xem Chi Tiết</t>
        </is>
      </c>
      <c r="H72" s="507" t="inlineStr">
        <is>
          <t>1200x628px</t>
        </is>
      </c>
      <c r="I72" s="507" t="inlineStr">
        <is>
          <t>P: 25-45 tuổi, con 3-5</t>
        </is>
      </c>
      <c r="J72" s="507" t="inlineStr">
        <is>
          <t>Feed, Stories</t>
        </is>
      </c>
      <c r="K72" s="507" t="inlineStr">
        <is>
          <t>https://khoaviet.edu.vn/mn</t>
        </is>
      </c>
      <c r="L72" s="507" t="inlineStr">
        <is>
          <t>A (Hero)</t>
        </is>
      </c>
      <c r="M72" s="508" t="n">
        <v>2.8</v>
      </c>
      <c r="N72" s="509" t="n">
        <v>300000</v>
      </c>
    </row>
    <row r="73">
      <c r="A73" s="507" t="inlineStr">
        <is>
          <t>MN_Video_01</t>
        </is>
      </c>
      <c r="B73" s="507" t="inlineStr">
        <is>
          <t>Q1: MN Awareness</t>
        </is>
      </c>
      <c r="C73" s="507" t="inlineStr">
        <is>
          <t>Video</t>
        </is>
      </c>
      <c r="D73" s="507" t="inlineStr">
        <is>
          <t>Ngày Hạnh Phúc Tại MN</t>
        </is>
      </c>
      <c r="E73" s="507" t="inlineStr">
        <is>
          <t>Video 30s giới thiệu hoạt động mầm non: chơi, học, vui cùng bạn. Kết thúc: "Ghi danh ngay!"</t>
        </is>
      </c>
      <c r="F73" s="507" t="inlineStr">
        <is>
          <t>30s video, 1920x1080</t>
        </is>
      </c>
      <c r="G73" s="507" t="inlineStr">
        <is>
          <t>Ghi Danh Ngay</t>
        </is>
      </c>
      <c r="H73" s="507" t="inlineStr">
        <is>
          <t>1920x1080px</t>
        </is>
      </c>
      <c r="I73" s="507" t="inlineStr">
        <is>
          <t>P: 25-45 tuổi, con 3-5</t>
        </is>
      </c>
      <c r="J73" s="507" t="inlineStr">
        <is>
          <t>Feed, Reels</t>
        </is>
      </c>
      <c r="K73" s="507" t="inlineStr">
        <is>
          <t>https://khoaviet.edu.vn/mn-video</t>
        </is>
      </c>
      <c r="L73" s="507" t="inlineStr">
        <is>
          <t>A</t>
        </is>
      </c>
      <c r="M73" s="508" t="n">
        <v>3.2</v>
      </c>
      <c r="N73" s="509" t="n">
        <v>350000</v>
      </c>
    </row>
    <row r="74">
      <c r="A74" s="507" t="inlineStr">
        <is>
          <t>TH_Image_01</t>
        </is>
      </c>
      <c r="B74" s="507" t="inlineStr">
        <is>
          <t>Q2: TH Enrollment</t>
        </is>
      </c>
      <c r="C74" s="507" t="inlineStr">
        <is>
          <t>Image</t>
        </is>
      </c>
      <c r="D74" s="507" t="inlineStr">
        <is>
          <t>Tiểu Học Tuyệt Vời</t>
        </is>
      </c>
      <c r="E74" s="507" t="inlineStr">
        <is>
          <t>Con bạn sẽ học với giáo viên giỏi, có cơ sở vật chất hiện đại, chương trình quốc tế. Ghi danh lớp 1 2026!</t>
        </is>
      </c>
      <c r="F74" s="507" t="inlineStr">
        <is>
          <t>Chương trình đa năng, cơ sở hiện đại</t>
        </is>
      </c>
      <c r="G74" s="507" t="inlineStr">
        <is>
          <t>Đăng Ký Tư Vấn</t>
        </is>
      </c>
      <c r="H74" s="507" t="inlineStr">
        <is>
          <t>1200x628px</t>
        </is>
      </c>
      <c r="I74" s="507" t="inlineStr">
        <is>
          <t>P: 30-50 tuổi, con 6-8</t>
        </is>
      </c>
      <c r="J74" s="507" t="inlineStr">
        <is>
          <t>Feed, Stories</t>
        </is>
      </c>
      <c r="K74" s="507" t="inlineStr">
        <is>
          <t>https://khoaviet.edu.vn/th-lop1</t>
        </is>
      </c>
      <c r="L74" s="507" t="inlineStr">
        <is>
          <t>B (Social Proof)</t>
        </is>
      </c>
      <c r="M74" s="508" t="n">
        <v>2.5</v>
      </c>
      <c r="N74" s="509" t="n">
        <v>280000</v>
      </c>
    </row>
    <row r="75">
      <c r="A75" s="507" t="inlineStr">
        <is>
          <t>TH_Carousel_01</t>
        </is>
      </c>
      <c r="B75" s="507" t="inlineStr">
        <is>
          <t>Q2: TH Enrollment</t>
        </is>
      </c>
      <c r="C75" s="507" t="inlineStr">
        <is>
          <t>Carousel</t>
        </is>
      </c>
      <c r="D75" s="507" t="inlineStr">
        <is>
          <t>Lớp 1 Năm 2026</t>
        </is>
      </c>
      <c r="E75" s="507" t="inlineStr">
        <is>
          <t>Slides: (1) Con nhà bạn học gì? (2) Cơ sở vật chất (3) Giáo viên tuyệt vời (4) Học bổng</t>
        </is>
      </c>
      <c r="F75" s="507" t="inlineStr">
        <is>
          <t>Tuyển sinh lớp 1 2026 - Open Day 20/4</t>
        </is>
      </c>
      <c r="G75" s="507" t="inlineStr">
        <is>
          <t>Dự Open Day</t>
        </is>
      </c>
      <c r="H75" s="507" t="inlineStr">
        <is>
          <t>1200x628px</t>
        </is>
      </c>
      <c r="I75" s="507" t="inlineStr">
        <is>
          <t>P: 30-50, con 6-8</t>
        </is>
      </c>
      <c r="J75" s="507" t="inlineStr">
        <is>
          <t>Feed, Stories</t>
        </is>
      </c>
      <c r="K75" s="507" t="inlineStr">
        <is>
          <t>https://khoaviet.edu.vn/openday</t>
        </is>
      </c>
      <c r="L75" s="507" t="inlineStr">
        <is>
          <t>A</t>
        </is>
      </c>
      <c r="M75" s="508" t="n">
        <v>3.1</v>
      </c>
      <c r="N75" s="509" t="n">
        <v>320000</v>
      </c>
    </row>
    <row r="76">
      <c r="A76" s="507" t="inlineStr">
        <is>
          <t>THCS_Image_01</t>
        </is>
      </c>
      <c r="B76" s="507" t="inlineStr">
        <is>
          <t>Q2: THCS Enrollment</t>
        </is>
      </c>
      <c r="C76" s="507" t="inlineStr">
        <is>
          <t>Image</t>
        </is>
      </c>
      <c r="D76" s="507" t="inlineStr">
        <is>
          <t>Cấp 1 Chất Lượng Cao</t>
        </is>
      </c>
      <c r="E76" s="507" t="inlineStr">
        <is>
          <t>Lớp 7 2026: Chương trình hiện đại, có học sinh giỏi, cơ sở phòng thí nghiệm đầy đủ.</t>
        </is>
      </c>
      <c r="F76" s="507" t="inlineStr">
        <is>
          <t>Chương trình chuẩn quốc tế, giáo viên chuyên</t>
        </is>
      </c>
      <c r="G76" s="507" t="inlineStr">
        <is>
          <t>Tư Vấn Miễn Phí</t>
        </is>
      </c>
      <c r="H76" s="507" t="inlineStr">
        <is>
          <t>1200x628px</t>
        </is>
      </c>
      <c r="I76" s="507" t="inlineStr">
        <is>
          <t>P: 35-55, con 10-12</t>
        </is>
      </c>
      <c r="J76" s="507" t="inlineStr">
        <is>
          <t>Feed, Stories</t>
        </is>
      </c>
      <c r="K76" s="507" t="inlineStr">
        <is>
          <t>https://khoaviet.edu.vn/thcs</t>
        </is>
      </c>
      <c r="L76" s="507" t="inlineStr">
        <is>
          <t>A</t>
        </is>
      </c>
      <c r="M76" s="508" t="n">
        <v>2.3</v>
      </c>
      <c r="N76" s="509" t="n">
        <v>260000</v>
      </c>
    </row>
    <row r="77">
      <c r="A77" s="507" t="inlineStr">
        <is>
          <t>THCS_Video_01</t>
        </is>
      </c>
      <c r="B77" s="507" t="inlineStr">
        <is>
          <t>Q2: THCS Enrollment</t>
        </is>
      </c>
      <c r="C77" s="507" t="inlineStr">
        <is>
          <t>Video</t>
        </is>
      </c>
      <c r="D77" s="507" t="inlineStr">
        <is>
          <t>THCS Xứng Đáng</t>
        </is>
      </c>
      <c r="E77" s="507" t="inlineStr">
        <is>
          <t>30s video: học sinh làm thí nghiệm, thảo luận, dự hội thi. "Con yêu trường từ ngày đầu"</t>
        </is>
      </c>
      <c r="F77" s="507" t="inlineStr">
        <is>
          <t>Video testimonial học sinh, 30s</t>
        </is>
      </c>
      <c r="G77" s="507" t="inlineStr">
        <is>
          <t>Xem Video</t>
        </is>
      </c>
      <c r="H77" s="507" t="inlineStr">
        <is>
          <t>1920x1080px</t>
        </is>
      </c>
      <c r="I77" s="507" t="inlineStr">
        <is>
          <t>P: 35-55, con 10-12</t>
        </is>
      </c>
      <c r="J77" s="507" t="inlineStr">
        <is>
          <t>Feed, Reels</t>
        </is>
      </c>
      <c r="K77" s="507" t="inlineStr">
        <is>
          <t>https://khoaviet.edu.vn/thcs-video</t>
        </is>
      </c>
      <c r="L77" s="507" t="inlineStr">
        <is>
          <t>B</t>
        </is>
      </c>
      <c r="M77" s="508" t="n">
        <v>2.9</v>
      </c>
      <c r="N77" s="509" t="n">
        <v>300000</v>
      </c>
    </row>
    <row r="78">
      <c r="A78" s="507" t="inlineStr">
        <is>
          <t>THPT_Carousel_01</t>
        </is>
      </c>
      <c r="B78" s="507" t="inlineStr">
        <is>
          <t>Q2: THPT Enrollment</t>
        </is>
      </c>
      <c r="C78" s="507" t="inlineStr">
        <is>
          <t>Carousel</t>
        </is>
      </c>
      <c r="D78" s="507" t="inlineStr">
        <is>
          <t>Lớp 10 2026 Tuyệt Vời</t>
        </is>
      </c>
      <c r="E78" s="507" t="inlineStr">
        <is>
          <t>Slides: (1) Lớp 10 là bước ngoặt (2) Giáo viên đầu ngành (3) Học bổng &amp; hỗ trợ (4) Cơ sở xịn</t>
        </is>
      </c>
      <c r="F78" s="507" t="inlineStr">
        <is>
          <t>Lớp 10 2026 - Ghi danh ngay!</t>
        </is>
      </c>
      <c r="G78" s="507" t="inlineStr">
        <is>
          <t>Ghi Danh</t>
        </is>
      </c>
      <c r="H78" s="507" t="inlineStr">
        <is>
          <t>1200x628px</t>
        </is>
      </c>
      <c r="I78" s="507" t="inlineStr">
        <is>
          <t>P: 40-60, con 14-16</t>
        </is>
      </c>
      <c r="J78" s="507" t="inlineStr">
        <is>
          <t>Feed, Stories</t>
        </is>
      </c>
      <c r="K78" s="507" t="inlineStr">
        <is>
          <t>https://khoaviet.edu.vn/lop10</t>
        </is>
      </c>
      <c r="L78" s="507" t="inlineStr">
        <is>
          <t>A</t>
        </is>
      </c>
      <c r="M78" s="508" t="n">
        <v>2.7</v>
      </c>
      <c r="N78" s="509" t="n">
        <v>310000</v>
      </c>
    </row>
    <row r="79">
      <c r="A79" s="507" t="inlineStr">
        <is>
          <t>THPT_Video_01</t>
        </is>
      </c>
      <c r="B79" s="507" t="inlineStr">
        <is>
          <t>Q2: THPT Enrollment</t>
        </is>
      </c>
      <c r="C79" s="507" t="inlineStr">
        <is>
          <t>Video</t>
        </is>
      </c>
      <c r="D79" s="507" t="inlineStr">
        <is>
          <t>Lớp 10 Xứng Đáng Chọn</t>
        </is>
      </c>
      <c r="E79" s="507" t="inlineStr">
        <is>
          <t>30s: học sinh nói về học tập, bạn bè, giáo viên. "Quyết định tốt nhất của tôi"</t>
        </is>
      </c>
      <c r="F79" s="507" t="inlineStr">
        <is>
          <t>Testimonial video cử nhân, 30s</t>
        </is>
      </c>
      <c r="G79" s="507" t="inlineStr">
        <is>
          <t>Liên Hệ</t>
        </is>
      </c>
      <c r="H79" s="507" t="inlineStr">
        <is>
          <t>1920x1080px</t>
        </is>
      </c>
      <c r="I79" s="507" t="inlineStr">
        <is>
          <t>P: 40-60, con 14-16</t>
        </is>
      </c>
      <c r="J79" s="507" t="inlineStr">
        <is>
          <t>Feed, Reels</t>
        </is>
      </c>
      <c r="K79" s="507" t="inlineStr">
        <is>
          <t>https://khoaviet.edu.vn/thpt-video</t>
        </is>
      </c>
      <c r="L79" s="507" t="inlineStr">
        <is>
          <t>B</t>
        </is>
      </c>
      <c r="M79" s="508" t="n">
        <v>2.8</v>
      </c>
      <c r="N79" s="509" t="n">
        <v>320000</v>
      </c>
    </row>
    <row r="80">
      <c r="A80" s="507" t="inlineStr">
        <is>
          <t>OpenDay_Carousel_01</t>
        </is>
      </c>
      <c r="B80" s="507" t="inlineStr">
        <is>
          <t>Q1: Launch</t>
        </is>
      </c>
      <c r="C80" s="507" t="inlineStr">
        <is>
          <t>Carousel</t>
        </is>
      </c>
      <c r="D80" s="507" t="inlineStr">
        <is>
          <t>Mở Cửa Ngày 20/4</t>
        </is>
      </c>
      <c r="E80" s="507" t="inlineStr">
        <is>
          <t>Slides: (1) Lớp mầm non (2) Lớp tiểu học (3) Lớp THCS (4) Lớp THPT + Đặt vé</t>
        </is>
      </c>
      <c r="F80" s="507" t="inlineStr">
        <is>
          <t>Open Day 20/4 - Miễn phí vé - Có quà tặng</t>
        </is>
      </c>
      <c r="G80" s="507" t="inlineStr">
        <is>
          <t>Đặt Vé Ngay</t>
        </is>
      </c>
      <c r="H80" s="507" t="inlineStr">
        <is>
          <t>1200x628px</t>
        </is>
      </c>
      <c r="I80" s="507" t="inlineStr">
        <is>
          <t>All: 25-60</t>
        </is>
      </c>
      <c r="J80" s="507" t="inlineStr">
        <is>
          <t>Feed, Stories</t>
        </is>
      </c>
      <c r="K80" s="507" t="inlineStr">
        <is>
          <t>https://khoaviet.edu.vn/openday</t>
        </is>
      </c>
      <c r="L80" s="507" t="inlineStr">
        <is>
          <t>A</t>
        </is>
      </c>
      <c r="M80" s="508" t="n">
        <v>4.2</v>
      </c>
      <c r="N80" s="509" t="n">
        <v>400000</v>
      </c>
    </row>
    <row r="81">
      <c r="A81" s="507" t="inlineStr">
        <is>
          <t>Scholarship_Image_01</t>
        </is>
      </c>
      <c r="B81" s="507" t="inlineStr">
        <is>
          <t>Q3: Consideration</t>
        </is>
      </c>
      <c r="C81" s="507" t="inlineStr">
        <is>
          <t>Image</t>
        </is>
      </c>
      <c r="D81" s="507" t="inlineStr">
        <is>
          <t>Học Bổng Đến 20 Triệu</t>
        </is>
      </c>
      <c r="E81" s="507" t="inlineStr">
        <is>
          <t>Năm 2026, Trường Việt Anh cấp học bổng cho 50 học sinh xuất sắc. Bạn có tư cách không?</t>
        </is>
      </c>
      <c r="F81" s="507" t="inlineStr">
        <is>
          <t>Học bổng, hỗ trợ tài chính</t>
        </is>
      </c>
      <c r="G81" s="507" t="inlineStr">
        <is>
          <t>Xem Điều Kiện</t>
        </is>
      </c>
      <c r="H81" s="507" t="inlineStr">
        <is>
          <t>1200x628px</t>
        </is>
      </c>
      <c r="I81" s="507" t="inlineStr">
        <is>
          <t>P: 35-60, con &gt;6</t>
        </is>
      </c>
      <c r="J81" s="507" t="inlineStr">
        <is>
          <t>Feed</t>
        </is>
      </c>
      <c r="K81" s="507" t="inlineStr">
        <is>
          <t>https://khoaviet.edu.vn/scholarship</t>
        </is>
      </c>
      <c r="L81" s="507" t="inlineStr">
        <is>
          <t>A</t>
        </is>
      </c>
      <c r="M81" s="508" t="n">
        <v>2.1</v>
      </c>
      <c r="N81" s="509" t="n">
        <v>220000</v>
      </c>
    </row>
    <row r="82">
      <c r="A82" s="507" t="inlineStr">
        <is>
          <t>Teachers_Image_01</t>
        </is>
      </c>
      <c r="B82" s="507" t="inlineStr">
        <is>
          <t>Q1: Brand Awareness</t>
        </is>
      </c>
      <c r="C82" s="507" t="inlineStr">
        <is>
          <t>Image</t>
        </is>
      </c>
      <c r="D82" s="507" t="inlineStr">
        <is>
          <t>Đội Ngũ Giáo Viên Tuyệt Vời</t>
        </is>
      </c>
      <c r="E82" s="507" t="inlineStr">
        <is>
          <t>Hơn 80 giáo viên có trình độ cao, kinh nghiệm 10+ năm. Hết lòng vì con em.</t>
        </is>
      </c>
      <c r="F82" s="507" t="inlineStr">
        <is>
          <t>Giáo viên giỏi, yêu thương, trách nhiệm</t>
        </is>
      </c>
      <c r="G82" s="507" t="inlineStr">
        <is>
          <t>Tìm Hiểu</t>
        </is>
      </c>
      <c r="H82" s="507" t="inlineStr">
        <is>
          <t>1200x628px</t>
        </is>
      </c>
      <c r="I82" s="507" t="inlineStr">
        <is>
          <t>All: 25-60</t>
        </is>
      </c>
      <c r="J82" s="507" t="inlineStr">
        <is>
          <t>Feed, Stories</t>
        </is>
      </c>
      <c r="K82" s="507" t="inlineStr">
        <is>
          <t>https://khoaviet.edu.vn/teachers</t>
        </is>
      </c>
      <c r="L82" s="507" t="inlineStr">
        <is>
          <t>A</t>
        </is>
      </c>
      <c r="M82" s="508" t="n">
        <v>2.4</v>
      </c>
      <c r="N82" s="509" t="n">
        <v>240000</v>
      </c>
    </row>
    <row r="83">
      <c r="A83" s="507" t="inlineStr">
        <is>
          <t>Facilities_Carousel_01</t>
        </is>
      </c>
      <c r="B83" s="507" t="inlineStr">
        <is>
          <t>Q1: Brand Awareness</t>
        </is>
      </c>
      <c r="C83" s="507" t="inlineStr">
        <is>
          <t>Carousel</t>
        </is>
      </c>
      <c r="D83" s="507" t="inlineStr">
        <is>
          <t>Cơ Sở Vật Chất Hiện Đại</t>
        </is>
      </c>
      <c r="E83" s="507" t="inlineStr">
        <is>
          <t>Slides: (1) Phòng học xịn (2) Sân chơi an toàn (3) Phòng máy tính (4) Thư viện</t>
        </is>
      </c>
      <c r="F83" s="507" t="inlineStr">
        <is>
          <t>6 cơ sở, 100% an toàn, hiện đại</t>
        </is>
      </c>
      <c r="G83" s="507" t="inlineStr">
        <is>
          <t>Xem Tour</t>
        </is>
      </c>
      <c r="H83" s="507" t="inlineStr">
        <is>
          <t>1200x628px</t>
        </is>
      </c>
      <c r="I83" s="507" t="inlineStr">
        <is>
          <t>All: 25-60</t>
        </is>
      </c>
      <c r="J83" s="507" t="inlineStr">
        <is>
          <t>Feed, Stories</t>
        </is>
      </c>
      <c r="K83" s="507" t="inlineStr">
        <is>
          <t>https://khoaviet.edu.vn/facilities</t>
        </is>
      </c>
      <c r="L83" s="507" t="inlineStr">
        <is>
          <t>A</t>
        </is>
      </c>
      <c r="M83" s="508" t="n">
        <v>2.6</v>
      </c>
      <c r="N83" s="509" t="n">
        <v>260000</v>
      </c>
    </row>
    <row r="84">
      <c r="A84" s="507" t="inlineStr">
        <is>
          <t>Bilingual_Image_01</t>
        </is>
      </c>
      <c r="B84" s="507" t="inlineStr">
        <is>
          <t>Q1: Brand Awareness</t>
        </is>
      </c>
      <c r="C84" s="507" t="inlineStr">
        <is>
          <t>Image</t>
        </is>
      </c>
      <c r="D84" s="507" t="inlineStr">
        <is>
          <t>Chương Trình Song Ngữ Anh-Việt</t>
        </is>
      </c>
      <c r="E84" s="507" t="inlineStr">
        <is>
          <t>Học tiếng Anh tự nhiên, từ lớp mầm non. Native speakers, phương pháp hiện đại.</t>
        </is>
      </c>
      <c r="F84" s="507" t="inlineStr">
        <is>
          <t>Song ngữ, tiếng Anh chuẩn quốc tế</t>
        </is>
      </c>
      <c r="G84" s="507" t="inlineStr">
        <is>
          <t>Tư Vấn Ngay</t>
        </is>
      </c>
      <c r="H84" s="507" t="inlineStr">
        <is>
          <t>1200x628px</t>
        </is>
      </c>
      <c r="I84" s="507" t="inlineStr">
        <is>
          <t>P: 25-55, con &gt;3</t>
        </is>
      </c>
      <c r="J84" s="507" t="inlineStr">
        <is>
          <t>Feed, Stories</t>
        </is>
      </c>
      <c r="K84" s="507" t="inlineStr">
        <is>
          <t>https://khoaviet.edu.vn/bilingual</t>
        </is>
      </c>
      <c r="L84" s="507" t="inlineStr">
        <is>
          <t>B</t>
        </is>
      </c>
      <c r="M84" s="508" t="n">
        <v>2.9</v>
      </c>
      <c r="N84" s="509" t="n">
        <v>280000</v>
      </c>
    </row>
    <row r="85">
      <c r="A85" s="507" t="inlineStr">
        <is>
          <t>Activities_Video_01</t>
        </is>
      </c>
      <c r="B85" s="507" t="inlineStr">
        <is>
          <t>Q1: Brand Awareness</t>
        </is>
      </c>
      <c r="C85" s="507" t="inlineStr">
        <is>
          <t>Video</t>
        </is>
      </c>
      <c r="D85" s="507" t="inlineStr">
        <is>
          <t>Hoạt Động Ngoại Khóa Phong Phú</t>
        </is>
      </c>
      <c r="E85" s="507" t="inlineStr">
        <is>
          <t>15s: học sinh chơi thể thao, nghệ thuật, sáng tạo. "Vui vẻ + Phát triển"</t>
        </is>
      </c>
      <c r="F85" s="507" t="inlineStr">
        <is>
          <t>Video hoạt động, 15s ngắn</t>
        </is>
      </c>
      <c r="G85" s="507" t="inlineStr">
        <is>
          <t>Xem Thêm</t>
        </is>
      </c>
      <c r="H85" s="507" t="inlineStr">
        <is>
          <t>1920x1080px</t>
        </is>
      </c>
      <c r="I85" s="507" t="inlineStr">
        <is>
          <t>All: 25-60</t>
        </is>
      </c>
      <c r="J85" s="507" t="inlineStr">
        <is>
          <t>Reels, Stories</t>
        </is>
      </c>
      <c r="K85" s="507" t="inlineStr">
        <is>
          <t>https://khoaviet.edu.vn/activities</t>
        </is>
      </c>
      <c r="L85" s="507" t="inlineStr">
        <is>
          <t>A</t>
        </is>
      </c>
      <c r="M85" s="508" t="n">
        <v>3.4</v>
      </c>
      <c r="N85" s="509" t="n">
        <v>290000</v>
      </c>
    </row>
    <row r="86">
      <c r="A86" s="507" t="inlineStr">
        <is>
          <t>Safety_Image_01</t>
        </is>
      </c>
      <c r="B86" s="507" t="inlineStr">
        <is>
          <t>Q1: Brand Awareness</t>
        </is>
      </c>
      <c r="C86" s="507" t="inlineStr">
        <is>
          <t>Image</t>
        </is>
      </c>
      <c r="D86" s="507" t="inlineStr">
        <is>
          <t>100% An Toàn Cho Bé</t>
        </is>
      </c>
      <c r="E86" s="507" t="inlineStr">
        <is>
          <t>Camera 24/7, bảo vệ chuyên nghiệp, hệ thống cảnh báo tự động. Bố mẹ yên tâm.</t>
        </is>
      </c>
      <c r="F86" s="507" t="inlineStr">
        <is>
          <t>An toàn, bảo mật, chăm sóc</t>
        </is>
      </c>
      <c r="G86" s="507" t="inlineStr">
        <is>
          <t>Tìm Hiểu</t>
        </is>
      </c>
      <c r="H86" s="507" t="inlineStr">
        <is>
          <t>1200x628px</t>
        </is>
      </c>
      <c r="I86" s="507" t="inlineStr">
        <is>
          <t>All: 25-50</t>
        </is>
      </c>
      <c r="J86" s="507" t="inlineStr">
        <is>
          <t>Feed, Stories</t>
        </is>
      </c>
      <c r="K86" s="507" t="inlineStr">
        <is>
          <t>https://khoaviet.edu.vn/safety</t>
        </is>
      </c>
      <c r="L86" s="507" t="inlineStr">
        <is>
          <t>A</t>
        </is>
      </c>
      <c r="M86" s="508" t="n">
        <v>2.2</v>
      </c>
      <c r="N86" s="509" t="n">
        <v>200000</v>
      </c>
    </row>
    <row r="87">
      <c r="A87" s="507" t="inlineStr">
        <is>
          <t>Testimonial_Video_01</t>
        </is>
      </c>
      <c r="B87" s="507" t="inlineStr">
        <is>
          <t>Q3: Consideration</t>
        </is>
      </c>
      <c r="C87" s="507" t="inlineStr">
        <is>
          <t>Video</t>
        </is>
      </c>
      <c r="D87" s="507" t="inlineStr">
        <is>
          <t>Phụ Huynh Nói Gì?</t>
        </is>
      </c>
      <c r="E87" s="507" t="inlineStr">
        <is>
          <t>30s testimonial: 2-3 phụ huynh chia sẻ cảm nhận. "Con tôi tiến bộ vô cùng"</t>
        </is>
      </c>
      <c r="F87" s="507" t="inlineStr">
        <is>
          <t>Video chứng thực, 30s</t>
        </is>
      </c>
      <c r="G87" s="507" t="inlineStr">
        <is>
          <t>Xem Đầy Đủ</t>
        </is>
      </c>
      <c r="H87" s="507" t="inlineStr">
        <is>
          <t>1920x1080px</t>
        </is>
      </c>
      <c r="I87" s="507" t="inlineStr">
        <is>
          <t>All: 25-60</t>
        </is>
      </c>
      <c r="J87" s="507" t="inlineStr">
        <is>
          <t>Feed, Stories</t>
        </is>
      </c>
      <c r="K87" s="507" t="inlineStr">
        <is>
          <t>https://khoaviet.edu.vn/testimonials</t>
        </is>
      </c>
      <c r="L87" s="507" t="inlineStr">
        <is>
          <t>A</t>
        </is>
      </c>
      <c r="M87" s="508" t="n">
        <v>3.5</v>
      </c>
      <c r="N87" s="509" t="n">
        <v>310000</v>
      </c>
    </row>
    <row r="88">
      <c r="A88" s="507" t="inlineStr">
        <is>
          <t>Tuition_Image_01</t>
        </is>
      </c>
      <c r="B88" s="507" t="inlineStr">
        <is>
          <t>Q3: Consideration</t>
        </is>
      </c>
      <c r="C88" s="507" t="inlineStr">
        <is>
          <t>Image</t>
        </is>
      </c>
      <c r="D88" s="507" t="inlineStr">
        <is>
          <t>Học Phí Hợp Lý + Nhiều Gói Hỗ Trợ</t>
        </is>
      </c>
      <c r="E88" s="507" t="inlineStr">
        <is>
          <t>Trường Việt Anh: Học phí từ 2-5 triệu/tháng, linh hoạt, có gói bán phần thời gian.</t>
        </is>
      </c>
      <c r="F88" s="507" t="inlineStr">
        <is>
          <t>Giá cạnh tranh, hỗ trợ tài chính</t>
        </is>
      </c>
      <c r="G88" s="507" t="inlineStr">
        <is>
          <t>Xem Chi Phí</t>
        </is>
      </c>
      <c r="H88" s="507" t="inlineStr">
        <is>
          <t>1200x628px</t>
        </is>
      </c>
      <c r="I88" s="507" t="inlineStr">
        <is>
          <t>P: 30-60</t>
        </is>
      </c>
      <c r="J88" s="507" t="inlineStr">
        <is>
          <t>Feed</t>
        </is>
      </c>
      <c r="K88" s="507" t="inlineStr">
        <is>
          <t>https://khoaviet.edu.vn/tuition</t>
        </is>
      </c>
      <c r="L88" s="507" t="inlineStr">
        <is>
          <t>A</t>
        </is>
      </c>
      <c r="M88" s="508" t="n">
        <v>1.9</v>
      </c>
      <c r="N88" s="509" t="n">
        <v>180000</v>
      </c>
    </row>
    <row r="89">
      <c r="A89" s="507" t="inlineStr">
        <is>
          <t>Hybrid_Learning_Image_01</t>
        </is>
      </c>
      <c r="B89" s="507" t="inlineStr">
        <is>
          <t>Q3: Consideration</t>
        </is>
      </c>
      <c r="C89" s="507" t="inlineStr">
        <is>
          <t>Image</t>
        </is>
      </c>
      <c r="D89" s="507" t="inlineStr">
        <is>
          <t>Học Tập Linh Hoạt: Online + Offline</t>
        </is>
      </c>
      <c r="E89" s="507" t="inlineStr">
        <is>
          <t>Nếu con bệnh hay cần linh hoạt, có thể học online. Khi đến trường, học offline bình thường.</t>
        </is>
      </c>
      <c r="F89" s="507" t="inlineStr">
        <is>
          <t>Mô hình hybrid, linh hoạt, an toàn</t>
        </is>
      </c>
      <c r="G89" s="507" t="inlineStr">
        <is>
          <t>Tư Vấn</t>
        </is>
      </c>
      <c r="H89" s="507" t="inlineStr">
        <is>
          <t>1200x628px</t>
        </is>
      </c>
      <c r="I89" s="507" t="inlineStr">
        <is>
          <t>All: 25-60</t>
        </is>
      </c>
      <c r="J89" s="507" t="inlineStr">
        <is>
          <t>Feed, Stories</t>
        </is>
      </c>
      <c r="K89" s="507" t="inlineStr">
        <is>
          <t>https://khoaviet.edu.vn/hybrid</t>
        </is>
      </c>
      <c r="L89" s="507" t="inlineStr">
        <is>
          <t>A</t>
        </is>
      </c>
      <c r="M89" s="508" t="n">
        <v>2.3</v>
      </c>
      <c r="N89" s="509" t="n">
        <v>210000</v>
      </c>
    </row>
    <row r="90">
      <c r="A90" s="507" t="inlineStr">
        <is>
          <t>Promo_Limited_01</t>
        </is>
      </c>
      <c r="B90" s="507" t="inlineStr">
        <is>
          <t>Q1: Launch</t>
        </is>
      </c>
      <c r="C90" s="507" t="inlineStr">
        <is>
          <t>Image</t>
        </is>
      </c>
      <c r="D90" s="507" t="inlineStr">
        <is>
          <t>Ưu Đãi Sớm Ghi Danh T4</t>
        </is>
      </c>
      <c r="E90" s="507" t="inlineStr">
        <is>
          <t>Ghi danh từ 1-15/4: Giảm 10% học phí tháng 4. Số lượng hạn chế!</t>
        </is>
      </c>
      <c r="F90" s="507" t="inlineStr">
        <is>
          <t>Khuyến mãi sớm ghi danh, hạn chế</t>
        </is>
      </c>
      <c r="G90" s="507" t="inlineStr">
        <is>
          <t>Ghi Danh Ngay</t>
        </is>
      </c>
      <c r="H90" s="507" t="inlineStr">
        <is>
          <t>1200x628px</t>
        </is>
      </c>
      <c r="I90" s="507" t="inlineStr">
        <is>
          <t>All: 25-60</t>
        </is>
      </c>
      <c r="J90" s="507" t="inlineStr">
        <is>
          <t>Feed, Stories</t>
        </is>
      </c>
      <c r="K90" s="507" t="inlineStr">
        <is>
          <t>https://khoaviet.edu.vn/promo</t>
        </is>
      </c>
      <c r="L90" s="507" t="inlineStr">
        <is>
          <t>A</t>
        </is>
      </c>
      <c r="M90" s="508" t="n">
        <v>3.8</v>
      </c>
      <c r="N90" s="509" t="n">
        <v>350000</v>
      </c>
    </row>
    <row r="93">
      <c r="A93" s="533" t="inlineStr">
        <is>
          <t>B. CAMPAIGNS THEO PHỄU — CHI TIẾT TỪNG AD SET + AD</t>
        </is>
      </c>
    </row>
    <row r="95">
      <c r="A95" s="495" t="inlineStr">
        <is>
          <t>Campaign Name</t>
        </is>
      </c>
      <c r="B95" s="495" t="inlineStr">
        <is>
          <t>Objective</t>
        </is>
      </c>
      <c r="C95" s="495" t="inlineStr">
        <is>
          <t>Ad Set Name</t>
        </is>
      </c>
      <c r="D95" s="495" t="inlineStr">
        <is>
          <t>Audience (Include)</t>
        </is>
      </c>
      <c r="E95" s="495" t="inlineStr">
        <is>
          <t>Audience (Exclude)</t>
        </is>
      </c>
      <c r="F95" s="495" t="inlineStr">
        <is>
          <t>Age</t>
        </is>
      </c>
      <c r="G95" s="495" t="inlineStr">
        <is>
          <t>Location</t>
        </is>
      </c>
      <c r="H95" s="495" t="inlineStr">
        <is>
          <t>Budget/day</t>
        </is>
      </c>
      <c r="I95" s="495" t="inlineStr">
        <is>
          <t>Ad Name</t>
        </is>
      </c>
      <c r="J95" s="495" t="inlineStr">
        <is>
          <t>Format</t>
        </is>
      </c>
      <c r="K95" s="495" t="inlineStr">
        <is>
          <t>Headline</t>
        </is>
      </c>
      <c r="L95" s="495" t="inlineStr">
        <is>
          <t>Primary Text</t>
        </is>
      </c>
      <c r="M95" s="495" t="inlineStr">
        <is>
          <t>CTA</t>
        </is>
      </c>
      <c r="N95" s="495" t="inlineStr">
        <is>
          <t>Landing Page URL</t>
        </is>
      </c>
      <c r="O95" s="495" t="inlineStr">
        <is>
          <t>Pixel Events</t>
        </is>
      </c>
      <c r="P95" s="495" t="inlineStr">
        <is>
          <t>Remark</t>
        </is>
      </c>
    </row>
    <row r="96">
      <c r="A96" s="499" t="inlineStr">
        <is>
          <t>MN_Awareness_T4-T9_TopFunnel</t>
        </is>
      </c>
      <c r="B96" s="499" t="inlineStr">
        <is>
          <t>Brand Awareness</t>
        </is>
      </c>
      <c r="C96" s="499" t="inlineStr">
        <is>
          <t>LAL_Enrolled_1%</t>
        </is>
      </c>
      <c r="D96" s="500" t="inlineStr">
        <is>
          <t>LAL_Enrolled 1% | GV+BT+TS area</t>
        </is>
      </c>
      <c r="E96" s="500" t="inlineStr">
        <is>
          <t>FormSubmitted, Enrolled</t>
        </is>
      </c>
      <c r="F96" s="500" t="inlineStr">
        <is>
          <t>25-40</t>
        </is>
      </c>
      <c r="G96" s="500" t="inlineStr">
        <is>
          <t>HCM - District 1,3,7</t>
        </is>
      </c>
      <c r="H96" s="500" t="inlineStr">
        <is>
          <t>200000</t>
        </is>
      </c>
      <c r="I96" s="500" t="inlineStr">
        <is>
          <t>MN_Carousel_5Reasons</t>
        </is>
      </c>
      <c r="J96" s="500" t="inlineStr">
        <is>
          <t>Carousel</t>
        </is>
      </c>
      <c r="K96" s="500" t="inlineStr">
        <is>
          <t>5 lý do chọn Việt Anh</t>
        </is>
      </c>
      <c r="L96" s="500" t="inlineStr">
        <is>
          <t>Lợi ích tối ưu cho con em. Môi trường song ngữ, tự do sáng tạo, cơ sở vật chất hiện đại.</t>
        </is>
      </c>
      <c r="M96" s="500" t="inlineStr">
        <is>
          <t>Tìm hiểu thêm</t>
        </is>
      </c>
      <c r="N96" s="500" t="inlineStr">
        <is>
          <t>forms.truongvietanh.com/tuyen-sinh-mam-non</t>
        </is>
      </c>
      <c r="O96" s="500" t="inlineStr">
        <is>
          <t>ViewContent</t>
        </is>
      </c>
      <c r="P96" s="500" t="inlineStr">
        <is>
          <t>Top funnel carousel</t>
        </is>
      </c>
    </row>
    <row r="97">
      <c r="A97" s="499" t="inlineStr">
        <is>
          <t>MN_Awareness_T4-T9_TopFunnel</t>
        </is>
      </c>
      <c r="B97" s="499" t="inlineStr">
        <is>
          <t>Brand Awareness</t>
        </is>
      </c>
      <c r="C97" s="499" t="inlineStr">
        <is>
          <t>LAL_Enrolled_1%</t>
        </is>
      </c>
      <c r="D97" s="500" t="inlineStr">
        <is>
          <t>LAL_Enrolled 1% | GV+BT+TS area</t>
        </is>
      </c>
      <c r="E97" s="500" t="inlineStr">
        <is>
          <t>FormSubmitted, Enrolled</t>
        </is>
      </c>
      <c r="F97" s="500" t="inlineStr">
        <is>
          <t>25-40</t>
        </is>
      </c>
      <c r="G97" s="500" t="inlineStr">
        <is>
          <t>HCM - District 1,3,7</t>
        </is>
      </c>
      <c r="H97" s="500" t="inlineStr">
        <is>
          <t>200000</t>
        </is>
      </c>
      <c r="I97" s="500" t="inlineStr">
        <is>
          <t>MN_Video_TourSchool</t>
        </is>
      </c>
      <c r="J97" s="500" t="inlineStr">
        <is>
          <t>Video</t>
        </is>
      </c>
      <c r="K97" s="500" t="inlineStr">
        <is>
          <t>Ngôi trường nào cho con?</t>
        </is>
      </c>
      <c r="L97" s="500" t="inlineStr">
        <is>
          <t>Chuyến tham quan Việt Anh - nơi con yêu thích</t>
        </is>
      </c>
      <c r="M97" s="500" t="inlineStr">
        <is>
          <t>Đăng ký tư vấn</t>
        </is>
      </c>
      <c r="N97" s="500" t="inlineStr">
        <is>
          <t>forms.truongvietanh.com/tuyen-sinh-mam-non</t>
        </is>
      </c>
      <c r="O97" s="500" t="inlineStr">
        <is>
          <t>ViewContent</t>
        </is>
      </c>
      <c r="P97" s="500" t="inlineStr">
        <is>
          <t>30s video hook</t>
        </is>
      </c>
    </row>
    <row r="98">
      <c r="A98" s="499" t="inlineStr">
        <is>
          <t>MN_Awareness_T4-T9_TopFunnel</t>
        </is>
      </c>
      <c r="B98" s="499" t="inlineStr">
        <is>
          <t>Brand Awareness</t>
        </is>
      </c>
      <c r="C98" s="499" t="inlineStr">
        <is>
          <t>LAL_Enrolled_1%</t>
        </is>
      </c>
      <c r="D98" s="500" t="inlineStr">
        <is>
          <t>LAL_Enrolled 1% | GV+BT+TS area</t>
        </is>
      </c>
      <c r="E98" s="500" t="inlineStr">
        <is>
          <t>FormSubmitted, Enrolled</t>
        </is>
      </c>
      <c r="F98" s="500" t="inlineStr">
        <is>
          <t>25-40</t>
        </is>
      </c>
      <c r="G98" s="500" t="inlineStr">
        <is>
          <t>HCM - District 1,3,7</t>
        </is>
      </c>
      <c r="H98" s="500" t="inlineStr">
        <is>
          <t>200000</t>
        </is>
      </c>
      <c r="I98" s="500" t="inlineStr">
        <is>
          <t>MN_Reels_BTS</t>
        </is>
      </c>
      <c r="J98" s="500" t="inlineStr">
        <is>
          <t>Reels</t>
        </is>
      </c>
      <c r="K98" s="500" t="inlineStr">
        <is>
          <t>Behind the scenes Mầm Non</t>
        </is>
      </c>
      <c r="L98" s="500" t="inlineStr">
        <is>
          <t>Ngày hôm nay ở Việt Anh...</t>
        </is>
      </c>
      <c r="M98" s="500" t="inlineStr">
        <is>
          <t>Xem thêm</t>
        </is>
      </c>
      <c r="N98" s="500" t="inlineStr">
        <is>
          <t>forms.truongvietanh.com/tuyen-sinh-mam-non</t>
        </is>
      </c>
      <c r="O98" s="500" t="inlineStr">
        <is>
          <t>ViewContent</t>
        </is>
      </c>
      <c r="P98" s="500" t="inlineStr">
        <is>
          <t>15s trending music</t>
        </is>
      </c>
    </row>
    <row r="99">
      <c r="A99" s="499" t="inlineStr">
        <is>
          <t>MN_Awareness_T4-T9_TopFunnel</t>
        </is>
      </c>
      <c r="B99" s="499" t="inlineStr">
        <is>
          <t>Brand Awareness</t>
        </is>
      </c>
      <c r="C99" s="499" t="inlineStr">
        <is>
          <t>Interest_Parents_25-40</t>
        </is>
      </c>
      <c r="D99" s="500" t="inlineStr">
        <is>
          <t>Parents with 2-5yo kids | Parenting interest</t>
        </is>
      </c>
      <c r="E99" s="500" t="inlineStr">
        <is>
          <t>FormSubmitted, Enrolled</t>
        </is>
      </c>
      <c r="F99" s="500" t="inlineStr">
        <is>
          <t>25-40</t>
        </is>
      </c>
      <c r="G99" s="500" t="inlineStr">
        <is>
          <t>HCM</t>
        </is>
      </c>
      <c r="H99" s="500" t="inlineStr">
        <is>
          <t>150000</t>
        </is>
      </c>
      <c r="I99" s="500" t="inlineStr">
        <is>
          <t>MN_Carousel_Campus</t>
        </is>
      </c>
      <c r="J99" s="500" t="inlineStr">
        <is>
          <t>Carousel</t>
        </is>
      </c>
      <c r="K99" s="500" t="inlineStr">
        <is>
          <t>Cơ sở vật chất tuyệt vời</t>
        </is>
      </c>
      <c r="L99" s="500" t="inlineStr">
        <is>
          <t>Tham tour và trải nghiệm</t>
        </is>
      </c>
      <c r="M99" s="500" t="inlineStr">
        <is>
          <t>Tìm hiểu thêm</t>
        </is>
      </c>
      <c r="N99" s="500" t="inlineStr">
        <is>
          <t>forms.truongvietanh.com/tuyen-sinh-mam-non</t>
        </is>
      </c>
      <c r="O99" s="500" t="inlineStr">
        <is>
          <t>ViewContent</t>
        </is>
      </c>
      <c r="P99" s="500" t="inlineStr">
        <is>
          <t>Interest targeting</t>
        </is>
      </c>
    </row>
    <row r="100">
      <c r="A100" s="499" t="inlineStr">
        <is>
          <t>MN_Awareness_T4-T9_TopFunnel</t>
        </is>
      </c>
      <c r="B100" s="499" t="inlineStr">
        <is>
          <t>Brand Awareness</t>
        </is>
      </c>
      <c r="C100" s="499" t="inlineStr">
        <is>
          <t>Interest_Parents_25-40</t>
        </is>
      </c>
      <c r="D100" s="500" t="inlineStr">
        <is>
          <t>Parents with 2-5yo kids | Parenting interest</t>
        </is>
      </c>
      <c r="E100" s="500" t="inlineStr">
        <is>
          <t>FormSubmitted, Enrolled</t>
        </is>
      </c>
      <c r="F100" s="500" t="inlineStr">
        <is>
          <t>25-40</t>
        </is>
      </c>
      <c r="G100" s="500" t="inlineStr">
        <is>
          <t>HCM</t>
        </is>
      </c>
      <c r="H100" s="500" t="inlineStr">
        <is>
          <t>150000</t>
        </is>
      </c>
      <c r="I100" s="500" t="inlineStr">
        <is>
          <t>MN_Video_Curriculum</t>
        </is>
      </c>
      <c r="J100" s="500" t="inlineStr">
        <is>
          <t>Video</t>
        </is>
      </c>
      <c r="K100" s="500" t="inlineStr">
        <is>
          <t>Chương trình học Mầm Non</t>
        </is>
      </c>
      <c r="L100" s="500" t="inlineStr">
        <is>
          <t>Tương tác, chơi, học - cân bằng hoàn hảo</t>
        </is>
      </c>
      <c r="M100" s="500" t="inlineStr">
        <is>
          <t>Đăng ký tư vấn</t>
        </is>
      </c>
      <c r="N100" s="500" t="inlineStr">
        <is>
          <t>forms.truongvietanh.com/tuyen-sinh-mam-non</t>
        </is>
      </c>
      <c r="O100" s="500" t="inlineStr">
        <is>
          <t>ViewContent</t>
        </is>
      </c>
      <c r="P100" s="500" t="inlineStr">
        <is>
          <t>30s curriculum overview</t>
        </is>
      </c>
    </row>
    <row r="101">
      <c r="A101" s="499" t="inlineStr">
        <is>
          <t>MN_Awareness_T4-T9_TopFunnel</t>
        </is>
      </c>
      <c r="B101" s="499" t="inlineStr">
        <is>
          <t>Brand Awareness</t>
        </is>
      </c>
      <c r="C101" s="499" t="inlineStr">
        <is>
          <t>Interest_Parents_25-40</t>
        </is>
      </c>
      <c r="D101" s="500" t="inlineStr">
        <is>
          <t>Parents with 2-5yo kids | Parenting interest</t>
        </is>
      </c>
      <c r="E101" s="500" t="inlineStr">
        <is>
          <t>FormSubmitted, Enrolled</t>
        </is>
      </c>
      <c r="F101" s="500" t="inlineStr">
        <is>
          <t>25-40</t>
        </is>
      </c>
      <c r="G101" s="500" t="inlineStr">
        <is>
          <t>HCM</t>
        </is>
      </c>
      <c r="H101" s="500" t="inlineStr">
        <is>
          <t>150000</t>
        </is>
      </c>
      <c r="I101" s="500" t="inlineStr">
        <is>
          <t>MN_Reels_Activities</t>
        </is>
      </c>
      <c r="J101" s="500" t="inlineStr">
        <is>
          <t>Reels</t>
        </is>
      </c>
      <c r="K101" s="500" t="inlineStr">
        <is>
          <t>Hoạt động tại lớp</t>
        </is>
      </c>
      <c r="L101" s="500" t="inlineStr">
        <is>
          <t>Trẻ vui vẻ, tự tin</t>
        </is>
      </c>
      <c r="M101" s="500" t="inlineStr">
        <is>
          <t>Xem thêm</t>
        </is>
      </c>
      <c r="N101" s="500" t="inlineStr">
        <is>
          <t>forms.truongvietanh.com/tuyen-sinh-mam-non</t>
        </is>
      </c>
      <c r="O101" s="500" t="inlineStr">
        <is>
          <t>ViewContent</t>
        </is>
      </c>
      <c r="P101" s="500" t="inlineStr">
        <is>
          <t>15s activities</t>
        </is>
      </c>
    </row>
    <row r="102">
      <c r="A102" s="499" t="inlineStr">
        <is>
          <t>MN_Awareness_T4-T9_TopFunnel</t>
        </is>
      </c>
      <c r="B102" s="499" t="inlineStr">
        <is>
          <t>Brand Awareness</t>
        </is>
      </c>
      <c r="C102" s="499" t="inlineStr">
        <is>
          <t>Custom_MN_PageVisitors_Exclude_FormComplete</t>
        </is>
      </c>
      <c r="D102" s="500" t="inlineStr">
        <is>
          <t>Website visitors MN pages</t>
        </is>
      </c>
      <c r="E102" s="500" t="inlineStr">
        <is>
          <t>FormSubmitted</t>
        </is>
      </c>
      <c r="F102" s="500" t="inlineStr">
        <is>
          <t>25-40</t>
        </is>
      </c>
      <c r="G102" s="500" t="inlineStr">
        <is>
          <t>HCM</t>
        </is>
      </c>
      <c r="H102" s="500" t="inlineStr">
        <is>
          <t>100000</t>
        </is>
      </c>
      <c r="I102" s="500" t="inlineStr">
        <is>
          <t>MN_Testimonial_PH</t>
        </is>
      </c>
      <c r="J102" s="500" t="inlineStr">
        <is>
          <t>Video</t>
        </is>
      </c>
      <c r="K102" s="500" t="inlineStr">
        <is>
          <t>Phụ huynh nói gì?</t>
        </is>
      </c>
      <c r="L102" s="500" t="inlineStr">
        <is>
          <t>Nghe từ bố mẹ như mình...</t>
        </is>
      </c>
      <c r="M102" s="500" t="inlineStr">
        <is>
          <t>Xem lời khen</t>
        </is>
      </c>
      <c r="N102" s="500" t="inlineStr">
        <is>
          <t>forms.truongvietanh.com/tuyen-sinh-mam-non/phu-huynh-noi-gi</t>
        </is>
      </c>
      <c r="O102" s="500" t="inlineStr">
        <is>
          <t>ViewContent, Lead</t>
        </is>
      </c>
      <c r="P102" s="500" t="inlineStr">
        <is>
          <t>Retargeting to testimonial</t>
        </is>
      </c>
    </row>
    <row r="103">
      <c r="A103" s="499" t="inlineStr">
        <is>
          <t>MN_Awareness_T4-T9_TopFunnel</t>
        </is>
      </c>
      <c r="B103" s="499" t="inlineStr">
        <is>
          <t>Brand Awareness</t>
        </is>
      </c>
      <c r="C103" s="499" t="inlineStr">
        <is>
          <t>Custom_MN_PageVisitors_Exclude_FormComplete</t>
        </is>
      </c>
      <c r="D103" s="500" t="inlineStr">
        <is>
          <t>Website visitors MN pages</t>
        </is>
      </c>
      <c r="E103" s="500" t="inlineStr">
        <is>
          <t>FormSubmitted</t>
        </is>
      </c>
      <c r="F103" s="500" t="inlineStr">
        <is>
          <t>25-40</t>
        </is>
      </c>
      <c r="G103" s="500" t="inlineStr">
        <is>
          <t>HCM</t>
        </is>
      </c>
      <c r="H103" s="500" t="inlineStr">
        <is>
          <t>100000</t>
        </is>
      </c>
      <c r="I103" s="500" t="inlineStr">
        <is>
          <t>MN_Carousel_Testimonials</t>
        </is>
      </c>
      <c r="J103" s="500" t="inlineStr">
        <is>
          <t>Carousel</t>
        </is>
      </c>
      <c r="K103" s="500" t="inlineStr">
        <is>
          <t>Niềm tin từ phụ huynh</t>
        </is>
      </c>
      <c r="L103" s="500" t="inlineStr">
        <is>
          <t>5 câu chuyện thành công</t>
        </is>
      </c>
      <c r="M103" s="500" t="inlineStr">
        <is>
          <t>Tìm hiểu thêm</t>
        </is>
      </c>
      <c r="N103" s="500" t="inlineStr">
        <is>
          <t>forms.truongvietanh.com/tuyen-sinh-mam-non/phu-huynh-noi-gi</t>
        </is>
      </c>
      <c r="O103" s="500" t="inlineStr">
        <is>
          <t>ViewContent, Lead</t>
        </is>
      </c>
      <c r="P103" s="500" t="inlineStr">
        <is>
          <t>Testimonial carousel</t>
        </is>
      </c>
    </row>
    <row r="104">
      <c r="A104" s="499" t="inlineStr">
        <is>
          <t>MN_LeadGen_T4-T9_MidFunnel</t>
        </is>
      </c>
      <c r="B104" s="499" t="inlineStr">
        <is>
          <t>Lead Generation</t>
        </is>
      </c>
      <c r="C104" s="499" t="inlineStr">
        <is>
          <t>MN_Testimonial_Viewers_Exclude_FormComplete</t>
        </is>
      </c>
      <c r="D104" s="500" t="inlineStr">
        <is>
          <t>Viewed testimonial pages</t>
        </is>
      </c>
      <c r="E104" s="500" t="inlineStr">
        <is>
          <t>FormSubmitted</t>
        </is>
      </c>
      <c r="F104" s="500" t="inlineStr">
        <is>
          <t>25-40</t>
        </is>
      </c>
      <c r="G104" s="500" t="inlineStr">
        <is>
          <t>HCM</t>
        </is>
      </c>
      <c r="H104" s="500" t="inlineStr">
        <is>
          <t>120000</t>
        </is>
      </c>
      <c r="I104" s="500" t="inlineStr">
        <is>
          <t>MN_Program_Details</t>
        </is>
      </c>
      <c r="J104" s="500" t="inlineStr">
        <is>
          <t>Carousel</t>
        </is>
      </c>
      <c r="K104" s="500" t="inlineStr">
        <is>
          <t>Chương trình chi tiết</t>
        </is>
      </c>
      <c r="L104" s="500" t="inlineStr">
        <is>
          <t>Từ Trang 3 sang Trang 4</t>
        </is>
      </c>
      <c r="M104" s="500" t="inlineStr">
        <is>
          <t>Xem chương trình</t>
        </is>
      </c>
      <c r="N104" s="500" t="inlineStr">
        <is>
          <t>forms.truongvietanh.com/tuyen-sinh-mam-non/chuong-trinh</t>
        </is>
      </c>
      <c r="O104" s="500" t="inlineStr">
        <is>
          <t>ViewContent, Lead</t>
        </is>
      </c>
      <c r="P104" s="500" t="inlineStr">
        <is>
          <t>Mid-funnel promotion</t>
        </is>
      </c>
    </row>
    <row r="105">
      <c r="A105" s="499" t="inlineStr">
        <is>
          <t>MN_LeadGen_T4-T9_MidFunnel</t>
        </is>
      </c>
      <c r="B105" s="499" t="inlineStr">
        <is>
          <t>Lead Generation</t>
        </is>
      </c>
      <c r="C105" s="499" t="inlineStr">
        <is>
          <t>MN_Program_Viewers_Exclude_FormComplete</t>
        </is>
      </c>
      <c r="D105" s="500" t="inlineStr">
        <is>
          <t>Viewed program page</t>
        </is>
      </c>
      <c r="E105" s="500" t="inlineStr">
        <is>
          <t>FormSubmitted</t>
        </is>
      </c>
      <c r="F105" s="500" t="inlineStr">
        <is>
          <t>25-40</t>
        </is>
      </c>
      <c r="G105" s="500" t="inlineStr">
        <is>
          <t>HCM</t>
        </is>
      </c>
      <c r="H105" s="500" t="inlineStr">
        <is>
          <t>120000</t>
        </is>
      </c>
      <c r="I105" s="500" t="inlineStr">
        <is>
          <t>MN_Tuition_Info</t>
        </is>
      </c>
      <c r="J105" s="500" t="inlineStr">
        <is>
          <t>Video</t>
        </is>
      </c>
      <c r="K105" s="500" t="inlineStr">
        <is>
          <t>Học phí minh bạch</t>
        </is>
      </c>
      <c r="L105" s="500" t="inlineStr">
        <is>
          <t>Không bất ngờ về chi phí</t>
        </is>
      </c>
      <c r="M105" s="500" t="inlineStr">
        <is>
          <t>Xem học phí</t>
        </is>
      </c>
      <c r="N105" s="500" t="inlineStr">
        <is>
          <t>forms.truongvietanh.com/tuyen-sinh-mam-non/hoc-phi</t>
        </is>
      </c>
      <c r="O105" s="500" t="inlineStr">
        <is>
          <t>ViewContent, Lead</t>
        </is>
      </c>
      <c r="P105" s="500" t="inlineStr">
        <is>
          <t>Tuition page promotion</t>
        </is>
      </c>
    </row>
    <row r="106">
      <c r="A106" s="499" t="inlineStr">
        <is>
          <t>MN_LeadGen_T4-T9_MidFunnel</t>
        </is>
      </c>
      <c r="B106" s="499" t="inlineStr">
        <is>
          <t>Lead Generation</t>
        </is>
      </c>
      <c r="C106" s="499" t="inlineStr">
        <is>
          <t>MN_Tuition_Viewers_Exclude_FormComplete</t>
        </is>
      </c>
      <c r="D106" s="500" t="inlineStr">
        <is>
          <t>Viewed tuition page</t>
        </is>
      </c>
      <c r="E106" s="500" t="inlineStr">
        <is>
          <t>FormSubmitted</t>
        </is>
      </c>
      <c r="F106" s="500" t="inlineStr">
        <is>
          <t>25-40</t>
        </is>
      </c>
      <c r="G106" s="500" t="inlineStr">
        <is>
          <t>HCM</t>
        </is>
      </c>
      <c r="H106" s="500" t="inlineStr">
        <is>
          <t>120000</t>
        </is>
      </c>
      <c r="I106" s="500" t="inlineStr">
        <is>
          <t>MN_CTA_FormVariantB</t>
        </is>
      </c>
      <c r="J106" s="500" t="inlineStr">
        <is>
          <t>Video</t>
        </is>
      </c>
      <c r="K106" s="500" t="inlineStr">
        <is>
          <t>Hạn chế chỗ, Đăng ký ngay</t>
        </is>
      </c>
      <c r="L106" s="500" t="inlineStr">
        <is>
          <t>Chỉ còn 3 chỗ trống tháng này</t>
        </is>
      </c>
      <c r="M106" s="500" t="inlineStr">
        <is>
          <t>Đăng ký ngay</t>
        </is>
      </c>
      <c r="N106" s="500" t="inlineStr">
        <is>
          <t>forms.truongvietanh.com/tuyen-sinh-mam-non/form-variant-b</t>
        </is>
      </c>
      <c r="O106" s="500" t="inlineStr">
        <is>
          <t>Lead, CompleteRegistration</t>
        </is>
      </c>
      <c r="P106" s="500" t="inlineStr">
        <is>
          <t>Urgency variant</t>
        </is>
      </c>
    </row>
    <row r="107">
      <c r="A107" s="499" t="inlineStr">
        <is>
          <t>MN_Conversion_T4-T9_BottomFunnel</t>
        </is>
      </c>
      <c r="B107" s="499" t="inlineStr">
        <is>
          <t>Conversions</t>
        </is>
      </c>
      <c r="C107" s="499" t="inlineStr">
        <is>
          <t>MN_FormComplete_Exclude_TourBooked</t>
        </is>
      </c>
      <c r="D107" s="500" t="inlineStr">
        <is>
          <t>Form completed (lead)</t>
        </is>
      </c>
      <c r="E107" s="500" t="inlineStr">
        <is>
          <t>TourBooked, Enrolled</t>
        </is>
      </c>
      <c r="F107" s="500" t="inlineStr">
        <is>
          <t>25-40</t>
        </is>
      </c>
      <c r="G107" s="500" t="inlineStr">
        <is>
          <t>HCM</t>
        </is>
      </c>
      <c r="H107" s="500" t="inlineStr">
        <is>
          <t>150000</t>
        </is>
      </c>
      <c r="I107" s="500" t="inlineStr">
        <is>
          <t>MN_TourBooking_Push</t>
        </is>
      </c>
      <c r="J107" s="500" t="inlineStr">
        <is>
          <t>Video</t>
        </is>
      </c>
      <c r="K107" s="500" t="inlineStr">
        <is>
          <t>Đặt lịch tham quan</t>
        </is>
      </c>
      <c r="L107" s="500" t="inlineStr">
        <is>
          <t>Hôm nay hay tuần tới?</t>
        </is>
      </c>
      <c r="M107" s="500" t="inlineStr">
        <is>
          <t>Đặt lịch ngay</t>
        </is>
      </c>
      <c r="N107" s="500" t="inlineStr">
        <is>
          <t>forms.truongvietanh.com/tuyen-sinh-mam-non/dat-lich-tham-quan</t>
        </is>
      </c>
      <c r="O107" s="500" t="inlineStr">
        <is>
          <t>Lead, CompleteRegistration</t>
        </is>
      </c>
      <c r="P107" s="500" t="inlineStr">
        <is>
          <t>Bottom funnel - tour push</t>
        </is>
      </c>
    </row>
    <row r="108">
      <c r="A108" s="499" t="inlineStr">
        <is>
          <t>MN_Conversion_T4-T9_BottomFunnel</t>
        </is>
      </c>
      <c r="B108" s="499" t="inlineStr">
        <is>
          <t>Conversions</t>
        </is>
      </c>
      <c r="C108" s="499" t="inlineStr">
        <is>
          <t>MN_TourAttended_Exclude_Enrolled</t>
        </is>
      </c>
      <c r="D108" s="500" t="inlineStr">
        <is>
          <t>Tour attendees</t>
        </is>
      </c>
      <c r="E108" s="500" t="inlineStr">
        <is>
          <t>Enrolled</t>
        </is>
      </c>
      <c r="F108" s="500" t="inlineStr">
        <is>
          <t>25-40</t>
        </is>
      </c>
      <c r="G108" s="500" t="inlineStr">
        <is>
          <t>HCM</t>
        </is>
      </c>
      <c r="H108" s="500" t="inlineStr">
        <is>
          <t>150000</t>
        </is>
      </c>
      <c r="I108" s="500" t="inlineStr">
        <is>
          <t>MN_Enrollment_Final</t>
        </is>
      </c>
      <c r="J108" s="500" t="inlineStr">
        <is>
          <t>Video</t>
        </is>
      </c>
      <c r="K108" s="500" t="inlineStr">
        <is>
          <t>Hoàn tất đăng ký</t>
        </is>
      </c>
      <c r="L108" s="500" t="inlineStr">
        <is>
          <t>Bé đã thích Việt Anh, bây giờ đăng ký</t>
        </is>
      </c>
      <c r="M108" s="500" t="inlineStr">
        <is>
          <t>Hoàn tất đăng ký</t>
        </is>
      </c>
      <c r="N108" s="500" t="inlineStr">
        <is>
          <t>forms.truongvietanh.com/tuyen-sinh-mam-non/dang-ky-hoc</t>
        </is>
      </c>
      <c r="O108" s="500" t="inlineStr">
        <is>
          <t>CompleteRegistration, Purchase</t>
        </is>
      </c>
      <c r="P108" s="500" t="inlineStr">
        <is>
          <t>Final conversion push</t>
        </is>
      </c>
    </row>
    <row r="109">
      <c r="A109" s="499" t="inlineStr">
        <is>
          <t>MN_OpenDay_T6</t>
        </is>
      </c>
      <c r="B109" s="499" t="inlineStr">
        <is>
          <t>Event Engagement</t>
        </is>
      </c>
      <c r="C109" s="499" t="inlineStr">
        <is>
          <t>Email_MN_Subscribers</t>
        </is>
      </c>
      <c r="D109" s="500" t="inlineStr">
        <is>
          <t>Email subscribers</t>
        </is>
      </c>
      <c r="E109" s="500" t="inlineStr">
        <is>
          <t>EventAttended, Enrolled</t>
        </is>
      </c>
      <c r="F109" s="500" t="inlineStr">
        <is>
          <t>25-40</t>
        </is>
      </c>
      <c r="G109" s="500" t="inlineStr">
        <is>
          <t>HCM</t>
        </is>
      </c>
      <c r="H109" s="500" t="inlineStr">
        <is>
          <t>100000</t>
        </is>
      </c>
      <c r="I109" s="500" t="inlineStr">
        <is>
          <t>MN_OpenDay_Announcement</t>
        </is>
      </c>
      <c r="J109" s="500" t="inlineStr">
        <is>
          <t>Video</t>
        </is>
      </c>
      <c r="K109" s="500" t="inlineStr">
        <is>
          <t>Open Day tháng 6</t>
        </is>
      </c>
      <c r="L109" s="500" t="inlineStr">
        <is>
          <t>Ghé thăm và gặp cô giáo</t>
        </is>
      </c>
      <c r="M109" s="500" t="inlineStr">
        <is>
          <t>Đăng ký dự</t>
        </is>
      </c>
      <c r="N109" s="500" t="inlineStr">
        <is>
          <t>forms.truongvietanh.com/tuyen-sinh-mam-non/open-day-t6</t>
        </is>
      </c>
      <c r="O109" s="500" t="inlineStr">
        <is>
          <t>Lead, AddToCalendar</t>
        </is>
      </c>
      <c r="P109" s="500" t="inlineStr">
        <is>
          <t>Event campaign</t>
        </is>
      </c>
    </row>
    <row r="110">
      <c r="A110" s="499" t="inlineStr">
        <is>
          <t>MN_Webinar</t>
        </is>
      </c>
      <c r="B110" s="499" t="inlineStr">
        <is>
          <t>Lead Generation</t>
        </is>
      </c>
      <c r="C110" s="499" t="inlineStr">
        <is>
          <t>Parent_Network_MN</t>
        </is>
      </c>
      <c r="D110" s="500" t="inlineStr">
        <is>
          <t>Parent networks + lookalike</t>
        </is>
      </c>
      <c r="E110" s="500" t="inlineStr">
        <is>
          <t>WebinarAttended, Enrolled</t>
        </is>
      </c>
      <c r="F110" s="500" t="inlineStr">
        <is>
          <t>25-40</t>
        </is>
      </c>
      <c r="G110" s="500" t="inlineStr">
        <is>
          <t>HCM</t>
        </is>
      </c>
      <c r="H110" s="500" t="inlineStr">
        <is>
          <t>80000</t>
        </is>
      </c>
      <c r="I110" s="500" t="inlineStr">
        <is>
          <t>MN_Webinar_Promo</t>
        </is>
      </c>
      <c r="J110" s="500" t="inlineStr">
        <is>
          <t>Video</t>
        </is>
      </c>
      <c r="K110" s="500" t="inlineStr">
        <is>
          <t>Webinar: 5 tips cho con</t>
        </is>
      </c>
      <c r="L110" s="500" t="inlineStr">
        <is>
          <t>Học từ chuyên gia</t>
        </is>
      </c>
      <c r="M110" s="500" t="inlineStr">
        <is>
          <t>Đăng ký Webinar</t>
        </is>
      </c>
      <c r="N110" s="500" t="inlineStr">
        <is>
          <t>forms.truongvietanh.com/tuyen-sinh-mam-non/webinar-5-tips</t>
        </is>
      </c>
      <c r="O110" s="500" t="inlineStr">
        <is>
          <t>Lead, ViewContent</t>
        </is>
      </c>
      <c r="P110" s="500" t="inlineStr">
        <is>
          <t>Educational content</t>
        </is>
      </c>
    </row>
    <row r="111">
      <c r="A111" s="499" t="inlineStr">
        <is>
          <t>MN_Scholarship</t>
        </is>
      </c>
      <c r="B111" s="499" t="inlineStr">
        <is>
          <t>Lead Generation</t>
        </is>
      </c>
      <c r="C111" s="499" t="inlineStr">
        <is>
          <t>LAL_Enrolled_2-5%</t>
        </is>
      </c>
      <c r="D111" s="500" t="inlineStr">
        <is>
          <t>LAL 2-5% + high income geo</t>
        </is>
      </c>
      <c r="E111" s="500" t="inlineStr">
        <is>
          <t>Enrolled</t>
        </is>
      </c>
      <c r="F111" s="500" t="inlineStr">
        <is>
          <t>30-50</t>
        </is>
      </c>
      <c r="G111" s="500" t="inlineStr">
        <is>
          <t>HCM - 1,3,7</t>
        </is>
      </c>
      <c r="H111" s="500" t="inlineStr">
        <is>
          <t>50000</t>
        </is>
      </c>
      <c r="I111" s="500" t="inlineStr">
        <is>
          <t>MN_Scholarship_Alert</t>
        </is>
      </c>
      <c r="J111" s="500" t="inlineStr">
        <is>
          <t>Video</t>
        </is>
      </c>
      <c r="K111" s="500" t="inlineStr">
        <is>
          <t>Học bổng Việt Anh</t>
        </is>
      </c>
      <c r="L111" s="500" t="inlineStr">
        <is>
          <t>Học bổng đạt chuẩn quốc tế</t>
        </is>
      </c>
      <c r="M111" s="500" t="inlineStr">
        <is>
          <t>Tìm hiểu thêm</t>
        </is>
      </c>
      <c r="N111" s="500" t="inlineStr">
        <is>
          <t>forms.truongvietanh.com/tuyen-sinh-mam-non/hoc-bong</t>
        </is>
      </c>
      <c r="O111" s="500" t="inlineStr">
        <is>
          <t>Lead, ViewContent</t>
        </is>
      </c>
      <c r="P111" s="500" t="inlineStr">
        <is>
          <t>Scholarship targeting</t>
        </is>
      </c>
    </row>
    <row r="112">
      <c r="A112" s="499" t="inlineStr">
        <is>
          <t>MN_HeSoiDong_T6</t>
        </is>
      </c>
      <c r="B112" s="499" t="inlineStr">
        <is>
          <t>Brand Awareness</t>
        </is>
      </c>
      <c r="C112" s="499" t="inlineStr">
        <is>
          <t>Interest_BranchExpansion</t>
        </is>
      </c>
      <c r="D112" s="500" t="inlineStr">
        <is>
          <t>New location interest + parent networks</t>
        </is>
      </c>
      <c r="E112" s="500" t="inlineStr">
        <is>
          <t>FormSubmitted</t>
        </is>
      </c>
      <c r="F112" s="500" t="inlineStr">
        <is>
          <t>25-40</t>
        </is>
      </c>
      <c r="G112" s="500" t="inlineStr">
        <is>
          <t>HCM + Tỉnh lân cận</t>
        </is>
      </c>
      <c r="H112" s="500" t="inlineStr">
        <is>
          <t>120000</t>
        </is>
      </c>
      <c r="I112" s="500" t="inlineStr">
        <is>
          <t>MN_NewBranch_Intro</t>
        </is>
      </c>
      <c r="J112" s="500" t="inlineStr">
        <is>
          <t>Video</t>
        </is>
      </c>
      <c r="K112" s="500" t="inlineStr">
        <is>
          <t>Chi nhánh Hệ Sơi Động</t>
        </is>
      </c>
      <c r="L112" s="500" t="inlineStr">
        <is>
          <t>Việt Anh mở rộng - gần bạn hơn</t>
        </is>
      </c>
      <c r="M112" s="500" t="inlineStr">
        <is>
          <t>Tìm hiểu chi nhánh</t>
        </is>
      </c>
      <c r="N112" s="500" t="inlineStr">
        <is>
          <t>forms.truongvietanh.com/tuyen-sinh-mam-non/chi-nhanh-he-soi-dong</t>
        </is>
      </c>
      <c r="O112" s="500" t="inlineStr">
        <is>
          <t>ViewContent, Lead</t>
        </is>
      </c>
      <c r="P112" s="500" t="inlineStr">
        <is>
          <t>Branch expansion</t>
        </is>
      </c>
    </row>
    <row r="113">
      <c r="A113" s="499" t="inlineStr">
        <is>
          <t>TH_Awareness_T4-T9_TopFunnel</t>
        </is>
      </c>
      <c r="B113" s="499" t="inlineStr">
        <is>
          <t>Brand Awareness</t>
        </is>
      </c>
      <c r="C113" s="499" t="inlineStr">
        <is>
          <t>LAL_Enrolled_1%_TH</t>
        </is>
      </c>
      <c r="D113" s="500" t="inlineStr">
        <is>
          <t>LAL_Enrolled 1% | GV+BT+TS area</t>
        </is>
      </c>
      <c r="E113" s="500" t="inlineStr">
        <is>
          <t>FormSubmitted, Enrolled</t>
        </is>
      </c>
      <c r="F113" s="500" t="inlineStr">
        <is>
          <t>25-45</t>
        </is>
      </c>
      <c r="G113" s="500" t="inlineStr">
        <is>
          <t>HCM - District 1,3,7</t>
        </is>
      </c>
      <c r="H113" s="500" t="inlineStr">
        <is>
          <t>250000</t>
        </is>
      </c>
      <c r="I113" s="500" t="inlineStr">
        <is>
          <t>TH_Carousel_Reasons</t>
        </is>
      </c>
      <c r="J113" s="500" t="inlineStr">
        <is>
          <t>Carousel</t>
        </is>
      </c>
      <c r="K113" s="500" t="inlineStr">
        <is>
          <t>5 lý do chuẩn bị Lớp 1</t>
        </is>
      </c>
      <c r="L113" s="500" t="inlineStr">
        <is>
          <t>Môi trường yên tĩnh, thầy cô tâm huyết</t>
        </is>
      </c>
      <c r="M113" s="500" t="inlineStr">
        <is>
          <t>Tìm hiểu thêm</t>
        </is>
      </c>
      <c r="N113" s="500" t="inlineStr">
        <is>
          <t>forms.truongvietanh.com/tuyen-sinh-tieu-hoc</t>
        </is>
      </c>
      <c r="O113" s="500" t="inlineStr">
        <is>
          <t>ViewContent</t>
        </is>
      </c>
      <c r="P113" s="500" t="inlineStr">
        <is>
          <t>TH awareness</t>
        </is>
      </c>
    </row>
    <row r="114">
      <c r="A114" s="499" t="inlineStr">
        <is>
          <t>TH_Awareness_T4-T9_TopFunnel</t>
        </is>
      </c>
      <c r="B114" s="499" t="inlineStr">
        <is>
          <t>Brand Awareness</t>
        </is>
      </c>
      <c r="C114" s="499" t="inlineStr">
        <is>
          <t>Interest_5yo_Parents</t>
        </is>
      </c>
      <c r="D114" s="500" t="inlineStr">
        <is>
          <t>Parents with 5-7yo | Education interest</t>
        </is>
      </c>
      <c r="E114" s="500" t="inlineStr">
        <is>
          <t>FormSubmitted, Enrolled</t>
        </is>
      </c>
      <c r="F114" s="500" t="inlineStr">
        <is>
          <t>25-45</t>
        </is>
      </c>
      <c r="G114" s="500" t="inlineStr">
        <is>
          <t>HCM</t>
        </is>
      </c>
      <c r="H114" s="500" t="inlineStr">
        <is>
          <t>200000</t>
        </is>
      </c>
      <c r="I114" s="500" t="inlineStr">
        <is>
          <t>TH_Video_ClassRoom</t>
        </is>
      </c>
      <c r="J114" s="500" t="inlineStr">
        <is>
          <t>Video</t>
        </is>
      </c>
      <c r="K114" s="500" t="inlineStr">
        <is>
          <t>Lớp học hiện đại</t>
        </is>
      </c>
      <c r="L114" s="500" t="inlineStr">
        <is>
          <t>Thiết kế cho sự phát triển toàn diện</t>
        </is>
      </c>
      <c r="M114" s="500" t="inlineStr">
        <is>
          <t>Xem lớp học</t>
        </is>
      </c>
      <c r="N114" s="500" t="inlineStr">
        <is>
          <t>forms.truongvietanh.com/tuyen-sinh-tieu-hoc</t>
        </is>
      </c>
      <c r="O114" s="500" t="inlineStr">
        <is>
          <t>ViewContent</t>
        </is>
      </c>
      <c r="P114" s="500" t="inlineStr">
        <is>
          <t>Modern classroom</t>
        </is>
      </c>
    </row>
    <row r="115">
      <c r="A115" s="499" t="inlineStr">
        <is>
          <t>TH_Awareness_T4-T9_TopFunnel</t>
        </is>
      </c>
      <c r="B115" s="499" t="inlineStr">
        <is>
          <t>Brand Awareness</t>
        </is>
      </c>
      <c r="C115" s="499" t="inlineStr">
        <is>
          <t>Custom_TH_PageVisitors</t>
        </is>
      </c>
      <c r="D115" s="500" t="inlineStr">
        <is>
          <t>Website TH visitors</t>
        </is>
      </c>
      <c r="E115" s="500" t="inlineStr">
        <is>
          <t>FormSubmitted</t>
        </is>
      </c>
      <c r="F115" s="500" t="inlineStr">
        <is>
          <t>25-45</t>
        </is>
      </c>
      <c r="G115" s="500" t="inlineStr">
        <is>
          <t>HCM</t>
        </is>
      </c>
      <c r="H115" s="500" t="inlineStr">
        <is>
          <t>150000</t>
        </is>
      </c>
      <c r="I115" s="500" t="inlineStr">
        <is>
          <t>TH_Testimonial_Alumni</t>
        </is>
      </c>
      <c r="J115" s="500" t="inlineStr">
        <is>
          <t>Video</t>
        </is>
      </c>
      <c r="K115" s="500" t="inlineStr">
        <is>
          <t>Cựu học sinh nói gì?</t>
        </is>
      </c>
      <c r="L115" s="500" t="inlineStr">
        <is>
          <t>Những câu chuyện thành công từ TH</t>
        </is>
      </c>
      <c r="M115" s="500" t="inlineStr">
        <is>
          <t>Xem lời khen</t>
        </is>
      </c>
      <c r="N115" s="500" t="inlineStr">
        <is>
          <t>forms.truongvietanh.com/tuyen-sinh-tieu-hoc/hoc-sinh-noi-gi</t>
        </is>
      </c>
      <c r="O115" s="500" t="inlineStr">
        <is>
          <t>ViewContent, Lead</t>
        </is>
      </c>
      <c r="P115" s="500" t="inlineStr">
        <is>
          <t>Alumni testimonial</t>
        </is>
      </c>
    </row>
    <row r="116">
      <c r="A116" s="499" t="inlineStr">
        <is>
          <t>TH_LeadGen_T4-T9_MidFunnel</t>
        </is>
      </c>
      <c r="B116" s="499" t="inlineStr">
        <is>
          <t>Lead Generation</t>
        </is>
      </c>
      <c r="C116" s="499" t="inlineStr">
        <is>
          <t>TH_TestimonialViewers</t>
        </is>
      </c>
      <c r="D116" s="500" t="inlineStr">
        <is>
          <t>Testimonial page viewers</t>
        </is>
      </c>
      <c r="E116" s="500" t="inlineStr">
        <is>
          <t>FormSubmitted</t>
        </is>
      </c>
      <c r="F116" s="500" t="inlineStr">
        <is>
          <t>25-45</t>
        </is>
      </c>
      <c r="G116" s="500" t="inlineStr">
        <is>
          <t>HCM</t>
        </is>
      </c>
      <c r="H116" s="500" t="inlineStr">
        <is>
          <t>150000</t>
        </is>
      </c>
      <c r="I116" s="500" t="inlineStr">
        <is>
          <t>TH_Curriculum_Detail</t>
        </is>
      </c>
      <c r="J116" s="500" t="inlineStr">
        <is>
          <t>Carousel</t>
        </is>
      </c>
      <c r="K116" s="500" t="inlineStr">
        <is>
          <t>Chương trình giảng dạy TH</t>
        </is>
      </c>
      <c r="L116" s="500" t="inlineStr">
        <is>
          <t>STEM + Ngôn ngữ + Kỹ năng sống</t>
        </is>
      </c>
      <c r="M116" s="500" t="inlineStr">
        <is>
          <t>Xem chi tiết</t>
        </is>
      </c>
      <c r="N116" s="500" t="inlineStr">
        <is>
          <t>forms.truongvietanh.com/tuyen-sinh-tieu-hoc/chuong-trinh</t>
        </is>
      </c>
      <c r="O116" s="500" t="inlineStr">
        <is>
          <t>Lead, ViewContent</t>
        </is>
      </c>
      <c r="P116" s="500" t="inlineStr">
        <is>
          <t>TH curriculum</t>
        </is>
      </c>
    </row>
    <row r="117">
      <c r="A117" s="499" t="inlineStr">
        <is>
          <t>TH_Conversion_T4-T9_BottomFunnel</t>
        </is>
      </c>
      <c r="B117" s="499" t="inlineStr">
        <is>
          <t>Conversions</t>
        </is>
      </c>
      <c r="C117" s="499" t="inlineStr">
        <is>
          <t>TH_FormComplete_NoTour</t>
        </is>
      </c>
      <c r="D117" s="500" t="inlineStr">
        <is>
          <t>TH leads</t>
        </is>
      </c>
      <c r="E117" s="500" t="inlineStr">
        <is>
          <t>TourBooked</t>
        </is>
      </c>
      <c r="F117" s="500" t="inlineStr">
        <is>
          <t>25-45</t>
        </is>
      </c>
      <c r="G117" s="500" t="inlineStr">
        <is>
          <t>HCM</t>
        </is>
      </c>
      <c r="H117" s="500" t="inlineStr">
        <is>
          <t>180000</t>
        </is>
      </c>
      <c r="I117" s="500" t="inlineStr">
        <is>
          <t>TH_TourBooking</t>
        </is>
      </c>
      <c r="J117" s="500" t="inlineStr">
        <is>
          <t>Video</t>
        </is>
      </c>
      <c r="K117" s="500" t="inlineStr">
        <is>
          <t>Đặt lịch tham quan TH</t>
        </is>
      </c>
      <c r="L117" s="500" t="inlineStr">
        <is>
          <t>Thứ Bảy hoặc Chủ nhật?</t>
        </is>
      </c>
      <c r="M117" s="500" t="inlineStr">
        <is>
          <t>Đặt lịch</t>
        </is>
      </c>
      <c r="N117" s="500" t="inlineStr">
        <is>
          <t>forms.truongvietanh.com/tuyen-sinh-tieu-hoc/dat-lich</t>
        </is>
      </c>
      <c r="O117" s="500" t="inlineStr">
        <is>
          <t>CompleteRegistration</t>
        </is>
      </c>
      <c r="P117" s="500" t="inlineStr">
        <is>
          <t>TH tour booking</t>
        </is>
      </c>
    </row>
    <row r="118">
      <c r="A118" s="499" t="inlineStr">
        <is>
          <t>THCS_Awareness_T3-T9_TopFunnel</t>
        </is>
      </c>
      <c r="B118" s="499" t="inlineStr">
        <is>
          <t>Brand Awareness</t>
        </is>
      </c>
      <c r="C118" s="499" t="inlineStr">
        <is>
          <t>LAL_Enrolled_1%_THCS</t>
        </is>
      </c>
      <c r="D118" s="500" t="inlineStr">
        <is>
          <t>LAL 1% THCS | Parents of 11-12yo</t>
        </is>
      </c>
      <c r="E118" s="500" t="inlineStr">
        <is>
          <t>FormSubmitted</t>
        </is>
      </c>
      <c r="F118" s="500" t="inlineStr">
        <is>
          <t>30-50</t>
        </is>
      </c>
      <c r="G118" s="500" t="inlineStr">
        <is>
          <t>HCM</t>
        </is>
      </c>
      <c r="H118" s="500" t="inlineStr">
        <is>
          <t>280000</t>
        </is>
      </c>
      <c r="I118" s="500" t="inlineStr">
        <is>
          <t>THCS_Carousel_Quality</t>
        </is>
      </c>
      <c r="J118" s="500" t="inlineStr">
        <is>
          <t>Carousel</t>
        </is>
      </c>
      <c r="K118" s="500" t="inlineStr">
        <is>
          <t>Trường THCS chất lượng</t>
        </is>
      </c>
      <c r="L118" s="500" t="inlineStr">
        <is>
          <t>Chuẩn bị tốt nhất cho kỳ thi Lớp 6</t>
        </is>
      </c>
      <c r="M118" s="500" t="inlineStr">
        <is>
          <t>Tìm hiểu thêm</t>
        </is>
      </c>
      <c r="N118" s="500" t="inlineStr">
        <is>
          <t>forms.truongvietanh.com/tuyen-sinh-thcs</t>
        </is>
      </c>
      <c r="O118" s="500" t="inlineStr">
        <is>
          <t>ViewContent</t>
        </is>
      </c>
      <c r="P118" s="500" t="inlineStr">
        <is>
          <t>THCS top funnel</t>
        </is>
      </c>
    </row>
    <row r="119">
      <c r="A119" s="499" t="inlineStr">
        <is>
          <t>THCS_Awareness_T3-T9_TopFunnel</t>
        </is>
      </c>
      <c r="B119" s="499" t="inlineStr">
        <is>
          <t>Brand Awareness</t>
        </is>
      </c>
      <c r="C119" s="499" t="inlineStr">
        <is>
          <t>Interest_THCS_Parents</t>
        </is>
      </c>
      <c r="D119" s="500" t="inlineStr">
        <is>
          <t>Parents with 11-12yo | Education</t>
        </is>
      </c>
      <c r="E119" s="500" t="inlineStr">
        <is>
          <t>FormSubmitted</t>
        </is>
      </c>
      <c r="F119" s="500" t="inlineStr">
        <is>
          <t>30-50</t>
        </is>
      </c>
      <c r="G119" s="500" t="inlineStr">
        <is>
          <t>HCM</t>
        </is>
      </c>
      <c r="H119" s="500" t="inlineStr">
        <is>
          <t>220000</t>
        </is>
      </c>
      <c r="I119" s="500" t="inlineStr">
        <is>
          <t>THCS_Video_Facilities</t>
        </is>
      </c>
      <c r="J119" s="500" t="inlineStr">
        <is>
          <t>Video</t>
        </is>
      </c>
      <c r="K119" s="500" t="inlineStr">
        <is>
          <t>Cơ sở THCS Việt Anh</t>
        </is>
      </c>
      <c r="L119" s="500" t="inlineStr">
        <is>
          <t>Phòng thí nghiệm, thư viện, phòng máy tính</t>
        </is>
      </c>
      <c r="M119" s="500" t="inlineStr">
        <is>
          <t>Xem video</t>
        </is>
      </c>
      <c r="N119" s="500" t="inlineStr">
        <is>
          <t>forms.truongvietanh.com/tuyen-sinh-thcs</t>
        </is>
      </c>
      <c r="O119" s="500" t="inlineStr">
        <is>
          <t>ViewContent</t>
        </is>
      </c>
      <c r="P119" s="500" t="inlineStr">
        <is>
          <t>THCS facilities</t>
        </is>
      </c>
    </row>
    <row r="120">
      <c r="A120" s="499" t="inlineStr">
        <is>
          <t>THPT_Awareness_T1-T4_TopFunnel</t>
        </is>
      </c>
      <c r="B120" s="499" t="inlineStr">
        <is>
          <t>Brand Awareness</t>
        </is>
      </c>
      <c r="C120" s="499" t="inlineStr">
        <is>
          <t>LAL_Enrolled_1%_THPT</t>
        </is>
      </c>
      <c r="D120" s="500" t="inlineStr">
        <is>
          <t>LAL 1% THPT | Parents 14-16yo</t>
        </is>
      </c>
      <c r="E120" s="500" t="inlineStr">
        <is>
          <t>FormSubmitted</t>
        </is>
      </c>
      <c r="F120" s="500" t="inlineStr">
        <is>
          <t>35-55</t>
        </is>
      </c>
      <c r="G120" s="500" t="inlineStr">
        <is>
          <t>HCM</t>
        </is>
      </c>
      <c r="H120" s="500" t="inlineStr">
        <is>
          <t>300000</t>
        </is>
      </c>
      <c r="I120" s="500" t="inlineStr">
        <is>
          <t>THPT_Carousel_Success</t>
        </is>
      </c>
      <c r="J120" s="500" t="inlineStr">
        <is>
          <t>Carousel</t>
        </is>
      </c>
      <c r="K120" s="500" t="inlineStr">
        <is>
          <t>Đại học từ Việt Anh</t>
        </is>
      </c>
      <c r="L120" s="500" t="inlineStr">
        <is>
          <t>Tỷ lệ vào ĐH hàng đầu</t>
        </is>
      </c>
      <c r="M120" s="500" t="inlineStr">
        <is>
          <t>Tìm hiểu thêm</t>
        </is>
      </c>
      <c r="N120" s="500" t="inlineStr">
        <is>
          <t>forms.truongvietanh.com/tuyen-sinh-thpt</t>
        </is>
      </c>
      <c r="O120" s="500" t="inlineStr">
        <is>
          <t>ViewContent</t>
        </is>
      </c>
      <c r="P120" s="500" t="inlineStr">
        <is>
          <t>THPT top funnel</t>
        </is>
      </c>
    </row>
    <row r="121">
      <c r="A121" s="499" t="inlineStr">
        <is>
          <t>THPT_Awareness_T1-T4_TopFunnel</t>
        </is>
      </c>
      <c r="B121" s="499" t="inlineStr">
        <is>
          <t>Brand Awareness</t>
        </is>
      </c>
      <c r="C121" s="499" t="inlineStr">
        <is>
          <t>Interest_THPT_Parents</t>
        </is>
      </c>
      <c r="D121" s="500" t="inlineStr">
        <is>
          <t>Parents with 14-16yo | Career planning</t>
        </is>
      </c>
      <c r="E121" s="500" t="inlineStr">
        <is>
          <t>FormSubmitted</t>
        </is>
      </c>
      <c r="F121" s="500" t="inlineStr">
        <is>
          <t>35-55</t>
        </is>
      </c>
      <c r="G121" s="500" t="inlineStr">
        <is>
          <t>HCM</t>
        </is>
      </c>
      <c r="H121" s="500" t="inlineStr">
        <is>
          <t>250000</t>
        </is>
      </c>
      <c r="I121" s="500" t="inlineStr">
        <is>
          <t>THPT_Video_UnivPrep</t>
        </is>
      </c>
      <c r="J121" s="500" t="inlineStr">
        <is>
          <t>Video</t>
        </is>
      </c>
      <c r="K121" s="500" t="inlineStr">
        <is>
          <t>Chuẩn bị đại học</t>
        </is>
      </c>
      <c r="L121" s="500" t="inlineStr">
        <is>
          <t>SAT, IELTS, Chọn ngành từ THPT</t>
        </is>
      </c>
      <c r="M121" s="500" t="inlineStr">
        <is>
          <t>Xem video</t>
        </is>
      </c>
      <c r="N121" s="500" t="inlineStr">
        <is>
          <t>forms.truongvietanh.com/tuyen-sinh-thpt</t>
        </is>
      </c>
      <c r="O121" s="500" t="inlineStr">
        <is>
          <t>ViewContent</t>
        </is>
      </c>
      <c r="P121" s="500" t="inlineStr">
        <is>
          <t>University prep focus</t>
        </is>
      </c>
    </row>
    <row r="122">
      <c r="A122" s="499" t="inlineStr">
        <is>
          <t>TH_Awareness_T4-T9_TopFunnel</t>
        </is>
      </c>
      <c r="B122" s="499" t="inlineStr">
        <is>
          <t>Brand Awareness</t>
        </is>
      </c>
      <c r="C122" s="499" t="inlineStr">
        <is>
          <t>Custom_TH_PageVisitors</t>
        </is>
      </c>
      <c r="D122" s="500" t="inlineStr">
        <is>
          <t>Website TH visitors</t>
        </is>
      </c>
      <c r="E122" s="500" t="inlineStr">
        <is>
          <t>FormSubmitted</t>
        </is>
      </c>
      <c r="F122" s="500" t="inlineStr">
        <is>
          <t>25-45</t>
        </is>
      </c>
      <c r="G122" s="500" t="inlineStr">
        <is>
          <t>HCM</t>
        </is>
      </c>
      <c r="H122" s="500" t="inlineStr">
        <is>
          <t>150000</t>
        </is>
      </c>
      <c r="I122" s="500" t="inlineStr">
        <is>
          <t>TH_Video_SchoolCulture</t>
        </is>
      </c>
      <c r="J122" s="500" t="inlineStr">
        <is>
          <t>Video</t>
        </is>
      </c>
      <c r="K122" s="500" t="inlineStr">
        <is>
          <t>Văn hóa trường TH Việt Anh</t>
        </is>
      </c>
      <c r="L122" s="500" t="inlineStr">
        <is>
          <t>Nơi con yêu học và thích đi học</t>
        </is>
      </c>
      <c r="M122" s="500" t="inlineStr">
        <is>
          <t>Xem video</t>
        </is>
      </c>
      <c r="N122" s="500" t="inlineStr">
        <is>
          <t>forms.truongvietanh.com/tuyen-sinh-tieu-hoc</t>
        </is>
      </c>
      <c r="O122" s="500" t="inlineStr">
        <is>
          <t>ViewContent</t>
        </is>
      </c>
      <c r="P122" s="500" t="inlineStr">
        <is>
          <t>School culture TH</t>
        </is>
      </c>
    </row>
    <row r="123">
      <c r="A123" s="499" t="inlineStr">
        <is>
          <t>TH_Awareness_T4-T9_TopFunnel</t>
        </is>
      </c>
      <c r="B123" s="499" t="inlineStr">
        <is>
          <t>Brand Awareness</t>
        </is>
      </c>
      <c r="C123" s="499" t="inlineStr">
        <is>
          <t>Interest_6yo_Education</t>
        </is>
      </c>
      <c r="D123" s="500" t="inlineStr">
        <is>
          <t>Parents 6-8yo | Education</t>
        </is>
      </c>
      <c r="E123" s="500" t="inlineStr">
        <is>
          <t>FormSubmitted</t>
        </is>
      </c>
      <c r="F123" s="500" t="inlineStr">
        <is>
          <t>25-45</t>
        </is>
      </c>
      <c r="G123" s="500" t="inlineStr">
        <is>
          <t>HCM</t>
        </is>
      </c>
      <c r="H123" s="500" t="inlineStr">
        <is>
          <t>140000</t>
        </is>
      </c>
      <c r="I123" s="500" t="inlineStr">
        <is>
          <t>TH_Carousel_ActivitiesWeek</t>
        </is>
      </c>
      <c r="J123" s="500" t="inlineStr">
        <is>
          <t>Carousel</t>
        </is>
      </c>
      <c r="K123" s="500" t="inlineStr">
        <is>
          <t>Tuần học sôi động</t>
        </is>
      </c>
      <c r="L123" s="500" t="inlineStr">
        <is>
          <t>Từ tiếng anh, toán, khoa học đến thể dục</t>
        </is>
      </c>
      <c r="M123" s="500" t="inlineStr">
        <is>
          <t>Tham tour</t>
        </is>
      </c>
      <c r="N123" s="500" t="inlineStr">
        <is>
          <t>forms.truongvietanh.com/tuyen-sinh-tieu-hoc</t>
        </is>
      </c>
      <c r="O123" s="500" t="inlineStr">
        <is>
          <t>ViewContent</t>
        </is>
      </c>
      <c r="P123" s="500" t="inlineStr">
        <is>
          <t>Weekly activities</t>
        </is>
      </c>
    </row>
    <row r="124">
      <c r="A124" s="499" t="inlineStr">
        <is>
          <t>TH_LeadGen_T4-T9_MidFunnel</t>
        </is>
      </c>
      <c r="B124" s="499" t="inlineStr">
        <is>
          <t>Lead Generation</t>
        </is>
      </c>
      <c r="C124" s="499" t="inlineStr">
        <is>
          <t>TH_ProgramViewers</t>
        </is>
      </c>
      <c r="D124" s="500" t="inlineStr">
        <is>
          <t>Program page viewers</t>
        </is>
      </c>
      <c r="E124" s="500" t="inlineStr">
        <is>
          <t>FormSubmitted</t>
        </is>
      </c>
      <c r="F124" s="500" t="inlineStr">
        <is>
          <t>25-45</t>
        </is>
      </c>
      <c r="G124" s="500" t="inlineStr">
        <is>
          <t>HCM</t>
        </is>
      </c>
      <c r="H124" s="500" t="inlineStr">
        <is>
          <t>140000</t>
        </is>
      </c>
      <c r="I124" s="500" t="inlineStr">
        <is>
          <t>TH_Tuition_Comparison</t>
        </is>
      </c>
      <c r="J124" s="500" t="inlineStr">
        <is>
          <t>Video</t>
        </is>
      </c>
      <c r="K124" s="500" t="inlineStr">
        <is>
          <t>So sánh học phí TH</t>
        </is>
      </c>
      <c r="L124" s="500" t="inlineStr">
        <is>
          <t>Giá trị - Chất lượng - Minh bạch</t>
        </is>
      </c>
      <c r="M124" s="500" t="inlineStr">
        <is>
          <t>Xem chi tiết</t>
        </is>
      </c>
      <c r="N124" s="500" t="inlineStr">
        <is>
          <t>forms.truongvietanh.com/tuyen-sinh-tieu-hoc/hoc-phi</t>
        </is>
      </c>
      <c r="O124" s="500" t="inlineStr">
        <is>
          <t>Lead</t>
        </is>
      </c>
      <c r="P124" s="500" t="inlineStr">
        <is>
          <t>TH tuition comparison</t>
        </is>
      </c>
    </row>
    <row r="125">
      <c r="A125" s="499" t="inlineStr">
        <is>
          <t>TH_LeadGen_T4-T9_MidFunnel</t>
        </is>
      </c>
      <c r="B125" s="499" t="inlineStr">
        <is>
          <t>Lead Generation</t>
        </is>
      </c>
      <c r="C125" s="499" t="inlineStr">
        <is>
          <t>TH_TuitionViewers_NoForm</t>
        </is>
      </c>
      <c r="D125" s="500" t="inlineStr">
        <is>
          <t>Tuition viewers w/o form</t>
        </is>
      </c>
      <c r="E125" s="500" t="inlineStr">
        <is>
          <t>FormSubmitted</t>
        </is>
      </c>
      <c r="F125" s="500" t="inlineStr">
        <is>
          <t>25-45</t>
        </is>
      </c>
      <c r="G125" s="500" t="inlineStr">
        <is>
          <t>HCM</t>
        </is>
      </c>
      <c r="H125" s="500" t="inlineStr">
        <is>
          <t>130000</t>
        </is>
      </c>
      <c r="I125" s="500" t="inlineStr">
        <is>
          <t>TH_Enrollment_Push</t>
        </is>
      </c>
      <c r="J125" s="500" t="inlineStr">
        <is>
          <t>Video</t>
        </is>
      </c>
      <c r="K125" s="500" t="inlineStr">
        <is>
          <t>Chỉ còn 5 chỗ TH 2026</t>
        </is>
      </c>
      <c r="L125" s="500" t="inlineStr">
        <is>
          <t>Hạn chế tuyển sinh, ưu tiên đăng ký sớm</t>
        </is>
      </c>
      <c r="M125" s="500" t="inlineStr">
        <is>
          <t>Đăng ký ngay</t>
        </is>
      </c>
      <c r="N125" s="500" t="inlineStr">
        <is>
          <t>forms.truongvietanh.com/tuyen-sinh-tieu-hoc/dang-ky-hoc</t>
        </is>
      </c>
      <c r="O125" s="500" t="inlineStr">
        <is>
          <t>CompleteRegistration</t>
        </is>
      </c>
      <c r="P125" s="500" t="inlineStr">
        <is>
          <t>Urgency TH</t>
        </is>
      </c>
    </row>
    <row r="126">
      <c r="A126" s="499" t="inlineStr">
        <is>
          <t>TH_Conversion_T4-T9_BottomFunnel</t>
        </is>
      </c>
      <c r="B126" s="499" t="inlineStr">
        <is>
          <t>Conversions</t>
        </is>
      </c>
      <c r="C126" s="499" t="inlineStr">
        <is>
          <t>TH_LeadComplete_NoTour</t>
        </is>
      </c>
      <c r="D126" s="500" t="inlineStr">
        <is>
          <t>TH leads (form completed)</t>
        </is>
      </c>
      <c r="E126" s="500" t="inlineStr">
        <is>
          <t>TourBooked</t>
        </is>
      </c>
      <c r="F126" s="500" t="inlineStr">
        <is>
          <t>25-45</t>
        </is>
      </c>
      <c r="G126" s="500" t="inlineStr">
        <is>
          <t>HCM</t>
        </is>
      </c>
      <c r="H126" s="500" t="inlineStr">
        <is>
          <t>170000</t>
        </is>
      </c>
      <c r="I126" s="500" t="inlineStr">
        <is>
          <t>TH_TourReminder</t>
        </is>
      </c>
      <c r="J126" s="500" t="inlineStr">
        <is>
          <t>Video</t>
        </is>
      </c>
      <c r="K126" s="500" t="inlineStr">
        <is>
          <t>Đặt lịch tham tour TH</t>
        </is>
      </c>
      <c r="L126" s="500" t="inlineStr">
        <is>
          <t>Hôm nay hoặc tuần tới?</t>
        </is>
      </c>
      <c r="M126" s="500" t="inlineStr">
        <is>
          <t>Đặt lịch</t>
        </is>
      </c>
      <c r="N126" s="500" t="inlineStr">
        <is>
          <t>forms.truongvietanh.com/tuyen-sinh-tieu-hoc/dat-lich-tham-quan</t>
        </is>
      </c>
      <c r="O126" s="500" t="inlineStr">
        <is>
          <t>CompleteRegistration</t>
        </is>
      </c>
      <c r="P126" s="500" t="inlineStr">
        <is>
          <t>TH tour reminder</t>
        </is>
      </c>
    </row>
    <row r="127">
      <c r="A127" s="499" t="inlineStr">
        <is>
          <t>TH_Conversion_T4-T9_BottomFunnel</t>
        </is>
      </c>
      <c r="B127" s="499" t="inlineStr">
        <is>
          <t>Conversions</t>
        </is>
      </c>
      <c r="C127" s="499" t="inlineStr">
        <is>
          <t>TH_PostTourNoEnroll</t>
        </is>
      </c>
      <c r="D127" s="500" t="inlineStr">
        <is>
          <t>Tour attendees</t>
        </is>
      </c>
      <c r="E127" s="500" t="inlineStr">
        <is>
          <t>Enrolled</t>
        </is>
      </c>
      <c r="F127" s="500" t="inlineStr">
        <is>
          <t>25-45</t>
        </is>
      </c>
      <c r="G127" s="500" t="inlineStr">
        <is>
          <t>HCM</t>
        </is>
      </c>
      <c r="H127" s="500" t="inlineStr">
        <is>
          <t>160000</t>
        </is>
      </c>
      <c r="I127" s="500" t="inlineStr">
        <is>
          <t>TH_EnrollmentFinal</t>
        </is>
      </c>
      <c r="J127" s="500" t="inlineStr">
        <is>
          <t>Video</t>
        </is>
      </c>
      <c r="K127" s="500" t="inlineStr">
        <is>
          <t>Hoàn tất nhập học TH</t>
        </is>
      </c>
      <c r="L127" s="500" t="inlineStr">
        <is>
          <t>Con đã chọn Việt Anh, hôm nay hoàn tất</t>
        </is>
      </c>
      <c r="M127" s="500" t="inlineStr">
        <is>
          <t>Hoàn tất ngay</t>
        </is>
      </c>
      <c r="N127" s="500" t="inlineStr">
        <is>
          <t>forms.truongvietanh.com/tuyen-sinh-tieu-hoc/dang-ky-hoc</t>
        </is>
      </c>
      <c r="O127" s="500" t="inlineStr">
        <is>
          <t>Purchase</t>
        </is>
      </c>
      <c r="P127" s="500" t="inlineStr">
        <is>
          <t>TH final enrollment</t>
        </is>
      </c>
    </row>
    <row r="128">
      <c r="A128" s="499" t="inlineStr">
        <is>
          <t>TH_Scholarship_HighAchievers</t>
        </is>
      </c>
      <c r="B128" s="499" t="inlineStr">
        <is>
          <t>Lead Generation</t>
        </is>
      </c>
      <c r="C128" s="499" t="inlineStr">
        <is>
          <t>LAL_Academic_Excellence</t>
        </is>
      </c>
      <c r="D128" s="500" t="inlineStr">
        <is>
          <t>LAL academics + high income</t>
        </is>
      </c>
      <c r="E128" s="500" t="inlineStr">
        <is>
          <t>FormSubmitted</t>
        </is>
      </c>
      <c r="F128" s="500" t="inlineStr">
        <is>
          <t>28-50</t>
        </is>
      </c>
      <c r="G128" s="500" t="inlineStr">
        <is>
          <t>HCM - 1,3,7</t>
        </is>
      </c>
      <c r="H128" s="500" t="inlineStr">
        <is>
          <t>90000</t>
        </is>
      </c>
      <c r="I128" s="500" t="inlineStr">
        <is>
          <t>TH_Scholarship_Promo</t>
        </is>
      </c>
      <c r="J128" s="500" t="inlineStr">
        <is>
          <t>Video</t>
        </is>
      </c>
      <c r="K128" s="500" t="inlineStr">
        <is>
          <t>Học bổng Tiểu Học</t>
        </is>
      </c>
      <c r="L128" s="500" t="inlineStr">
        <is>
          <t>Hỗ trợ học sinh giỏi</t>
        </is>
      </c>
      <c r="M128" s="500" t="inlineStr">
        <is>
          <t>Tìm hiểu chi tiết</t>
        </is>
      </c>
      <c r="N128" s="500" t="inlineStr">
        <is>
          <t>forms.truongvietanh.com/tuyen-sinh-tieu-hoc/hoc-bong</t>
        </is>
      </c>
      <c r="O128" s="500" t="inlineStr">
        <is>
          <t>Lead</t>
        </is>
      </c>
      <c r="P128" s="500" t="inlineStr">
        <is>
          <t>TH scholarships</t>
        </is>
      </c>
    </row>
    <row r="129">
      <c r="A129" s="499" t="inlineStr">
        <is>
          <t>TH_OpenDay_T6</t>
        </is>
      </c>
      <c r="B129" s="499" t="inlineStr">
        <is>
          <t>Event Engagement</t>
        </is>
      </c>
      <c r="C129" s="499" t="inlineStr">
        <is>
          <t>Email_TH_Subscribers</t>
        </is>
      </c>
      <c r="D129" s="500" t="inlineStr">
        <is>
          <t>Email subscribers TH</t>
        </is>
      </c>
      <c r="E129" s="500" t="inlineStr">
        <is>
          <t>EventAttended</t>
        </is>
      </c>
      <c r="F129" s="500" t="inlineStr">
        <is>
          <t>25-45</t>
        </is>
      </c>
      <c r="G129" s="500" t="inlineStr">
        <is>
          <t>HCM</t>
        </is>
      </c>
      <c r="H129" s="500" t="inlineStr">
        <is>
          <t>100000</t>
        </is>
      </c>
      <c r="I129" s="500" t="inlineStr">
        <is>
          <t>TH_OpenDay_Announcement</t>
        </is>
      </c>
      <c r="J129" s="500" t="inlineStr">
        <is>
          <t>Video</t>
        </is>
      </c>
      <c r="K129" s="500" t="inlineStr">
        <is>
          <t>Open Day Tiểu Học T6</t>
        </is>
      </c>
      <c r="L129" s="500" t="inlineStr">
        <is>
          <t>Gặp gỡ thầy cô, tham tour cơ sở</t>
        </is>
      </c>
      <c r="M129" s="500" t="inlineStr">
        <is>
          <t>Đăng ký dự</t>
        </is>
      </c>
      <c r="N129" s="500" t="inlineStr">
        <is>
          <t>forms.truongvietanh.com/tuyen-sinh-tieu-hoc/open-day-t6</t>
        </is>
      </c>
      <c r="O129" s="500" t="inlineStr">
        <is>
          <t>Lead</t>
        </is>
      </c>
      <c r="P129" s="500" t="inlineStr">
        <is>
          <t>TH event</t>
        </is>
      </c>
    </row>
    <row r="130">
      <c r="A130" s="499" t="inlineStr">
        <is>
          <t>THCS_Awareness_T3-T9_TopFunnel</t>
        </is>
      </c>
      <c r="B130" s="499" t="inlineStr">
        <is>
          <t>Brand Awareness</t>
        </is>
      </c>
      <c r="C130" s="499" t="inlineStr">
        <is>
          <t>Interest_THCS_Parents</t>
        </is>
      </c>
      <c r="D130" s="500" t="inlineStr">
        <is>
          <t>Parents 11-12yo | Exam prep</t>
        </is>
      </c>
      <c r="E130" s="500" t="inlineStr">
        <is>
          <t>FormSubmitted</t>
        </is>
      </c>
      <c r="F130" s="500" t="inlineStr">
        <is>
          <t>30-50</t>
        </is>
      </c>
      <c r="G130" s="500" t="inlineStr">
        <is>
          <t>HCM</t>
        </is>
      </c>
      <c r="H130" s="500" t="inlineStr">
        <is>
          <t>220000</t>
        </is>
      </c>
      <c r="I130" s="500" t="inlineStr">
        <is>
          <t>THCS_Video_ExamSuccess</t>
        </is>
      </c>
      <c r="J130" s="500" t="inlineStr">
        <is>
          <t>Video</t>
        </is>
      </c>
      <c r="K130" s="500" t="inlineStr">
        <is>
          <t>Tỷ lệ lớp 6 của Việt Anh</t>
        </is>
      </c>
      <c r="L130" s="500" t="inlineStr">
        <is>
          <t>95% đỗ các trường top</t>
        </is>
      </c>
      <c r="M130" s="500" t="inlineStr">
        <is>
          <t>Xem chi tiết</t>
        </is>
      </c>
      <c r="N130" s="500" t="inlineStr">
        <is>
          <t>forms.truongvietanh.com/tuyen-sinh-thcs</t>
        </is>
      </c>
      <c r="O130" s="500" t="inlineStr">
        <is>
          <t>ViewContent</t>
        </is>
      </c>
      <c r="P130" s="500" t="inlineStr">
        <is>
          <t>THCS exam success</t>
        </is>
      </c>
    </row>
    <row r="131">
      <c r="A131" s="499" t="inlineStr">
        <is>
          <t>THCS_Awareness_T3-T9_TopFunnel</t>
        </is>
      </c>
      <c r="B131" s="499" t="inlineStr">
        <is>
          <t>Brand Awareness</t>
        </is>
      </c>
      <c r="C131" s="499" t="inlineStr">
        <is>
          <t>Custom_THCS_PageVisitors</t>
        </is>
      </c>
      <c r="D131" s="500" t="inlineStr">
        <is>
          <t>THCS website visitors</t>
        </is>
      </c>
      <c r="E131" s="500" t="inlineStr">
        <is>
          <t>FormSubmitted</t>
        </is>
      </c>
      <c r="F131" s="500" t="inlineStr">
        <is>
          <t>30-50</t>
        </is>
      </c>
      <c r="G131" s="500" t="inlineStr">
        <is>
          <t>HCM</t>
        </is>
      </c>
      <c r="H131" s="500" t="inlineStr">
        <is>
          <t>200000</t>
        </is>
      </c>
      <c r="I131" s="500" t="inlineStr">
        <is>
          <t>THCS_Testimonial_Student</t>
        </is>
      </c>
      <c r="J131" s="500" t="inlineStr">
        <is>
          <t>Video</t>
        </is>
      </c>
      <c r="K131" s="500" t="inlineStr">
        <is>
          <t>Học sinh THCS nói gì?</t>
        </is>
      </c>
      <c r="L131" s="500" t="inlineStr">
        <is>
          <t>Từ trải nghiệm của các em</t>
        </is>
      </c>
      <c r="M131" s="500" t="inlineStr">
        <is>
          <t>Xem lời khen</t>
        </is>
      </c>
      <c r="N131" s="500" t="inlineStr">
        <is>
          <t>forms.truongvietanh.com/tuyen-sinh-thcs/hoc-sinh-noi-gi</t>
        </is>
      </c>
      <c r="O131" s="500" t="inlineStr">
        <is>
          <t>ViewContent</t>
        </is>
      </c>
      <c r="P131" s="500" t="inlineStr">
        <is>
          <t>Student testimonial</t>
        </is>
      </c>
    </row>
    <row r="132">
      <c r="A132" s="499" t="inlineStr">
        <is>
          <t>THCS_LeadGen_T3-T9_MidFunnel</t>
        </is>
      </c>
      <c r="B132" s="499" t="inlineStr">
        <is>
          <t>Lead Generation</t>
        </is>
      </c>
      <c r="C132" s="499" t="inlineStr">
        <is>
          <t>THCS_TestiViewers</t>
        </is>
      </c>
      <c r="D132" s="500" t="inlineStr">
        <is>
          <t>Testimonial viewers THCS</t>
        </is>
      </c>
      <c r="E132" s="500" t="inlineStr">
        <is>
          <t>FormSubmitted</t>
        </is>
      </c>
      <c r="F132" s="500" t="inlineStr">
        <is>
          <t>30-50</t>
        </is>
      </c>
      <c r="G132" s="500" t="inlineStr">
        <is>
          <t>HCM</t>
        </is>
      </c>
      <c r="H132" s="500" t="inlineStr">
        <is>
          <t>160000</t>
        </is>
      </c>
      <c r="I132" s="500" t="inlineStr">
        <is>
          <t>THCS_Program_Detail</t>
        </is>
      </c>
      <c r="J132" s="500" t="inlineStr">
        <is>
          <t>Carousel</t>
        </is>
      </c>
      <c r="K132" s="500" t="inlineStr">
        <is>
          <t>Chương trình THCS chi tiết</t>
        </is>
      </c>
      <c r="L132" s="500" t="inlineStr">
        <is>
          <t>STEM, tiếng anh, kỹ năng sống</t>
        </is>
      </c>
      <c r="M132" s="500" t="inlineStr">
        <is>
          <t>Xem chương trình</t>
        </is>
      </c>
      <c r="N132" s="500" t="inlineStr">
        <is>
          <t>forms.truongvietanh.com/tuyen-sinh-thcs/chuong-trinh</t>
        </is>
      </c>
      <c r="O132" s="500" t="inlineStr">
        <is>
          <t>Lead</t>
        </is>
      </c>
      <c r="P132" s="500" t="inlineStr">
        <is>
          <t>THCS curriculum</t>
        </is>
      </c>
    </row>
    <row r="133">
      <c r="A133" s="499" t="inlineStr">
        <is>
          <t>THCS_LeadGen_T3-T9_MidFunnel</t>
        </is>
      </c>
      <c r="B133" s="499" t="inlineStr">
        <is>
          <t>Lead Generation</t>
        </is>
      </c>
      <c r="C133" s="499" t="inlineStr">
        <is>
          <t>THCS_TuitionViewers</t>
        </is>
      </c>
      <c r="D133" s="500" t="inlineStr">
        <is>
          <t>Tuition page THCS viewers</t>
        </is>
      </c>
      <c r="E133" s="500" t="inlineStr">
        <is>
          <t>FormSubmitted</t>
        </is>
      </c>
      <c r="F133" s="500" t="inlineStr">
        <is>
          <t>30-50</t>
        </is>
      </c>
      <c r="G133" s="500" t="inlineStr">
        <is>
          <t>HCM</t>
        </is>
      </c>
      <c r="H133" s="500" t="inlineStr">
        <is>
          <t>150000</t>
        </is>
      </c>
      <c r="I133" s="500" t="inlineStr">
        <is>
          <t>THCS_TuitionDetail</t>
        </is>
      </c>
      <c r="J133" s="500" t="inlineStr">
        <is>
          <t>Video</t>
        </is>
      </c>
      <c r="K133" s="500" t="inlineStr">
        <is>
          <t>Học phí THCS 2026</t>
        </is>
      </c>
      <c r="L133" s="500" t="inlineStr">
        <is>
          <t>Cơ cấu chi phí rõ ràng</t>
        </is>
      </c>
      <c r="M133" s="500" t="inlineStr">
        <is>
          <t>Xem chi tiết</t>
        </is>
      </c>
      <c r="N133" s="500" t="inlineStr">
        <is>
          <t>forms.truongvietanh.com/tuyen-sinh-thcs/hoc-phi</t>
        </is>
      </c>
      <c r="O133" s="500" t="inlineStr">
        <is>
          <t>Lead</t>
        </is>
      </c>
      <c r="P133" s="500" t="inlineStr">
        <is>
          <t>THCS tuition detail</t>
        </is>
      </c>
    </row>
    <row r="134">
      <c r="A134" s="499" t="inlineStr">
        <is>
          <t>THCS_Conversion_T3-T9_BottomFunnel</t>
        </is>
      </c>
      <c r="B134" s="499" t="inlineStr">
        <is>
          <t>Conversions</t>
        </is>
      </c>
      <c r="C134" s="499" t="inlineStr">
        <is>
          <t>THCS_FormComplete_NoTour</t>
        </is>
      </c>
      <c r="D134" s="500" t="inlineStr">
        <is>
          <t>THCS leads</t>
        </is>
      </c>
      <c r="E134" s="500" t="inlineStr">
        <is>
          <t>TourBooked</t>
        </is>
      </c>
      <c r="F134" s="500" t="inlineStr">
        <is>
          <t>30-50</t>
        </is>
      </c>
      <c r="G134" s="500" t="inlineStr">
        <is>
          <t>HCM</t>
        </is>
      </c>
      <c r="H134" s="500" t="inlineStr">
        <is>
          <t>180000</t>
        </is>
      </c>
      <c r="I134" s="500" t="inlineStr">
        <is>
          <t>THCS_TourBooking_Promo</t>
        </is>
      </c>
      <c r="J134" s="500" t="inlineStr">
        <is>
          <t>Video</t>
        </is>
      </c>
      <c r="K134" s="500" t="inlineStr">
        <is>
          <t>Đặt lịch tham quan THCS</t>
        </is>
      </c>
      <c r="L134" s="500" t="inlineStr">
        <is>
          <t>Cơ sở đạt chuẩn quốc tế</t>
        </is>
      </c>
      <c r="M134" s="500" t="inlineStr">
        <is>
          <t>Đặt lịch</t>
        </is>
      </c>
      <c r="N134" s="500" t="inlineStr">
        <is>
          <t>forms.truongvietanh.com/tuyen-sinh-thcs/dat-lich-tham-quan</t>
        </is>
      </c>
      <c r="O134" s="500" t="inlineStr">
        <is>
          <t>CompleteRegistration</t>
        </is>
      </c>
      <c r="P134" s="500" t="inlineStr">
        <is>
          <t>THCS tour booking</t>
        </is>
      </c>
    </row>
    <row r="135">
      <c r="A135" s="499" t="inlineStr">
        <is>
          <t>THCS_Conversion_T3-T9_BottomFunnel</t>
        </is>
      </c>
      <c r="B135" s="499" t="inlineStr">
        <is>
          <t>Conversions</t>
        </is>
      </c>
      <c r="C135" s="499" t="inlineStr">
        <is>
          <t>THCS_TourAttended_NoEnroll</t>
        </is>
      </c>
      <c r="D135" s="500" t="inlineStr">
        <is>
          <t>THCS tour attendees</t>
        </is>
      </c>
      <c r="E135" s="500" t="inlineStr">
        <is>
          <t>Enrolled</t>
        </is>
      </c>
      <c r="F135" s="500" t="inlineStr">
        <is>
          <t>30-50</t>
        </is>
      </c>
      <c r="G135" s="500" t="inlineStr">
        <is>
          <t>HCM</t>
        </is>
      </c>
      <c r="H135" s="500" t="inlineStr">
        <is>
          <t>170000</t>
        </is>
      </c>
      <c r="I135" s="500" t="inlineStr">
        <is>
          <t>THCS_EnrollmentFinal</t>
        </is>
      </c>
      <c r="J135" s="500" t="inlineStr">
        <is>
          <t>Video</t>
        </is>
      </c>
      <c r="K135" s="500" t="inlineStr">
        <is>
          <t>Hoàn tất nhập học THCS</t>
        </is>
      </c>
      <c r="L135" s="500" t="inlineStr">
        <is>
          <t>Bắt đầu con đường thành công</t>
        </is>
      </c>
      <c r="M135" s="500" t="inlineStr">
        <is>
          <t>Hoàn tất ngay</t>
        </is>
      </c>
      <c r="N135" s="500" t="inlineStr">
        <is>
          <t>forms.truongvietanh.com/tuyen-sinh-thcs/dang-ky-hoc</t>
        </is>
      </c>
      <c r="O135" s="500" t="inlineStr">
        <is>
          <t>Purchase</t>
        </is>
      </c>
      <c r="P135" s="500" t="inlineStr">
        <is>
          <t>THCS final enrollment</t>
        </is>
      </c>
    </row>
    <row r="136">
      <c r="A136" s="499" t="inlineStr">
        <is>
          <t>THCS_ExamPrep_Intensive</t>
        </is>
      </c>
      <c r="B136" s="499" t="inlineStr">
        <is>
          <t>Lead Generation</t>
        </is>
      </c>
      <c r="C136" s="499" t="inlineStr">
        <is>
          <t>THCS_Parents_Exam_Focus</t>
        </is>
      </c>
      <c r="D136" s="500" t="inlineStr">
        <is>
          <t>Parents intense exam prep interest</t>
        </is>
      </c>
      <c r="E136" s="500" t="inlineStr">
        <is>
          <t>FormSubmitted</t>
        </is>
      </c>
      <c r="F136" s="500" t="inlineStr">
        <is>
          <t>30-50</t>
        </is>
      </c>
      <c r="G136" s="500" t="inlineStr">
        <is>
          <t>HCM</t>
        </is>
      </c>
      <c r="H136" s="500" t="inlineStr">
        <is>
          <t>200000</t>
        </is>
      </c>
      <c r="I136" s="500" t="inlineStr">
        <is>
          <t>THCS_ExamCoaching</t>
        </is>
      </c>
      <c r="J136" s="500" t="inlineStr">
        <is>
          <t>Video</t>
        </is>
      </c>
      <c r="K136" s="500" t="inlineStr">
        <is>
          <t>Luyện thi lớp 6 chuyên</t>
        </is>
      </c>
      <c r="L136" s="500" t="inlineStr">
        <is>
          <t>Từ cơ bản đến nâng cao</t>
        </is>
      </c>
      <c r="M136" s="500" t="inlineStr">
        <is>
          <t>Tư vấn miễn phí</t>
        </is>
      </c>
      <c r="N136" s="500" t="inlineStr">
        <is>
          <t>forms.truongvietanh.com/tuyen-sinh-thcs/chuong-trinh</t>
        </is>
      </c>
      <c r="O136" s="500" t="inlineStr">
        <is>
          <t>Lead</t>
        </is>
      </c>
      <c r="P136" s="500" t="inlineStr">
        <is>
          <t>Exam coaching THCS</t>
        </is>
      </c>
    </row>
    <row r="137">
      <c r="A137" s="499" t="inlineStr">
        <is>
          <t>THCS_Webinar_ParentSupport</t>
        </is>
      </c>
      <c r="B137" s="499" t="inlineStr">
        <is>
          <t>Lead Generation</t>
        </is>
      </c>
      <c r="C137" s="499" t="inlineStr">
        <is>
          <t>Parents_THCS_Support_Seeking</t>
        </is>
      </c>
      <c r="D137" s="500" t="inlineStr">
        <is>
          <t>Parents looking for support</t>
        </is>
      </c>
      <c r="E137" s="500" t="inlineStr">
        <is>
          <t>FormSubmitted</t>
        </is>
      </c>
      <c r="F137" s="500" t="inlineStr">
        <is>
          <t>30-50</t>
        </is>
      </c>
      <c r="G137" s="500" t="inlineStr">
        <is>
          <t>HCM</t>
        </is>
      </c>
      <c r="H137" s="500" t="inlineStr">
        <is>
          <t>80000</t>
        </is>
      </c>
      <c r="I137" s="500" t="inlineStr">
        <is>
          <t>THCS_Webinar_Tips</t>
        </is>
      </c>
      <c r="J137" s="500" t="inlineStr">
        <is>
          <t>Video</t>
        </is>
      </c>
      <c r="K137" s="500" t="inlineStr">
        <is>
          <t>Webinar: Hỗ trợ con thi lớp 6</t>
        </is>
      </c>
      <c r="L137" s="500" t="inlineStr">
        <is>
          <t>Kỹ năng quản lý, tâm lý thi cử</t>
        </is>
      </c>
      <c r="M137" s="500" t="inlineStr">
        <is>
          <t>Đăng ký Webinar</t>
        </is>
      </c>
      <c r="N137" s="500" t="inlineStr">
        <is>
          <t>forms.truongvietanh.com/tuyen-sinh-thcs/webinar-exam-tips</t>
        </is>
      </c>
      <c r="O137" s="500" t="inlineStr">
        <is>
          <t>Lead</t>
        </is>
      </c>
      <c r="P137" s="500" t="inlineStr">
        <is>
          <t>Parent support webinar</t>
        </is>
      </c>
    </row>
    <row r="138">
      <c r="A138" s="499" t="inlineStr">
        <is>
          <t>THPT_Awareness_T1-T4_TopFunnel</t>
        </is>
      </c>
      <c r="B138" s="499" t="inlineStr">
        <is>
          <t>Brand Awareness</t>
        </is>
      </c>
      <c r="C138" s="499" t="inlineStr">
        <is>
          <t>Interest_THPT_Parents</t>
        </is>
      </c>
      <c r="D138" s="500" t="inlineStr">
        <is>
          <t>Parents 14-16yo | University prep</t>
        </is>
      </c>
      <c r="E138" s="500" t="inlineStr">
        <is>
          <t>FormSubmitted</t>
        </is>
      </c>
      <c r="F138" s="500" t="inlineStr">
        <is>
          <t>35-55</t>
        </is>
      </c>
      <c r="G138" s="500" t="inlineStr">
        <is>
          <t>HCM</t>
        </is>
      </c>
      <c r="H138" s="500" t="inlineStr">
        <is>
          <t>250000</t>
        </is>
      </c>
      <c r="I138" s="500" t="inlineStr">
        <is>
          <t>THPT_Video_UnivSuccess</t>
        </is>
      </c>
      <c r="J138" s="500" t="inlineStr">
        <is>
          <t>Video</t>
        </is>
      </c>
      <c r="K138" s="500" t="inlineStr">
        <is>
          <t>Học sinh THPT vào ĐH nước ngoài</t>
        </is>
      </c>
      <c r="L138" s="500" t="inlineStr">
        <is>
          <t>Kỷ lục vào ĐH top thế giới</t>
        </is>
      </c>
      <c r="M138" s="500" t="inlineStr">
        <is>
          <t>Xem thành tích</t>
        </is>
      </c>
      <c r="N138" s="500" t="inlineStr">
        <is>
          <t>forms.truongvietanh.com/tuyen-sinh-thpt</t>
        </is>
      </c>
      <c r="O138" s="500" t="inlineStr">
        <is>
          <t>ViewContent</t>
        </is>
      </c>
      <c r="P138" s="500" t="inlineStr">
        <is>
          <t>University success THPT</t>
        </is>
      </c>
    </row>
    <row r="139">
      <c r="A139" s="499" t="inlineStr">
        <is>
          <t>THPT_Awareness_T1-T4_TopFunnel</t>
        </is>
      </c>
      <c r="B139" s="499" t="inlineStr">
        <is>
          <t>Brand Awareness</t>
        </is>
      </c>
      <c r="C139" s="499" t="inlineStr">
        <is>
          <t>Custom_THPT_PageVisitors</t>
        </is>
      </c>
      <c r="D139" s="500" t="inlineStr">
        <is>
          <t>THPT website visitors</t>
        </is>
      </c>
      <c r="E139" s="500" t="inlineStr">
        <is>
          <t>FormSubmitted</t>
        </is>
      </c>
      <c r="F139" s="500" t="inlineStr">
        <is>
          <t>35-55</t>
        </is>
      </c>
      <c r="G139" s="500" t="inlineStr">
        <is>
          <t>HCM</t>
        </is>
      </c>
      <c r="H139" s="500" t="inlineStr">
        <is>
          <t>230000</t>
        </is>
      </c>
      <c r="I139" s="500" t="inlineStr">
        <is>
          <t>THPT_Testimonial_Alumni</t>
        </is>
      </c>
      <c r="J139" s="500" t="inlineStr">
        <is>
          <t>Video</t>
        </is>
      </c>
      <c r="K139" s="500" t="inlineStr">
        <is>
          <t>Cựu học sinh THPT ở nước ngoài</t>
        </is>
      </c>
      <c r="L139" s="500" t="inlineStr">
        <is>
          <t>Câu chuyện đại học của em</t>
        </is>
      </c>
      <c r="M139" s="500" t="inlineStr">
        <is>
          <t>Xem lời khen</t>
        </is>
      </c>
      <c r="N139" s="500" t="inlineStr">
        <is>
          <t>forms.truongvietanh.com/tuyen-sinh-thpt/alumni-noi-gi</t>
        </is>
      </c>
      <c r="O139" s="500" t="inlineStr">
        <is>
          <t>ViewContent</t>
        </is>
      </c>
      <c r="P139" s="500" t="inlineStr">
        <is>
          <t>Alumni THPT</t>
        </is>
      </c>
    </row>
    <row r="140">
      <c r="A140" s="499" t="inlineStr">
        <is>
          <t>THPT_LeadGen_T1-T4_MidFunnel</t>
        </is>
      </c>
      <c r="B140" s="499" t="inlineStr">
        <is>
          <t>Lead Generation</t>
        </is>
      </c>
      <c r="C140" s="499" t="inlineStr">
        <is>
          <t>THPT_TestiViewers</t>
        </is>
      </c>
      <c r="D140" s="500" t="inlineStr">
        <is>
          <t>Alumni testimonial viewers</t>
        </is>
      </c>
      <c r="E140" s="500" t="inlineStr">
        <is>
          <t>FormSubmitted</t>
        </is>
      </c>
      <c r="F140" s="500" t="inlineStr">
        <is>
          <t>35-55</t>
        </is>
      </c>
      <c r="G140" s="500" t="inlineStr">
        <is>
          <t>HCM</t>
        </is>
      </c>
      <c r="H140" s="500" t="inlineStr">
        <is>
          <t>180000</t>
        </is>
      </c>
      <c r="I140" s="500" t="inlineStr">
        <is>
          <t>THPT_SAT_Program</t>
        </is>
      </c>
      <c r="J140" s="500" t="inlineStr">
        <is>
          <t>Carousel</t>
        </is>
      </c>
      <c r="K140" s="500" t="inlineStr">
        <is>
          <t>Chương trình chuẩn bị SAT</t>
        </is>
      </c>
      <c r="L140" s="500" t="inlineStr">
        <is>
          <t>Lộ trình 3 năm chuẩn bị ĐH</t>
        </is>
      </c>
      <c r="M140" s="500" t="inlineStr">
        <is>
          <t>Xem chi tiết</t>
        </is>
      </c>
      <c r="N140" s="500" t="inlineStr">
        <is>
          <t>forms.truongvietanh.com/tuyen-sinh-thpt/chuong-trinh-sat</t>
        </is>
      </c>
      <c r="O140" s="500" t="inlineStr">
        <is>
          <t>Lead</t>
        </is>
      </c>
      <c r="P140" s="500" t="inlineStr">
        <is>
          <t>SAT program THPT</t>
        </is>
      </c>
    </row>
    <row r="141">
      <c r="A141" s="499" t="inlineStr">
        <is>
          <t>THPT_LeadGen_T1-T4_MidFunnel</t>
        </is>
      </c>
      <c r="B141" s="499" t="inlineStr">
        <is>
          <t>Lead Generation</t>
        </is>
      </c>
      <c r="C141" s="499" t="inlineStr">
        <is>
          <t>THPT_ProgramViewers</t>
        </is>
      </c>
      <c r="D141" s="500" t="inlineStr">
        <is>
          <t>Program viewers THPT</t>
        </is>
      </c>
      <c r="E141" s="500" t="inlineStr">
        <is>
          <t>FormSubmitted</t>
        </is>
      </c>
      <c r="F141" s="500" t="inlineStr">
        <is>
          <t>35-55</t>
        </is>
      </c>
      <c r="G141" s="500" t="inlineStr">
        <is>
          <t>HCM</t>
        </is>
      </c>
      <c r="H141" s="500" t="inlineStr">
        <is>
          <t>170000</t>
        </is>
      </c>
      <c r="I141" s="500" t="inlineStr">
        <is>
          <t>THPT_IELTSProgram</t>
        </is>
      </c>
      <c r="J141" s="500" t="inlineStr">
        <is>
          <t>Video</t>
        </is>
      </c>
      <c r="K141" s="500" t="inlineStr">
        <is>
          <t>Chương trình IELTS tại THPT</t>
        </is>
      </c>
      <c r="L141" s="500" t="inlineStr">
        <is>
          <t>Kỳ vọng 7.0+ cho tất cả</t>
        </is>
      </c>
      <c r="M141" s="500" t="inlineStr">
        <is>
          <t>Tìm hiểu</t>
        </is>
      </c>
      <c r="N141" s="500" t="inlineStr">
        <is>
          <t>forms.truongvietanh.com/tuyen-sinh-thpt/chuong-trinh-ielts</t>
        </is>
      </c>
      <c r="O141" s="500" t="inlineStr">
        <is>
          <t>Lead</t>
        </is>
      </c>
      <c r="P141" s="500" t="inlineStr">
        <is>
          <t>IELTS program THPT</t>
        </is>
      </c>
    </row>
    <row r="142">
      <c r="A142" s="499" t="inlineStr">
        <is>
          <t>THPT_Conversion_T1-T4_BottomFunnel</t>
        </is>
      </c>
      <c r="B142" s="499" t="inlineStr">
        <is>
          <t>Conversions</t>
        </is>
      </c>
      <c r="C142" s="499" t="inlineStr">
        <is>
          <t>THPT_FormComplete</t>
        </is>
      </c>
      <c r="D142" s="500" t="inlineStr">
        <is>
          <t>THPT leads</t>
        </is>
      </c>
      <c r="E142" s="500" t="inlineStr">
        <is>
          <t>TourBooked</t>
        </is>
      </c>
      <c r="F142" s="500" t="inlineStr">
        <is>
          <t>35-55</t>
        </is>
      </c>
      <c r="G142" s="500" t="inlineStr">
        <is>
          <t>HCM</t>
        </is>
      </c>
      <c r="H142" s="500" t="inlineStr">
        <is>
          <t>220000</t>
        </is>
      </c>
      <c r="I142" s="500" t="inlineStr">
        <is>
          <t>THPT_TourBooking</t>
        </is>
      </c>
      <c r="J142" s="500" t="inlineStr">
        <is>
          <t>Video</t>
        </is>
      </c>
      <c r="K142" s="500" t="inlineStr">
        <is>
          <t>Đặt lịch tham quan THPT</t>
        </is>
      </c>
      <c r="L142" s="500" t="inlineStr">
        <is>
          <t>Gặp Trưởng phòng tuyển sinh</t>
        </is>
      </c>
      <c r="M142" s="500" t="inlineStr">
        <is>
          <t>Đặt lịch</t>
        </is>
      </c>
      <c r="N142" s="500" t="inlineStr">
        <is>
          <t>forms.truongvietanh.com/tuyen-sinh-thpt/dat-lich-tham-quan</t>
        </is>
      </c>
      <c r="O142" s="500" t="inlineStr">
        <is>
          <t>CompleteRegistration</t>
        </is>
      </c>
      <c r="P142" s="500" t="inlineStr">
        <is>
          <t>THPT tour booking</t>
        </is>
      </c>
    </row>
    <row r="143">
      <c r="A143" s="499" t="inlineStr">
        <is>
          <t>THPT_Conversion_T1-T4_BottomFunnel</t>
        </is>
      </c>
      <c r="B143" s="499" t="inlineStr">
        <is>
          <t>Conversions</t>
        </is>
      </c>
      <c r="C143" s="499" t="inlineStr">
        <is>
          <t>THPT_TourAttended</t>
        </is>
      </c>
      <c r="D143" s="500" t="inlineStr">
        <is>
          <t>THPT tour attendees</t>
        </is>
      </c>
      <c r="E143" s="500" t="inlineStr">
        <is>
          <t>Enrolled</t>
        </is>
      </c>
      <c r="F143" s="500" t="inlineStr">
        <is>
          <t>35-55</t>
        </is>
      </c>
      <c r="G143" s="500" t="inlineStr">
        <is>
          <t>HCM</t>
        </is>
      </c>
      <c r="H143" s="500" t="inlineStr">
        <is>
          <t>210000</t>
        </is>
      </c>
      <c r="I143" s="500" t="inlineStr">
        <is>
          <t>THPT_EnrollmentFinal</t>
        </is>
      </c>
      <c r="J143" s="500" t="inlineStr">
        <is>
          <t>Video</t>
        </is>
      </c>
      <c r="K143" s="500" t="inlineStr">
        <is>
          <t>Hoàn tất nhập học THPT</t>
        </is>
      </c>
      <c r="L143" s="500" t="inlineStr">
        <is>
          <t>Bắt đầu hành trình ĐH</t>
        </is>
      </c>
      <c r="M143" s="500" t="inlineStr">
        <is>
          <t>Hoàn tất ngay</t>
        </is>
      </c>
      <c r="N143" s="500" t="inlineStr">
        <is>
          <t>forms.truongvietanh.com/tuyen-sinh-thpt/dang-ky-hoc</t>
        </is>
      </c>
      <c r="O143" s="500" t="inlineStr">
        <is>
          <t>Purchase</t>
        </is>
      </c>
      <c r="P143" s="500" t="inlineStr">
        <is>
          <t>THPT final enrollment</t>
        </is>
      </c>
    </row>
    <row r="144">
      <c r="A144" s="499" t="inlineStr">
        <is>
          <t>THPT_Scholarship_Excellent</t>
        </is>
      </c>
      <c r="B144" s="499" t="inlineStr">
        <is>
          <t>Lead Generation</t>
        </is>
      </c>
      <c r="C144" s="499" t="inlineStr">
        <is>
          <t>LAL_Academic_Excellence_THPT</t>
        </is>
      </c>
      <c r="D144" s="500" t="inlineStr">
        <is>
          <t>High performers + high income</t>
        </is>
      </c>
      <c r="E144" s="500" t="inlineStr">
        <is>
          <t>FormSubmitted</t>
        </is>
      </c>
      <c r="F144" s="500" t="inlineStr">
        <is>
          <t>35-55</t>
        </is>
      </c>
      <c r="G144" s="500" t="inlineStr">
        <is>
          <t>HCM - 1,3,7</t>
        </is>
      </c>
      <c r="H144" s="500" t="inlineStr">
        <is>
          <t>120000</t>
        </is>
      </c>
      <c r="I144" s="500" t="inlineStr">
        <is>
          <t>THPT_Scholarship_Promo</t>
        </is>
      </c>
      <c r="J144" s="500" t="inlineStr">
        <is>
          <t>Video</t>
        </is>
      </c>
      <c r="K144" s="500" t="inlineStr">
        <is>
          <t>Học bổng THPT Việt Anh</t>
        </is>
      </c>
      <c r="L144" s="500" t="inlineStr">
        <is>
          <t>Hỗ trợ học sinh xuất sắc</t>
        </is>
      </c>
      <c r="M144" s="500" t="inlineStr">
        <is>
          <t>Tìm hiểu thêm</t>
        </is>
      </c>
      <c r="N144" s="500" t="inlineStr">
        <is>
          <t>forms.truongvietanh.com/tuyen-sinh-thpt/hoc-bong</t>
        </is>
      </c>
      <c r="O144" s="500" t="inlineStr">
        <is>
          <t>Lead</t>
        </is>
      </c>
      <c r="P144" s="500" t="inlineStr">
        <is>
          <t>THPT scholarships</t>
        </is>
      </c>
    </row>
    <row r="145">
      <c r="A145" s="499" t="inlineStr">
        <is>
          <t>THPT_Webinar_UniversityPath</t>
        </is>
      </c>
      <c r="B145" s="499" t="inlineStr">
        <is>
          <t>Lead Generation</t>
        </is>
      </c>
      <c r="C145" s="499" t="inlineStr">
        <is>
          <t>THPT_ParentsCareerPlanning</t>
        </is>
      </c>
      <c r="D145" s="500" t="inlineStr">
        <is>
          <t>Parents planning for university</t>
        </is>
      </c>
      <c r="E145" s="500" t="inlineStr">
        <is>
          <t>FormSubmitted</t>
        </is>
      </c>
      <c r="F145" s="500" t="inlineStr">
        <is>
          <t>35-55</t>
        </is>
      </c>
      <c r="G145" s="500" t="inlineStr">
        <is>
          <t>HCM</t>
        </is>
      </c>
      <c r="H145" s="500" t="inlineStr">
        <is>
          <t>100000</t>
        </is>
      </c>
      <c r="I145" s="500" t="inlineStr">
        <is>
          <t>THPT_Webinar_UnivPath</t>
        </is>
      </c>
      <c r="J145" s="500" t="inlineStr">
        <is>
          <t>Video</t>
        </is>
      </c>
      <c r="K145" s="500" t="inlineStr">
        <is>
          <t>Webinar: Lộ trình ĐH từ THPT</t>
        </is>
      </c>
      <c r="L145" s="500" t="inlineStr">
        <is>
          <t>SAT, chọn ngành, hồ sơ ĐH</t>
        </is>
      </c>
      <c r="M145" s="500" t="inlineStr">
        <is>
          <t>Đăng ký Webinar</t>
        </is>
      </c>
      <c r="N145" s="500" t="inlineStr">
        <is>
          <t>forms.truongvietanh.com/tuyen-sinh-thpt/webinar-univ-path</t>
        </is>
      </c>
      <c r="O145" s="500" t="inlineStr">
        <is>
          <t>Lead</t>
        </is>
      </c>
      <c r="P145" s="500" t="inlineStr">
        <is>
          <t>University path webinar</t>
        </is>
      </c>
    </row>
    <row r="146">
      <c r="A146" s="499" t="inlineStr">
        <is>
          <t>THPT_OpenDay_T3</t>
        </is>
      </c>
      <c r="B146" s="499" t="inlineStr">
        <is>
          <t>Event Engagement</t>
        </is>
      </c>
      <c r="C146" s="499" t="inlineStr">
        <is>
          <t>Email_THPT_Subscribers</t>
        </is>
      </c>
      <c r="D146" s="500" t="inlineStr">
        <is>
          <t>THPT email subscribers</t>
        </is>
      </c>
      <c r="E146" s="500" t="inlineStr">
        <is>
          <t>EventAttended</t>
        </is>
      </c>
      <c r="F146" s="500" t="inlineStr">
        <is>
          <t>35-55</t>
        </is>
      </c>
      <c r="G146" s="500" t="inlineStr">
        <is>
          <t>HCM</t>
        </is>
      </c>
      <c r="H146" s="500" t="inlineStr">
        <is>
          <t>120000</t>
        </is>
      </c>
      <c r="I146" s="500" t="inlineStr">
        <is>
          <t>THPT_OpenDay_Announcement</t>
        </is>
      </c>
      <c r="J146" s="500" t="inlineStr">
        <is>
          <t>Video</t>
        </is>
      </c>
      <c r="K146" s="500" t="inlineStr">
        <is>
          <t>Open Day THPT tháng 3</t>
        </is>
      </c>
      <c r="L146" s="500" t="inlineStr">
        <is>
          <t>Gặp thầy cô, tour phòng thí nghiệm</t>
        </is>
      </c>
      <c r="M146" s="500" t="inlineStr">
        <is>
          <t>Đăng ký dự</t>
        </is>
      </c>
      <c r="N146" s="500" t="inlineStr">
        <is>
          <t>forms.truongvietanh.com/tuyen-sinh-thpt/open-day-t3</t>
        </is>
      </c>
      <c r="O146" s="500" t="inlineStr">
        <is>
          <t>Lead</t>
        </is>
      </c>
      <c r="P146" s="500" t="inlineStr">
        <is>
          <t>THPT open day</t>
        </is>
      </c>
    </row>
    <row r="147">
      <c r="A147" s="499" t="inlineStr">
        <is>
          <t>All_Levels_Referral_Program</t>
        </is>
      </c>
      <c r="B147" s="499" t="inlineStr">
        <is>
          <t>Lead Generation</t>
        </is>
      </c>
      <c r="C147" s="499" t="inlineStr">
        <is>
          <t>All_Alumni_Network</t>
        </is>
      </c>
      <c r="D147" s="500" t="inlineStr">
        <is>
          <t>Enrolled parents + alumni</t>
        </is>
      </c>
      <c r="E147" s="500" t="inlineStr">
        <is>
          <t>FormSubmitted</t>
        </is>
      </c>
      <c r="F147" s="500" t="inlineStr">
        <is>
          <t>25-55</t>
        </is>
      </c>
      <c r="G147" s="500" t="inlineStr">
        <is>
          <t>HCM + Tỉnh</t>
        </is>
      </c>
      <c r="H147" s="500" t="inlineStr">
        <is>
          <t>80000</t>
        </is>
      </c>
      <c r="I147" s="500" t="inlineStr">
        <is>
          <t>Referral_Bonus_Promo</t>
        </is>
      </c>
      <c r="J147" s="500" t="inlineStr">
        <is>
          <t>Video</t>
        </is>
      </c>
      <c r="K147" s="500" t="inlineStr">
        <is>
          <t>Giới thiệu - Nhận quà tặng</t>
        </is>
      </c>
      <c r="L147" s="500" t="inlineStr">
        <is>
          <t>Giới thiệu bạn, nhận 1 triệu</t>
        </is>
      </c>
      <c r="M147" s="500" t="inlineStr">
        <is>
          <t>Tham gia ngay</t>
        </is>
      </c>
      <c r="N147" s="500" t="inlineStr">
        <is>
          <t>forms.truongvietanh.com/chuong-trinh-gioi-thieu</t>
        </is>
      </c>
      <c r="O147" s="500" t="inlineStr">
        <is>
          <t>Lead</t>
        </is>
      </c>
      <c r="P147" s="500" t="inlineStr">
        <is>
          <t>Referral incentive all levels</t>
        </is>
      </c>
    </row>
    <row r="148">
      <c r="A148" s="499" t="inlineStr">
        <is>
          <t>All_Levels_Community_Engagement</t>
        </is>
      </c>
      <c r="B148" s="499" t="inlineStr">
        <is>
          <t>Engagement</t>
        </is>
      </c>
      <c r="C148" s="499" t="inlineStr">
        <is>
          <t>All_Parents_Community</t>
        </is>
      </c>
      <c r="D148" s="500" t="inlineStr">
        <is>
          <t>Parents all children ages</t>
        </is>
      </c>
      <c r="E148" s="500" t="inlineStr">
        <is>
          <t>ViewContent</t>
        </is>
      </c>
      <c r="F148" s="500" t="inlineStr">
        <is>
          <t>25-55</t>
        </is>
      </c>
      <c r="G148" s="500" t="inlineStr">
        <is>
          <t>HCM</t>
        </is>
      </c>
      <c r="H148" s="500" t="inlineStr">
        <is>
          <t>60000</t>
        </is>
      </c>
      <c r="I148" s="500" t="inlineStr">
        <is>
          <t>Community_Activity_Showcase</t>
        </is>
      </c>
      <c r="J148" s="500" t="inlineStr">
        <is>
          <t>Video</t>
        </is>
      </c>
      <c r="K148" s="500" t="inlineStr">
        <is>
          <t>Cộng đồng Việt Anh - Kết nối</t>
        </is>
      </c>
      <c r="L148" s="500" t="inlineStr">
        <is>
          <t>Sự kiện, hoạt động hàng tháng</t>
        </is>
      </c>
      <c r="M148" s="500" t="inlineStr">
        <is>
          <t>Theo dõi</t>
        </is>
      </c>
      <c r="N148" s="500" t="inlineStr">
        <is>
          <t>forms.truongvietanh.com/</t>
        </is>
      </c>
      <c r="O148" s="500" t="inlineStr">
        <is>
          <t>ViewContent</t>
        </is>
      </c>
      <c r="P148" s="500" t="inlineStr">
        <is>
          <t>Community engagement</t>
        </is>
      </c>
    </row>
  </sheetData>
  <mergeCells count="4">
    <mergeCell ref="A3:H3"/>
    <mergeCell ref="A14:H14"/>
    <mergeCell ref="A93:J93"/>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10101"/>
    <outlinePr summaryBelow="1" summaryRight="1"/>
    <pageSetUpPr fitToPage="0"/>
  </sheetPr>
  <dimension ref="A1:M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2"/>
    <col width="38" customWidth="1" style="247" min="3" max="3"/>
    <col width="40" customWidth="1" style="247" min="4" max="4"/>
    <col width="22" customWidth="1" style="247" min="5" max="8"/>
  </cols>
  <sheetData>
    <row r="1" ht="15" customHeight="1" s="248">
      <c r="A1" s="352" t="inlineStr">
        <is>
          <t>KẾ HOẠCH TIKTOK ADS – 100 VIDEO TESTIMONIAL + CẤU TRÚC + GTM</t>
        </is>
      </c>
    </row>
    <row r="3" ht="15" customHeight="1" s="248">
      <c r="A3" s="353" t="inlineStr">
        <is>
          <t>A. CẤU TRÚC CAMPAIGN TIKTOK</t>
        </is>
      </c>
    </row>
    <row r="4" ht="15" customHeight="1" s="248">
      <c r="A4" s="354" t="inlineStr">
        <is>
          <t>Campaign</t>
        </is>
      </c>
      <c r="B4" s="354" t="inlineStr">
        <is>
          <t>Objective</t>
        </is>
      </c>
      <c r="C4" s="354" t="inlineStr">
        <is>
          <t>Targeting</t>
        </is>
      </c>
      <c r="D4" s="354" t="inlineStr">
        <is>
          <t>Creative (từ kho 100 video)</t>
        </is>
      </c>
      <c r="E4" s="354" t="inlineStr">
        <is>
          <t>Budget/tháng</t>
        </is>
      </c>
      <c r="F4" s="354" t="inlineStr">
        <is>
          <t>KPI</t>
        </is>
      </c>
      <c r="G4" s="354" t="inlineStr">
        <is>
          <t>GTM Events</t>
        </is>
      </c>
      <c r="H4" s="354" t="inlineStr">
        <is>
          <t>Ghi chú</t>
        </is>
      </c>
    </row>
    <row r="5" ht="15" customHeight="1" s="248">
      <c r="A5" s="321" t="inlineStr">
        <is>
          <t>Spark_Testi_MN</t>
        </is>
      </c>
      <c r="B5" s="321" t="inlineStr">
        <is>
          <t>Traffic/Lead</t>
        </is>
      </c>
      <c r="C5" s="321" t="inlineStr">
        <is>
          <t>Age 25-45 | Parenting | Geo HCM+Tỉnh</t>
        </is>
      </c>
      <c r="D5" s="321" t="inlineStr">
        <is>
          <t>Boost organic testi PH MN | Hook 3s | 15-30s</t>
        </is>
      </c>
      <c r="E5" s="321">
        <f>0.1*'1. Input'!B15*0.3/6</f>
        <v/>
      </c>
      <c r="F5" s="321" t="inlineStr">
        <is>
          <t>CPV ≤ 2K | Engage ≥ 5%</t>
        </is>
      </c>
      <c r="G5" s="321" t="inlineStr">
        <is>
          <t>ViewContent, ClickLink</t>
        </is>
      </c>
      <c r="H5" s="321" t="inlineStr">
        <is>
          <t>Dùng 100 video có sẵn</t>
        </is>
      </c>
    </row>
    <row r="6" ht="15" customHeight="1" s="248">
      <c r="A6" s="323" t="inlineStr">
        <is>
          <t>Spark_Testi_THPT</t>
        </is>
      </c>
      <c r="B6" s="323" t="inlineStr">
        <is>
          <t>Traffic/Lead</t>
        </is>
      </c>
      <c r="C6" s="323" t="inlineStr">
        <is>
          <t>Age 30-55 | Education | Geo HCM</t>
        </is>
      </c>
      <c r="D6" s="323" t="inlineStr">
        <is>
          <t>Boost testi HS THPT + GV | Hook 3s</t>
        </is>
      </c>
      <c r="E6" s="323">
        <f>0.1*'1. Input'!B15*0.25/6</f>
        <v/>
      </c>
      <c r="F6" s="323" t="inlineStr">
        <is>
          <t>CPV ≤ 2.5K | Lead</t>
        </is>
      </c>
      <c r="G6" s="323" t="inlineStr">
        <is>
          <t>ViewContent, Lead</t>
        </is>
      </c>
      <c r="H6" s="323" t="inlineStr">
        <is>
          <t>Social proof</t>
        </is>
      </c>
    </row>
    <row r="7" ht="15" customHeight="1" s="248">
      <c r="A7" s="321" t="inlineStr">
        <is>
          <t>InFeed_CampusTour</t>
        </is>
      </c>
      <c r="B7" s="321" t="inlineStr">
        <is>
          <t>Traffic</t>
        </is>
      </c>
      <c r="C7" s="321" t="inlineStr">
        <is>
          <t>Age 25-45 | Geo radius 10km</t>
        </is>
      </c>
      <c r="D7" s="321" t="inlineStr">
        <is>
          <t>Virtual tour video | Day-in-the-life | CTA tour</t>
        </is>
      </c>
      <c r="E7" s="321">
        <f>0.1*'1. Input'!B15*0.2/6</f>
        <v/>
      </c>
      <c r="F7" s="321" t="inlineStr">
        <is>
          <t>CPL ≤ 90K | CTR ≥ 1.5%</t>
        </is>
      </c>
      <c r="G7" s="321" t="inlineStr">
        <is>
          <t>ViewContent, ClickLink</t>
        </is>
      </c>
      <c r="H7" s="321" t="inlineStr">
        <is>
          <t>Quay sẵn hoặc UGC</t>
        </is>
      </c>
    </row>
    <row r="8" ht="15" customHeight="1" s="248">
      <c r="A8" s="323" t="inlineStr">
        <is>
          <t>LeadGen_Form</t>
        </is>
      </c>
      <c r="B8" s="323" t="inlineStr">
        <is>
          <t>Lead Gen</t>
        </is>
      </c>
      <c r="C8" s="323" t="inlineStr">
        <is>
          <t>Age 28-45 | School selection | Lookalike</t>
        </is>
      </c>
      <c r="D8" s="323" t="inlineStr">
        <is>
          <t>Video HS + Instant form: Tên+SĐT+Cấp</t>
        </is>
      </c>
      <c r="E8" s="323">
        <f>0.1*'1. Input'!B15*0.2/6</f>
        <v/>
      </c>
      <c r="F8" s="323" t="inlineStr">
        <is>
          <t>CPL ≤ 80K | Form ≥ 3%</t>
        </is>
      </c>
      <c r="G8" s="323" t="inlineStr">
        <is>
          <t>Lead, FormSubmit</t>
        </is>
      </c>
      <c r="H8" s="323" t="inlineStr">
        <is>
          <t>Form → GHL auto</t>
        </is>
      </c>
    </row>
    <row r="9" ht="15" customHeight="1" s="248">
      <c r="A9" s="321" t="inlineStr">
        <is>
          <t>TopView_Brand</t>
        </is>
      </c>
      <c r="B9" s="321" t="inlineStr">
        <is>
          <t>Reach</t>
        </is>
      </c>
      <c r="C9" s="321" t="inlineStr">
        <is>
          <t>Broad 25-50 HCM | 1 ngày</t>
        </is>
      </c>
      <c r="D9" s="321" t="inlineStr">
        <is>
          <t>Video 15s brand hệ thống | 8 cơ sở</t>
        </is>
      </c>
      <c r="E9" s="321">
        <f>0.1*'1. Input'!B15*0.05/6</f>
        <v/>
      </c>
      <c r="F9" s="321" t="inlineStr">
        <is>
          <t>Reach ≥ 2M | CPM ≤ 50K</t>
        </is>
      </c>
      <c r="G9" s="321" t="inlineStr">
        <is>
          <t>Impression</t>
        </is>
      </c>
      <c r="H9" s="321" t="inlineStr">
        <is>
          <t>Chỉ 2-3 ngày peak</t>
        </is>
      </c>
    </row>
    <row r="11" ht="15" customHeight="1" s="248">
      <c r="A11" s="353" t="inlineStr">
        <is>
          <t>B. TIKTOK PIXEL + GTM SETUP</t>
        </is>
      </c>
    </row>
    <row r="12" ht="15" customHeight="1" s="248">
      <c r="A12" s="354" t="inlineStr">
        <is>
          <t>Bước</t>
        </is>
      </c>
      <c r="B12" s="354" t="inlineStr">
        <is>
          <t>Hành động</t>
        </is>
      </c>
      <c r="C12" s="354" t="inlineStr">
        <is>
          <t>Chi tiết</t>
        </is>
      </c>
      <c r="D12" s="354" t="inlineStr">
        <is>
          <t>Tool</t>
        </is>
      </c>
      <c r="E12" s="354" t="inlineStr">
        <is>
          <t>Timeline</t>
        </is>
      </c>
      <c r="F12" s="354" t="inlineStr">
        <is>
          <t>Trạng thái</t>
        </is>
      </c>
    </row>
    <row r="13" ht="15" customHeight="1" s="248">
      <c r="A13" s="321" t="inlineStr">
        <is>
          <t>1</t>
        </is>
      </c>
      <c r="B13" s="321" t="inlineStr">
        <is>
          <t>Tạo TikTok Pixel</t>
        </is>
      </c>
      <c r="C13" s="321" t="inlineStr">
        <is>
          <t>Tạo pixel trong TikTok Ads Manager</t>
        </is>
      </c>
      <c r="D13" s="321" t="inlineStr">
        <is>
          <t>TikTok Ads</t>
        </is>
      </c>
      <c r="E13" s="321" t="inlineStr">
        <is>
          <t>Ngày 1</t>
        </is>
      </c>
      <c r="F13" s="321" t="inlineStr">
        <is>
          <t>☐</t>
        </is>
      </c>
    </row>
    <row r="14" ht="23.25" customHeight="1" s="248">
      <c r="A14" s="323" t="inlineStr">
        <is>
          <t>2</t>
        </is>
      </c>
      <c r="B14" s="323" t="inlineStr">
        <is>
          <t>Cài qua GTM</t>
        </is>
      </c>
      <c r="C14" s="323" t="inlineStr">
        <is>
          <t>Tạo Custom HTML tag với TikTok Pixel base code → All Pages</t>
        </is>
      </c>
      <c r="D14" s="323" t="inlineStr">
        <is>
          <t>GTM</t>
        </is>
      </c>
      <c r="E14" s="323" t="inlineStr">
        <is>
          <t>Ngày 1</t>
        </is>
      </c>
      <c r="F14" s="323" t="inlineStr">
        <is>
          <t>☐</t>
        </is>
      </c>
    </row>
    <row r="15" ht="23.25" customHeight="1" s="248">
      <c r="A15" s="321" t="inlineStr">
        <is>
          <t>3</t>
        </is>
      </c>
      <c r="B15" s="321" t="inlineStr">
        <is>
          <t>Tạo Event tags</t>
        </is>
      </c>
      <c r="C15" s="321" t="inlineStr">
        <is>
          <t>ViewContent (LP view), ClickButton (CTA), SubmitForm, CompleteRegistration</t>
        </is>
      </c>
      <c r="D15" s="321" t="inlineStr">
        <is>
          <t>GTM</t>
        </is>
      </c>
      <c r="E15" s="321" t="inlineStr">
        <is>
          <t>Ngày 1</t>
        </is>
      </c>
      <c r="F15" s="321" t="inlineStr">
        <is>
          <t>☐</t>
        </is>
      </c>
    </row>
    <row r="16" ht="23.25" customHeight="1" s="248">
      <c r="A16" s="323" t="inlineStr">
        <is>
          <t>4</t>
        </is>
      </c>
      <c r="B16" s="323" t="inlineStr">
        <is>
          <t>Test với TikTok Pixel Helper</t>
        </is>
      </c>
      <c r="C16" s="323" t="inlineStr">
        <is>
          <t>Verify events firing đúng trên mỗi LP</t>
        </is>
      </c>
      <c r="D16" s="323" t="inlineStr">
        <is>
          <t>Chrome Extension</t>
        </is>
      </c>
      <c r="E16" s="323" t="inlineStr">
        <is>
          <t>Ngày 1</t>
        </is>
      </c>
      <c r="F16" s="323" t="inlineStr">
        <is>
          <t>☐</t>
        </is>
      </c>
    </row>
    <row r="17" ht="23.25" customHeight="1" s="248">
      <c r="A17" s="321" t="inlineStr">
        <is>
          <t>5</t>
        </is>
      </c>
      <c r="B17" s="321" t="inlineStr">
        <is>
          <t>Tạo Custom Audiences</t>
        </is>
      </c>
      <c r="C17" s="321" t="inlineStr">
        <is>
          <t>Website visitors 7d/14d/30d + Video viewers 50%+ + Form submitters</t>
        </is>
      </c>
      <c r="D17" s="321" t="inlineStr">
        <is>
          <t>TikTok Ads</t>
        </is>
      </c>
      <c r="E17" s="321" t="inlineStr">
        <is>
          <t>Ngày 2</t>
        </is>
      </c>
      <c r="F17" s="321" t="inlineStr">
        <is>
          <t>☐</t>
        </is>
      </c>
    </row>
    <row r="18" ht="15" customHeight="1" s="248">
      <c r="A18" s="323" t="inlineStr">
        <is>
          <t>6</t>
        </is>
      </c>
      <c r="B18" s="323" t="inlineStr">
        <is>
          <t>Tạo Lookalike</t>
        </is>
      </c>
      <c r="C18" s="323" t="inlineStr">
        <is>
          <t>Từ enrolled parents list + Form submitters</t>
        </is>
      </c>
      <c r="D18" s="323" t="inlineStr">
        <is>
          <t>TikTok Ads</t>
        </is>
      </c>
      <c r="E18" s="323" t="inlineStr">
        <is>
          <t>Tuần 2</t>
        </is>
      </c>
      <c r="F18" s="323" t="inlineStr">
        <is>
          <t>☐</t>
        </is>
      </c>
    </row>
    <row r="19" ht="15" customHeight="1" s="248">
      <c r="A19" s="321" t="inlineStr">
        <is>
          <t>7</t>
        </is>
      </c>
      <c r="B19" s="321" t="inlineStr">
        <is>
          <t>Setup Birch cho TikTok</t>
        </is>
      </c>
      <c r="C19" s="321" t="inlineStr">
        <is>
          <t>Kết nối TikTok → Birch | Budget pacing rules</t>
        </is>
      </c>
      <c r="D19" s="321" t="inlineStr">
        <is>
          <t>Birch</t>
        </is>
      </c>
      <c r="E19" s="321" t="inlineStr">
        <is>
          <t>Ngày 3</t>
        </is>
      </c>
      <c r="F19" s="321" t="inlineStr">
        <is>
          <t>☐</t>
        </is>
      </c>
    </row>
    <row r="22">
      <c r="A22" s="492" t="inlineStr">
        <is>
          <t>CHI TIẾT QUẢNG CÁO TIKTOK (Detailed TikTok Ad Specs)</t>
        </is>
      </c>
    </row>
    <row r="24">
      <c r="A24" s="506" t="inlineStr">
        <is>
          <t>Tên Ad</t>
        </is>
      </c>
      <c r="B24" s="506" t="inlineStr">
        <is>
          <t>Mục Tiêu</t>
        </is>
      </c>
      <c r="C24" s="506" t="inlineStr">
        <is>
          <t>Format</t>
        </is>
      </c>
      <c r="D24" s="506" t="inlineStr">
        <is>
          <t>Thời Lượng (s)</t>
        </is>
      </c>
      <c r="E24" s="506" t="inlineStr">
        <is>
          <t>Hook (3s đầu)</t>
        </is>
      </c>
      <c r="F24" s="506" t="inlineStr">
        <is>
          <t>Script Outline</t>
        </is>
      </c>
      <c r="G24" s="506" t="inlineStr">
        <is>
          <t>Hashtag</t>
        </is>
      </c>
      <c r="H24" s="506" t="inlineStr">
        <is>
          <t>Nhạc/Sound</t>
        </is>
      </c>
      <c r="I24" s="506" t="inlineStr">
        <is>
          <t>Đối Tượng (Age)</t>
        </is>
      </c>
      <c r="J24" s="506" t="inlineStr">
        <is>
          <t>Sở Thích</t>
        </is>
      </c>
      <c r="K24" s="506" t="inlineStr">
        <is>
          <t>Vị Trí</t>
        </is>
      </c>
      <c r="L24" s="506" t="inlineStr">
        <is>
          <t>Budget/Ngày (VND)</t>
        </is>
      </c>
      <c r="M24" s="506" t="inlineStr">
        <is>
          <t>KPI Kỳ Vọng</t>
        </is>
      </c>
    </row>
    <row r="25">
      <c r="A25" s="507" t="inlineStr">
        <is>
          <t>TK_MN_Challenge_01</t>
        </is>
      </c>
      <c r="B25" s="507" t="inlineStr">
        <is>
          <t>Engagement</t>
        </is>
      </c>
      <c r="C25" s="507" t="inlineStr">
        <is>
          <t>In-Feed</t>
        </is>
      </c>
      <c r="D25" s="508" t="n">
        <v>15</v>
      </c>
      <c r="E25" s="507" t="inlineStr">
        <is>
          <t>"Thử thách: Con bạn lên sân trường!"</t>
        </is>
      </c>
      <c r="F25" s="507" t="inlineStr">
        <is>
          <t>Trẻ chơi, cười, vui vẻ tại trường. Hashtag challenge.</t>
        </is>
      </c>
      <c r="G25" s="507" t="inlineStr">
        <is>
          <t>#MầmNonTrườngViệtAnh #ConYêuTrường</t>
        </is>
      </c>
      <c r="H25" s="507" t="inlineStr">
        <is>
          <t>Nhạc trending vui nhộn</t>
        </is>
      </c>
      <c r="I25" s="507" t="inlineStr">
        <is>
          <t>16-40</t>
        </is>
      </c>
      <c r="J25" s="507" t="inlineStr">
        <is>
          <t>Phụ huynh, Giáo viên</t>
        </is>
      </c>
      <c r="K25" s="507" t="inlineStr">
        <is>
          <t>HCMC</t>
        </is>
      </c>
      <c r="L25" s="508" t="n">
        <v>250000</v>
      </c>
      <c r="M25" s="507" t="inlineStr">
        <is>
          <t>Views 500K+, Engagement 5%</t>
        </is>
      </c>
    </row>
    <row r="26">
      <c r="A26" s="507" t="inlineStr">
        <is>
          <t>TK_TH_DayInLife_01</t>
        </is>
      </c>
      <c r="B26" s="507" t="inlineStr">
        <is>
          <t>Awareness</t>
        </is>
      </c>
      <c r="C26" s="507" t="inlineStr">
        <is>
          <t>In-Feed</t>
        </is>
      </c>
      <c r="D26" s="508" t="n">
        <v>30</v>
      </c>
      <c r="E26" s="507" t="inlineStr">
        <is>
          <t>"Một ngày học tiểu học siêu vui!"</t>
        </is>
      </c>
      <c r="F26" s="507" t="inlineStr">
        <is>
          <t>Vlog 30s: sáng: lớp học, giảng dạy, trưa: ăn cơm, chơi, chiều: ngoại khóa</t>
        </is>
      </c>
      <c r="G26" s="507" t="inlineStr">
        <is>
          <t>#MộtNgàyTạiTrườngViệtAnh #TiểuHọcTuyệtVời</t>
        </is>
      </c>
      <c r="H26" s="507" t="inlineStr">
        <is>
          <t>Nhạc inspirational nhẹ</t>
        </is>
      </c>
      <c r="I26" s="507" t="inlineStr">
        <is>
          <t>20-50</t>
        </is>
      </c>
      <c r="J26" s="507" t="inlineStr">
        <is>
          <t>Phụ huynh, Mẹ</t>
        </is>
      </c>
      <c r="K26" s="507" t="inlineStr">
        <is>
          <t>HCMC, Bình Dương</t>
        </is>
      </c>
      <c r="L26" s="508" t="n">
        <v>280000</v>
      </c>
      <c r="M26" s="507" t="inlineStr">
        <is>
          <t>Views 800K+, Save 3%</t>
        </is>
      </c>
    </row>
    <row r="27">
      <c r="A27" s="507" t="inlineStr">
        <is>
          <t>TK_THCS_Experiment_01</t>
        </is>
      </c>
      <c r="B27" s="507" t="inlineStr">
        <is>
          <t>Engagement</t>
        </is>
      </c>
      <c r="C27" s="507" t="inlineStr">
        <is>
          <t>In-Feed</t>
        </is>
      </c>
      <c r="D27" s="508" t="n">
        <v>20</v>
      </c>
      <c r="E27" s="507" t="inlineStr">
        <is>
          <t>"Thí nghiệm quá bất ngờ!"</t>
        </is>
      </c>
      <c r="F27" s="507" t="inlineStr">
        <is>
          <t>STEM thí nghiệm hóa học, vật lý. Kết thúc bất ngờ.</t>
        </is>
      </c>
      <c r="G27" s="507" t="inlineStr">
        <is>
          <t>#ThíNghiệmTHCS #KhoaPháoHóa</t>
        </is>
      </c>
      <c r="H27" s="507" t="inlineStr">
        <is>
          <t>Nhạc suspense trending</t>
        </is>
      </c>
      <c r="I27" s="507" t="inlineStr">
        <is>
          <t>25-50</t>
        </is>
      </c>
      <c r="J27" s="507" t="inlineStr">
        <is>
          <t>Giáo viên, Phụ huynh</t>
        </is>
      </c>
      <c r="K27" s="507" t="inlineStr">
        <is>
          <t>HCMC</t>
        </is>
      </c>
      <c r="L27" s="508" t="n">
        <v>270000</v>
      </c>
      <c r="M27" s="507" t="inlineStr">
        <is>
          <t>Views 1M+, Comments 2%</t>
        </is>
      </c>
    </row>
    <row r="28">
      <c r="A28" s="507" t="inlineStr">
        <is>
          <t>TK_THPT_Success_01</t>
        </is>
      </c>
      <c r="B28" s="507" t="inlineStr">
        <is>
          <t>Awareness</t>
        </is>
      </c>
      <c r="C28" s="507" t="inlineStr">
        <is>
          <t>In-Feed</t>
        </is>
      </c>
      <c r="D28" s="508" t="n">
        <v>25</v>
      </c>
      <c r="E28" s="507" t="inlineStr">
        <is>
          <t>"Lớp 10 đã giúp tôi thay đổi"</t>
        </is>
      </c>
      <c r="F28" s="507" t="inlineStr">
        <is>
          <t>Testimonial: học sinh kể chuyện thay đổi + kết quả học tập.</t>
        </is>
      </c>
      <c r="G28" s="507" t="inlineStr">
        <is>
          <t>#Lớp10TrườngViệtAnh #SuccessStory</t>
        </is>
      </c>
      <c r="H28" s="507" t="inlineStr">
        <is>
          <t>Nhạc motivational</t>
        </is>
      </c>
      <c r="I28" s="507" t="inlineStr">
        <is>
          <t>30-60</t>
        </is>
      </c>
      <c r="J28" s="507" t="inlineStr">
        <is>
          <t>Phụ huynh, Học sinh cũ</t>
        </is>
      </c>
      <c r="K28" s="507" t="inlineStr">
        <is>
          <t>HCMC</t>
        </is>
      </c>
      <c r="L28" s="508" t="n">
        <v>290000</v>
      </c>
      <c r="M28" s="507" t="inlineStr">
        <is>
          <t>Views 600K+, Save 2.5%</t>
        </is>
      </c>
    </row>
    <row r="29">
      <c r="A29" s="507" t="inlineStr">
        <is>
          <t>TK_OpenDay_Countdown_01</t>
        </is>
      </c>
      <c r="B29" s="507" t="inlineStr">
        <is>
          <t>Conversion</t>
        </is>
      </c>
      <c r="C29" s="507" t="inlineStr">
        <is>
          <t>In-Feed</t>
        </is>
      </c>
      <c r="D29" s="508" t="n">
        <v>15</v>
      </c>
      <c r="E29" s="507" t="inlineStr">
        <is>
          <t>"3 NGÀY NỮA MỚI OPEN DAY!"</t>
        </is>
      </c>
      <c r="F29" s="507" t="inlineStr">
        <is>
          <t>Countdown hype: show các hoạt động, cơ sở sẽ thấy tại open day.</t>
        </is>
      </c>
      <c r="G29" s="507" t="inlineStr">
        <is>
          <t>#OpenDay20Tháng4 #ĐợiChưa</t>
        </is>
      </c>
      <c r="H29" s="507" t="inlineStr">
        <is>
          <t>Nhạc hype trending</t>
        </is>
      </c>
      <c r="I29" s="507" t="inlineStr">
        <is>
          <t>20-50</t>
        </is>
      </c>
      <c r="J29" s="507" t="inlineStr">
        <is>
          <t>Phụ huynh</t>
        </is>
      </c>
      <c r="K29" s="507" t="inlineStr">
        <is>
          <t>HCMC</t>
        </is>
      </c>
      <c r="L29" s="508" t="n">
        <v>320000</v>
      </c>
      <c r="M29" s="507" t="inlineStr">
        <is>
          <t>Saves 4%, Conversions 1.5%</t>
        </is>
      </c>
    </row>
    <row r="30">
      <c r="A30" s="507" t="inlineStr">
        <is>
          <t>TK_Scholarship_Promo_01</t>
        </is>
      </c>
      <c r="B30" s="507" t="inlineStr">
        <is>
          <t>Conversion</t>
        </is>
      </c>
      <c r="C30" s="507" t="inlineStr">
        <is>
          <t>In-Feed</t>
        </is>
      </c>
      <c r="D30" s="508" t="n">
        <v>18</v>
      </c>
      <c r="E30" s="507" t="inlineStr">
        <is>
          <t>"Học bổng 20 TRIỆU CHỜ BẠN!"</t>
        </is>
      </c>
      <c r="F30" s="507" t="inlineStr">
        <is>
          <t>Giới thiệu học bổng, cách apply, deadline sắp tới.</t>
        </is>
      </c>
      <c r="G30" s="507" t="inlineStr">
        <is>
          <t>#HọcBổng #CơHộiVàng</t>
        </is>
      </c>
      <c r="H30" s="507" t="inlineStr">
        <is>
          <t>Nhạc excited upbeat</t>
        </is>
      </c>
      <c r="I30" s="507" t="inlineStr">
        <is>
          <t>25-50</t>
        </is>
      </c>
      <c r="J30" s="507" t="inlineStr">
        <is>
          <t>Phụ huynh, Học sinh</t>
        </is>
      </c>
      <c r="K30" s="507" t="inlineStr">
        <is>
          <t>HCMC</t>
        </is>
      </c>
      <c r="L30" s="508" t="n">
        <v>260000</v>
      </c>
      <c r="M30" s="507" t="inlineStr">
        <is>
          <t>Clicks 2.5%, Conversions 1.2%</t>
        </is>
      </c>
    </row>
    <row r="31">
      <c r="A31" s="507" t="inlineStr">
        <is>
          <t>TK_Teachers_Spotlight_01</t>
        </is>
      </c>
      <c r="B31" s="507" t="inlineStr">
        <is>
          <t>Awareness</t>
        </is>
      </c>
      <c r="C31" s="507" t="inlineStr">
        <is>
          <t>In-Feed</t>
        </is>
      </c>
      <c r="D31" s="508" t="n">
        <v>20</v>
      </c>
      <c r="E31" s="507" t="inlineStr">
        <is>
          <t>"Nghe các cô giáo nói!"</t>
        </is>
      </c>
      <c r="F31" s="507" t="inlineStr">
        <is>
          <t>Giáo viên tự giới thiệu, vì sao yêu thích công việc tại trường.</t>
        </is>
      </c>
      <c r="G31" s="507" t="inlineStr">
        <is>
          <t>#GiáoViênTrườngViệtAnh #LaThầnTượng</t>
        </is>
      </c>
      <c r="H31" s="507" t="inlineStr">
        <is>
          <t>Nhạc warm &amp; friendly</t>
        </is>
      </c>
      <c r="I31" s="507" t="inlineStr">
        <is>
          <t>25-60</t>
        </is>
      </c>
      <c r="J31" s="507" t="inlineStr">
        <is>
          <t>Phụ huynh</t>
        </is>
      </c>
      <c r="K31" s="507" t="inlineStr">
        <is>
          <t>HCMC</t>
        </is>
      </c>
      <c r="L31" s="508" t="n">
        <v>240000</v>
      </c>
      <c r="M31" s="507" t="inlineStr">
        <is>
          <t>Views 700K+, Engagement 4%</t>
        </is>
      </c>
    </row>
    <row r="32">
      <c r="A32" s="507" t="inlineStr">
        <is>
          <t>TK_Facilities_Tour_01</t>
        </is>
      </c>
      <c r="B32" s="507" t="inlineStr">
        <is>
          <t>Awareness</t>
        </is>
      </c>
      <c r="C32" s="507" t="inlineStr">
        <is>
          <t>In-Feed</t>
        </is>
      </c>
      <c r="D32" s="508" t="n">
        <v>30</v>
      </c>
      <c r="E32" s="507" t="inlineStr">
        <is>
          <t>"Tour cơ sở 2 phút!"</t>
        </is>
      </c>
      <c r="F32" s="507" t="inlineStr">
        <is>
          <t>Quick tour: phòng học, sân chơi, thư viện, phòng máy tính.</t>
        </is>
      </c>
      <c r="G32" s="507" t="inlineStr">
        <is>
          <t>#TourCơSở #CơSởXịn</t>
        </is>
      </c>
      <c r="H32" s="507" t="inlineStr">
        <is>
          <t>Nhạc exploration upbeat</t>
        </is>
      </c>
      <c r="I32" s="507" t="inlineStr">
        <is>
          <t>20-50</t>
        </is>
      </c>
      <c r="J32" s="507" t="inlineStr">
        <is>
          <t>Phụ huynh</t>
        </is>
      </c>
      <c r="K32" s="507" t="inlineStr">
        <is>
          <t>HCMC</t>
        </is>
      </c>
      <c r="L32" s="508" t="n">
        <v>250000</v>
      </c>
      <c r="M32" s="507" t="inlineStr">
        <is>
          <t>Views 900K+, Saves 2.8%</t>
        </is>
      </c>
    </row>
    <row r="33">
      <c r="A33" s="507" t="inlineStr">
        <is>
          <t>TK_Student_Life_01</t>
        </is>
      </c>
      <c r="B33" s="507" t="inlineStr">
        <is>
          <t>Engagement</t>
        </is>
      </c>
      <c r="C33" s="507" t="inlineStr">
        <is>
          <t>In-Feed</t>
        </is>
      </c>
      <c r="D33" s="508" t="n">
        <v>25</v>
      </c>
      <c r="E33" s="507" t="inlineStr">
        <is>
          <t>"Sự thật về học sinh Việt Anh"</t>
        </is>
      </c>
      <c r="F33" s="507" t="inlineStr">
        <is>
          <t>Funny/relatable: học sinh kể lại sự thật vui vẻ về trường.</t>
        </is>
      </c>
      <c r="G33" s="507" t="inlineStr">
        <is>
          <t>#ĐứcSinhhọcViệtAnh #Sựthật</t>
        </is>
      </c>
      <c r="H33" s="507" t="inlineStr">
        <is>
          <t>Nhạc funny trending</t>
        </is>
      </c>
      <c r="I33" s="507" t="inlineStr">
        <is>
          <t>15-40</t>
        </is>
      </c>
      <c r="J33" s="507" t="inlineStr">
        <is>
          <t>Học sinh cũ, bạn bè</t>
        </is>
      </c>
      <c r="K33" s="507" t="inlineStr">
        <is>
          <t>HCMC, các tỉnh</t>
        </is>
      </c>
      <c r="L33" s="508" t="n">
        <v>200000</v>
      </c>
      <c r="M33" s="507" t="inlineStr">
        <is>
          <t>Views 1.2M+, Comments 3%</t>
        </is>
      </c>
    </row>
    <row r="34">
      <c r="A34" s="507" t="inlineStr">
        <is>
          <t>TK_Bilingual_Journey_01</t>
        </is>
      </c>
      <c r="B34" s="507" t="inlineStr">
        <is>
          <t>Awareness</t>
        </is>
      </c>
      <c r="C34" s="507" t="inlineStr">
        <is>
          <t>In-Feed</t>
        </is>
      </c>
      <c r="D34" s="508" t="n">
        <v>20</v>
      </c>
      <c r="E34" s="507" t="inlineStr">
        <is>
          <t>"Hành trình tiếng Anh của tôi"</t>
        </is>
      </c>
      <c r="F34" s="507" t="inlineStr">
        <is>
          <t>Học sinh kể lại sự tiến bộ từ lớp mầm non đến cấp ba.</t>
        </is>
      </c>
      <c r="G34" s="507" t="inlineStr">
        <is>
          <t>#HànhTrìnhTiếngAnh #NgoạiNgữ</t>
        </is>
      </c>
      <c r="H34" s="507" t="inlineStr">
        <is>
          <t>Nhạc inspirational</t>
        </is>
      </c>
      <c r="I34" s="507" t="inlineStr">
        <is>
          <t>25-50</t>
        </is>
      </c>
      <c r="J34" s="507" t="inlineStr">
        <is>
          <t>Phụ huynh</t>
        </is>
      </c>
      <c r="K34" s="507" t="inlineStr">
        <is>
          <t>HCMC</t>
        </is>
      </c>
      <c r="L34" s="508" t="n">
        <v>270000</v>
      </c>
      <c r="M34" s="507" t="inlineStr">
        <is>
          <t>Views 700K+, Saves 3%</t>
        </is>
      </c>
    </row>
    <row r="35">
      <c r="A35" s="507" t="inlineStr">
        <is>
          <t>TK_Activities_Montage_01</t>
        </is>
      </c>
      <c r="B35" s="507" t="inlineStr">
        <is>
          <t>Engagement</t>
        </is>
      </c>
      <c r="C35" s="507" t="inlineStr">
        <is>
          <t>In-Feed</t>
        </is>
      </c>
      <c r="D35" s="508" t="n">
        <v>15</v>
      </c>
      <c r="E35" s="507" t="inlineStr">
        <is>
          <t>"Con yêu trường vì..."</t>
        </is>
      </c>
      <c r="F35" s="507" t="inlineStr">
        <is>
          <t>Montage nhanh: thể thao, nghệ thuật, khám phá. 1 activity/1 giây.</t>
        </is>
      </c>
      <c r="G35" s="507" t="inlineStr">
        <is>
          <t>#HoạtĐộngNgoàiKhóa #ConYêuTrường</t>
        </is>
      </c>
      <c r="H35" s="507" t="inlineStr">
        <is>
          <t>Nhạc energetic upbeat</t>
        </is>
      </c>
      <c r="I35" s="507" t="inlineStr">
        <is>
          <t>20-55</t>
        </is>
      </c>
      <c r="J35" s="507" t="inlineStr">
        <is>
          <t>Phụ huynh, Giáo viên</t>
        </is>
      </c>
      <c r="K35" s="507" t="inlineStr">
        <is>
          <t>HCMC</t>
        </is>
      </c>
      <c r="L35" s="508" t="n">
        <v>260000</v>
      </c>
      <c r="M35" s="507" t="inlineStr">
        <is>
          <t>Views 1.1M+, Engagement 5%</t>
        </is>
      </c>
    </row>
    <row r="36">
      <c r="A36" s="507" t="inlineStr">
        <is>
          <t>TK_Safety_Trust_01</t>
        </is>
      </c>
      <c r="B36" s="507" t="inlineStr">
        <is>
          <t>Awareness</t>
        </is>
      </c>
      <c r="C36" s="507" t="inlineStr">
        <is>
          <t>In-Feed</t>
        </is>
      </c>
      <c r="D36" s="508" t="n">
        <v>20</v>
      </c>
      <c r="E36" s="507" t="inlineStr">
        <is>
          <t>"An toàn 100% - Bố mẹ yên tâm"</t>
        </is>
      </c>
      <c r="F36" s="507" t="inlineStr">
        <is>
          <t>Show camera system, bảo vệ, hệ thống báo động.</t>
        </is>
      </c>
      <c r="G36" s="507" t="inlineStr">
        <is>
          <t>#AnToàn #BốMẹYênTâm</t>
        </is>
      </c>
      <c r="H36" s="507" t="inlineStr">
        <is>
          <t>Nhạc calm reassuring</t>
        </is>
      </c>
      <c r="I36" s="507" t="inlineStr">
        <is>
          <t>30-60</t>
        </is>
      </c>
      <c r="J36" s="507" t="inlineStr">
        <is>
          <t>Phụ huynh</t>
        </is>
      </c>
      <c r="K36" s="507" t="inlineStr">
        <is>
          <t>HCMC</t>
        </is>
      </c>
      <c r="L36" s="508" t="n">
        <v>220000</v>
      </c>
      <c r="M36" s="507" t="inlineStr">
        <is>
          <t>Views 500K+, Save 2%</t>
        </is>
      </c>
    </row>
    <row r="37">
      <c r="A37" s="507" t="inlineStr">
        <is>
          <t>TK_Cost_Friendly_01</t>
        </is>
      </c>
      <c r="B37" s="507" t="inlineStr">
        <is>
          <t>Conversion</t>
        </is>
      </c>
      <c r="C37" s="507" t="inlineStr">
        <is>
          <t>In-Feed</t>
        </is>
      </c>
      <c r="D37" s="508" t="n">
        <v>18</v>
      </c>
      <c r="E37" s="507" t="inlineStr">
        <is>
          <t>"Học phí bao nhiêu? Bạn sẽ bất ngờ!"</t>
        </is>
      </c>
      <c r="F37" s="507" t="inlineStr">
        <is>
          <t>Reveal học phí + gói hỗ trợ, so sánh với trường khác (không nêu tên).</t>
        </is>
      </c>
      <c r="G37" s="507" t="inlineStr">
        <is>
          <t>#HọcPhíHợpLý #GiáCạnhTranh</t>
        </is>
      </c>
      <c r="H37" s="507" t="inlineStr">
        <is>
          <t>Nhạc exciting reveal</t>
        </is>
      </c>
      <c r="I37" s="507" t="inlineStr">
        <is>
          <t>25-60</t>
        </is>
      </c>
      <c r="J37" s="507" t="inlineStr">
        <is>
          <t>Phụ huynh</t>
        </is>
      </c>
      <c r="K37" s="507" t="inlineStr">
        <is>
          <t>HCMC</t>
        </is>
      </c>
      <c r="L37" s="508" t="n">
        <v>240000</v>
      </c>
      <c r="M37" s="507" t="inlineStr">
        <is>
          <t>Clicks 2.2%, Conversions 1.3%</t>
        </is>
      </c>
    </row>
    <row r="38">
      <c r="A38" s="507" t="inlineStr">
        <is>
          <t>TK_Hybrid_Flexibility_01</t>
        </is>
      </c>
      <c r="B38" s="507" t="inlineStr">
        <is>
          <t>Awareness</t>
        </is>
      </c>
      <c r="C38" s="507" t="inlineStr">
        <is>
          <t>In-Feed</t>
        </is>
      </c>
      <c r="D38" s="508" t="n">
        <v>20</v>
      </c>
      <c r="E38" s="507" t="inlineStr">
        <is>
          <t>"Bệnh hay bận không lo!"</t>
        </is>
      </c>
      <c r="F38" s="507" t="inlineStr">
        <is>
          <t>Giới thiệu mô hình hybrid: online when needed, offline normally.</t>
        </is>
      </c>
      <c r="G38" s="507" t="inlineStr">
        <is>
          <t>#HọcTậpLinhHoạt #ConKhỏeConTiên</t>
        </is>
      </c>
      <c r="H38" s="507" t="inlineStr">
        <is>
          <t>Nhạc modern upbeat</t>
        </is>
      </c>
      <c r="I38" s="507" t="inlineStr">
        <is>
          <t>25-55</t>
        </is>
      </c>
      <c r="J38" s="507" t="inlineStr">
        <is>
          <t>Phụ huynh, Giáo viên</t>
        </is>
      </c>
      <c r="K38" s="507" t="inlineStr">
        <is>
          <t>HCMC</t>
        </is>
      </c>
      <c r="L38" s="508" t="n">
        <v>230000</v>
      </c>
      <c r="M38" s="507" t="inlineStr">
        <is>
          <t>Views 600K+, Engagement 3.5%</t>
        </is>
      </c>
    </row>
    <row r="39">
      <c r="A39" s="507" t="inlineStr">
        <is>
          <t>TK_Community_Family_01</t>
        </is>
      </c>
      <c r="B39" s="507" t="inlineStr">
        <is>
          <t>Awareness</t>
        </is>
      </c>
      <c r="C39" s="507" t="inlineStr">
        <is>
          <t>In-Feed</t>
        </is>
      </c>
      <c r="D39" s="508" t="n">
        <v>25</v>
      </c>
      <c r="E39" s="507" t="inlineStr">
        <is>
          <t>"Cộng đồng nơi bạn là gia đình"</t>
        </is>
      </c>
      <c r="F39" s="507" t="inlineStr">
        <is>
          <t>Montage: học sinh chơi cùng, giáo viên chăm sóc, sự gắn kết.</t>
        </is>
      </c>
      <c r="G39" s="507" t="inlineStr">
        <is>
          <t>#CộngĐồngGiáoD #GiàĐìnhTrườngHọc</t>
        </is>
      </c>
      <c r="H39" s="507" t="inlineStr">
        <is>
          <t>Nhạc warm emotional</t>
        </is>
      </c>
      <c r="I39" s="507" t="inlineStr">
        <is>
          <t>20-55</t>
        </is>
      </c>
      <c r="J39" s="507" t="inlineStr">
        <is>
          <t>Phụ huynh</t>
        </is>
      </c>
      <c r="K39" s="507" t="inlineStr">
        <is>
          <t>HCMC</t>
        </is>
      </c>
      <c r="L39" s="508" t="n">
        <v>250000</v>
      </c>
      <c r="M39" s="507" t="inlineStr">
        <is>
          <t>Views 800K+, Saves 3.2%</t>
        </is>
      </c>
    </row>
    <row r="42">
      <c r="A42" s="533" t="inlineStr">
        <is>
          <t>B. TIKTOK ADS CAMPAIGNS THEO PHỄU + CREATIVE SCRIPTS</t>
        </is>
      </c>
    </row>
    <row r="44">
      <c r="A44" s="495" t="inlineStr">
        <is>
          <t>Campaign Name</t>
        </is>
      </c>
      <c r="B44" s="495" t="inlineStr">
        <is>
          <t>Objective</t>
        </is>
      </c>
      <c r="C44" s="495" t="inlineStr">
        <is>
          <t>Audience Targeting</t>
        </is>
      </c>
      <c r="D44" s="495" t="inlineStr">
        <is>
          <t>Ad Type</t>
        </is>
      </c>
      <c r="E44" s="495" t="inlineStr">
        <is>
          <t>Creative Hook (0-3s)</t>
        </is>
      </c>
      <c r="F44" s="495" t="inlineStr">
        <is>
          <t>Creative Body (3-18s)</t>
        </is>
      </c>
      <c r="G44" s="495" t="inlineStr">
        <is>
          <t>Creative CTA (18-30s)</t>
        </is>
      </c>
      <c r="H44" s="495" t="inlineStr">
        <is>
          <t>Budget/day</t>
        </is>
      </c>
      <c r="I44" s="495" t="inlineStr">
        <is>
          <t>KPI Target</t>
        </is>
      </c>
      <c r="J44" s="495" t="inlineStr">
        <is>
          <t>Landing Page URL</t>
        </is>
      </c>
      <c r="K44" s="495" t="inlineStr">
        <is>
          <t>GTM Events</t>
        </is>
      </c>
      <c r="L44" s="495" t="inlineStr">
        <is>
          <t>Remark</t>
        </is>
      </c>
    </row>
    <row r="45">
      <c r="A45" s="499" t="inlineStr">
        <is>
          <t>Spark_Testimonial_MN</t>
        </is>
      </c>
      <c r="B45" s="499" t="inlineStr">
        <is>
          <t>Lead Generation</t>
        </is>
      </c>
      <c r="C45" s="499" t="inlineStr">
        <is>
          <t>Age 25-40 | Parenting interest | Parents 0-5yo</t>
        </is>
      </c>
      <c r="D45" s="499" t="inlineStr">
        <is>
          <t>Spark Ad (boost organic)</t>
        </is>
      </c>
      <c r="E45" s="500" t="inlineStr">
        <is>
          <t>"Mình lo gì khi con đi mầm non?" Phụ huynh Việt Anh chia sẻ...</t>
        </is>
      </c>
      <c r="F45" s="500" t="inlineStr">
        <is>
          <t>Video PH kể về con, tiếp cận giáo dục, sự phát triển sau 1 năm tại Việt Anh</t>
        </is>
      </c>
      <c r="G45" s="500" t="inlineStr">
        <is>
          <t>Xem thêm testimonial tại Việt Anh. Tham tour miễn phí hôm nay!</t>
        </is>
      </c>
      <c r="H45" s="500" t="inlineStr">
        <is>
          <t>80000</t>
        </is>
      </c>
      <c r="I45" s="500" t="inlineStr">
        <is>
          <t>CPV ≤ 3K, Engage ≥ 8%</t>
        </is>
      </c>
      <c r="J45" s="500" t="inlineStr">
        <is>
          <t>forms.truongvietanh.com/tuyen-sinh-mam-non/phu-huynh-noi-gi</t>
        </is>
      </c>
      <c r="K45" s="500" t="inlineStr">
        <is>
          <t>ViewContent, ClickLink</t>
        </is>
      </c>
      <c r="L45" s="500" t="inlineStr">
        <is>
          <t>Organic boost - testimonial</t>
        </is>
      </c>
    </row>
    <row r="46">
      <c r="A46" s="499" t="inlineStr">
        <is>
          <t>Spark_Tour_MN</t>
        </is>
      </c>
      <c r="B46" s="499" t="inlineStr">
        <is>
          <t>Lead Generation</t>
        </is>
      </c>
      <c r="C46" s="499" t="inlineStr">
        <is>
          <t>Age 25-40 | New parents | HCM geo</t>
        </is>
      </c>
      <c r="D46" s="499" t="inlineStr">
        <is>
          <t>Spark Ad (boost organic)</t>
        </is>
      </c>
      <c r="E46" s="500" t="inlineStr">
        <is>
          <t>"Cơ sở mầm non như thế nào là tốt?" Tour nhanh Việt Anh...</t>
        </is>
      </c>
      <c r="F46" s="500" t="inlineStr">
        <is>
          <t>Video 15s tour các phòng học, sân chơi, bếp ăn, thư viện</t>
        </is>
      </c>
      <c r="G46" s="500" t="inlineStr">
        <is>
          <t>Đặt lịch tham tour hôm nay - chỗ giới hạn! Zalo hoặc form đăng ký</t>
        </is>
      </c>
      <c r="H46" s="500" t="inlineStr">
        <is>
          <t>70000</t>
        </is>
      </c>
      <c r="I46" s="500" t="inlineStr">
        <is>
          <t>CPV ≤ 2.5K, Save ≥ 10%</t>
        </is>
      </c>
      <c r="J46" s="500" t="inlineStr">
        <is>
          <t>forms.truongvietanh.com/tuyen-sinh-mam-non/dat-lich-tham-quan</t>
        </is>
      </c>
      <c r="K46" s="500" t="inlineStr">
        <is>
          <t>ViewContent, ClickLink, AddToCart</t>
        </is>
      </c>
      <c r="L46" s="500" t="inlineStr">
        <is>
          <t>Campus tour spark</t>
        </is>
      </c>
    </row>
    <row r="47">
      <c r="A47" s="499" t="inlineStr">
        <is>
          <t>Spark_ActivitiesMN</t>
        </is>
      </c>
      <c r="B47" s="499" t="inlineStr">
        <is>
          <t>Engagement</t>
        </is>
      </c>
      <c r="C47" s="499" t="inlineStr">
        <is>
          <t>Age 25-40 | Parents 2-5yo | Lifestyle interest</t>
        </is>
      </c>
      <c r="D47" s="499" t="inlineStr">
        <is>
          <t>Spark Ad (boost organic)</t>
        </is>
      </c>
      <c r="E47" s="500" t="inlineStr">
        <is>
          <t>"Cô giáo dạy gì cho con?" Xem hoạt động thường ngày...</t>
        </is>
      </c>
      <c r="F47" s="500" t="inlineStr">
        <is>
          <t>Montage 20s: vẽ, chơi, học tiếng anh, ăn cơm, ngủ trưa, chơi ngoài trời</t>
        </is>
      </c>
      <c r="G47" s="500" t="inlineStr">
        <is>
          <t>Theo dõi Việt Anh để xem thêm videos. Like và chia sẻ cho bạn bè!</t>
        </is>
      </c>
      <c r="H47" s="500" t="inlineStr">
        <is>
          <t>50000</t>
        </is>
      </c>
      <c r="I47" s="500" t="inlineStr">
        <is>
          <t>Engagement ≥ 12%, CPV ≤ 2K</t>
        </is>
      </c>
      <c r="J47" s="500" t="inlineStr">
        <is>
          <t>forms.truongvietanh.com/tuyen-sinh-mam-non</t>
        </is>
      </c>
      <c r="K47" s="500" t="inlineStr">
        <is>
          <t>ViewContent, ClickLink, Like</t>
        </is>
      </c>
      <c r="L47" s="500" t="inlineStr">
        <is>
          <t>Activities showcase</t>
        </is>
      </c>
    </row>
    <row r="48">
      <c r="A48" s="499" t="inlineStr">
        <is>
          <t>Spark_AlumniSuccess_TH</t>
        </is>
      </c>
      <c r="B48" s="499" t="inlineStr">
        <is>
          <t>Lead Generation</t>
        </is>
      </c>
      <c r="C48" s="499" t="inlineStr">
        <is>
          <t>Age 25-45 | Parents 5-8yo | Education interest</t>
        </is>
      </c>
      <c r="D48" s="499" t="inlineStr">
        <is>
          <t>Spark Ad (boost organic)</t>
        </is>
      </c>
      <c r="E48" s="500" t="inlineStr">
        <is>
          <t>"Cô con học Tiểu Học Việt Anh rồi" - Phụ huynh chia sẻ...</t>
        </is>
      </c>
      <c r="F48" s="500" t="inlineStr">
        <is>
          <t>Alumni success stories: vào lớp 6 chuyên, SAT score cao, tự tin kỹ năng mềm</t>
        </is>
      </c>
      <c r="G48" s="500" t="inlineStr">
        <is>
          <t>Tham tour TH hoặc tư vấn chi tiết. Link trong bio</t>
        </is>
      </c>
      <c r="H48" s="500" t="inlineStr">
        <is>
          <t>100000</t>
        </is>
      </c>
      <c r="I48" s="500" t="inlineStr">
        <is>
          <t>CPV ≤ 3K, Save ≥ 12%</t>
        </is>
      </c>
      <c r="J48" s="500" t="inlineStr">
        <is>
          <t>forms.truongvietanh.com/tuyen-sinh-tieu-hoc</t>
        </is>
      </c>
      <c r="K48" s="500" t="inlineStr">
        <is>
          <t>ViewContent, ClickLink, Lead</t>
        </is>
      </c>
      <c r="L48" s="500" t="inlineStr">
        <is>
          <t>Alumni success TH</t>
        </is>
      </c>
    </row>
    <row r="49">
      <c r="A49" s="499" t="inlineStr">
        <is>
          <t>Spark_Grade1Prep_TH</t>
        </is>
      </c>
      <c r="B49" s="499" t="inlineStr">
        <is>
          <t>Lead Generation</t>
        </is>
      </c>
      <c r="C49" s="499" t="inlineStr">
        <is>
          <t>Age 25-40 | Parents preparing for grade 1</t>
        </is>
      </c>
      <c r="D49" s="499" t="inlineStr">
        <is>
          <t>Spark Ad (boost organic)</t>
        </is>
      </c>
      <c r="E49" s="500" t="inlineStr">
        <is>
          <t>"Chuẩn bị con vào lớp 1 - bắt đầu từ đâu?" Chuyên gia Việt Anh...</t>
        </is>
      </c>
      <c r="F49" s="500" t="inlineStr">
        <is>
          <t>Tips video: kỹ năng cơ bản, môi trường học tập, chương trình chuẩn bị</t>
        </is>
      </c>
      <c r="G49" s="500" t="inlineStr">
        <is>
          <t>Tìm hiểu chương trình chuẩn bị lớp 1 tại Việt Anh. Đặt lịch ngay!</t>
        </is>
      </c>
      <c r="H49" s="500" t="inlineStr">
        <is>
          <t>85000</t>
        </is>
      </c>
      <c r="I49" s="500" t="inlineStr">
        <is>
          <t>CPV ≤ 3.2K, Engage ≥ 9%</t>
        </is>
      </c>
      <c r="J49" s="500" t="inlineStr">
        <is>
          <t>forms.truongvietanh.com/tuyen-sinh-tieu-hoc/chuong-trinh</t>
        </is>
      </c>
      <c r="K49" s="500" t="inlineStr">
        <is>
          <t>ViewContent, ClickLink, Lead</t>
        </is>
      </c>
      <c r="L49" s="500" t="inlineStr">
        <is>
          <t>Grade 1 prep TH</t>
        </is>
      </c>
    </row>
    <row r="50">
      <c r="A50" s="499" t="inlineStr">
        <is>
          <t>Spark_ExamPrep_THCS</t>
        </is>
      </c>
      <c r="B50" s="499" t="inlineStr">
        <is>
          <t>Lead Generation</t>
        </is>
      </c>
      <c r="C50" s="499" t="inlineStr">
        <is>
          <t>Age 30-50 | Parents 11-12yo | Exam preparation interest</t>
        </is>
      </c>
      <c r="D50" s="499" t="inlineStr">
        <is>
          <t>Spark Ad (boost organic)</t>
        </is>
      </c>
      <c r="E50" s="500" t="inlineStr">
        <is>
          <t>"Chuẩn bị thi lớp 6 - Kinh nghiệm từ trường THCS hàng đầu"</t>
        </is>
      </c>
      <c r="F50" s="500" t="inlineStr">
        <is>
          <t>Exam tips, success rate stats, student testimonials, study methods</t>
        </is>
      </c>
      <c r="G50" s="500" t="inlineStr">
        <is>
          <t>Tham tour THCS + tư vấn chuẩn bị thi. Liên hệ qua Zalo hoặc form</t>
        </is>
      </c>
      <c r="H50" s="500" t="inlineStr">
        <is>
          <t>120000</t>
        </is>
      </c>
      <c r="I50" s="500" t="inlineStr">
        <is>
          <t>CPV ≤ 3.5K, Save ≥ 15%</t>
        </is>
      </c>
      <c r="J50" s="500" t="inlineStr">
        <is>
          <t>forms.truongvietanh.com/tuyen-sinh-thcs</t>
        </is>
      </c>
      <c r="K50" s="500" t="inlineStr">
        <is>
          <t>ViewContent, ClickLink, Lead</t>
        </is>
      </c>
      <c r="L50" s="500" t="inlineStr">
        <is>
          <t>Exam prep THCS</t>
        </is>
      </c>
    </row>
    <row r="51">
      <c r="A51" s="499" t="inlineStr">
        <is>
          <t>Spark_UniversitySAT_THPT</t>
        </is>
      </c>
      <c r="B51" s="499" t="inlineStr">
        <is>
          <t>Lead Generation</t>
        </is>
      </c>
      <c r="C51" s="499" t="inlineStr">
        <is>
          <t>Age 35-55 | Parents 14-17yo | Career + education interest</t>
        </is>
      </c>
      <c r="D51" s="499" t="inlineStr">
        <is>
          <t>Spark Ad (boost organic)</t>
        </is>
      </c>
      <c r="E51" s="500" t="inlineStr">
        <is>
          <t>"Con muốn vào ĐH nước ngoài? Bắt đầu từ THPT Việt Anh"</t>
        </is>
      </c>
      <c r="F51" s="500" t="inlineStr">
        <is>
          <t>SAT prep, IELTS classes, university admission success stories, alumni at top universities</t>
        </is>
      </c>
      <c r="G51" s="500" t="inlineStr">
        <is>
          <t>Tư vấn lộ trình SAT/IELTS + Đại học. Tham tour THPT Việt Anh</t>
        </is>
      </c>
      <c r="H51" s="500" t="inlineStr">
        <is>
          <t>150000</t>
        </is>
      </c>
      <c r="I51" s="500" t="inlineStr">
        <is>
          <t>CPV ≤ 4K, Save ≥ 12%</t>
        </is>
      </c>
      <c r="J51" s="500" t="inlineStr">
        <is>
          <t>forms.truongvietanh.com/tuyen-sinh-thpt</t>
        </is>
      </c>
      <c r="K51" s="500" t="inlineStr">
        <is>
          <t>ViewContent, ClickLink, Lead</t>
        </is>
      </c>
      <c r="L51" s="500" t="inlineStr">
        <is>
          <t>University prep THPT</t>
        </is>
      </c>
    </row>
    <row r="52">
      <c r="A52" s="499" t="inlineStr">
        <is>
          <t>Spark_OpenDay_Event</t>
        </is>
      </c>
      <c r="B52" s="499" t="inlineStr">
        <is>
          <t>Event Promotion</t>
        </is>
      </c>
      <c r="C52" s="499" t="inlineStr">
        <is>
          <t>Age 25-50 | Parents all levels | HCM location</t>
        </is>
      </c>
      <c r="D52" s="499" t="inlineStr">
        <is>
          <t>Spark Ad (boost organic)</t>
        </is>
      </c>
      <c r="E52" s="500" t="inlineStr">
        <is>
          <t>"Ghé thăm Việt Anh vào thứ 7 - Open Day tháng 6!" Đăng ký miễn phí</t>
        </is>
      </c>
      <c r="F52" s="500" t="inlineStr">
        <is>
          <t>Video highlights: tour cơ sở, gặp thầy cô, vui chơi cùng học sinh</t>
        </is>
      </c>
      <c r="G52" s="500" t="inlineStr">
        <is>
          <t>Đăng ký Open Day ngay - Hạn chế 100 gia đình. Zalo: xxx-xxx-xxx</t>
        </is>
      </c>
      <c r="H52" s="500" t="inlineStr">
        <is>
          <t>100000</t>
        </is>
      </c>
      <c r="I52" s="500" t="inlineStr">
        <is>
          <t>CPV ≤ 2.5K, Engage ≥ 15%</t>
        </is>
      </c>
      <c r="J52" s="500" t="inlineStr">
        <is>
          <t>forms.truongvietanh.com/tuyen-sinh-mam-non/open-day-t6</t>
        </is>
      </c>
      <c r="K52" s="500" t="inlineStr">
        <is>
          <t>ViewContent, ClickLink, AddToCalendar</t>
        </is>
      </c>
      <c r="L52" s="500" t="inlineStr">
        <is>
          <t>OpenDay event</t>
        </is>
      </c>
    </row>
    <row r="53">
      <c r="A53" s="499" t="inlineStr">
        <is>
          <t>Spark_Webinar_EduTalk</t>
        </is>
      </c>
      <c r="B53" s="499" t="inlineStr">
        <is>
          <t>Lead Generation</t>
        </is>
      </c>
      <c r="C53" s="499" t="inlineStr">
        <is>
          <t>Age 25-50 | Parents interested in education</t>
        </is>
      </c>
      <c r="D53" s="499" t="inlineStr">
        <is>
          <t>Spark Ad (boost organic)</t>
        </is>
      </c>
      <c r="E53" s="500" t="inlineStr">
        <is>
          <t>"5 Tips để con tự tin và sáng tạo - Từ chuyên gia giáo dục"</t>
        </is>
      </c>
      <c r="F53" s="500" t="inlineStr">
        <is>
          <t>Educational tips, expert talking head, interactive elements, key takeaways</t>
        </is>
      </c>
      <c r="G53" s="500" t="inlineStr">
        <is>
          <t>Đăng ký Webinar miễn phí - Ngồn theo giáo dục con em. Link dưới</t>
        </is>
      </c>
      <c r="H53" s="500" t="inlineStr">
        <is>
          <t>70000</t>
        </is>
      </c>
      <c r="I53" s="500" t="inlineStr">
        <is>
          <t>CPV ≤ 2.8K, Save ≥ 8%</t>
        </is>
      </c>
      <c r="J53" s="500" t="inlineStr">
        <is>
          <t>forms.truongvietanh.com/tuyen-sinh-mam-non/webinar-5-tips</t>
        </is>
      </c>
      <c r="K53" s="500" t="inlineStr">
        <is>
          <t>ViewContent, ClickLink, Lead</t>
        </is>
      </c>
      <c r="L53" s="500" t="inlineStr">
        <is>
          <t>Webinar promo</t>
        </is>
      </c>
    </row>
    <row r="54">
      <c r="A54" s="499" t="inlineStr">
        <is>
          <t>Spark_ScholarshipHighAchiever</t>
        </is>
      </c>
      <c r="B54" s="499" t="inlineStr">
        <is>
          <t>Lead Generation</t>
        </is>
      </c>
      <c r="C54" s="499" t="inlineStr">
        <is>
          <t>Age 30-50 | High-income parents | HCM District 1,3,7</t>
        </is>
      </c>
      <c r="D54" s="499" t="inlineStr">
        <is>
          <t>Spark Ad (boost organic)</t>
        </is>
      </c>
      <c r="E54" s="500" t="inlineStr">
        <is>
          <t>"Con xuất sắc? Học bổng Việt Anh cho học sinh giỏi"</t>
        </is>
      </c>
      <c r="F54" s="500" t="inlineStr">
        <is>
          <t>Scholarship info, application process, past scholarship recipients testimonials</t>
        </is>
      </c>
      <c r="G54" s="500" t="inlineStr">
        <is>
          <t>Tìm hiểu điều kiện và hồ sơ học bổng. Tư vấn miễn phí</t>
        </is>
      </c>
      <c r="H54" s="500" t="inlineStr">
        <is>
          <t>50000</t>
        </is>
      </c>
      <c r="I54" s="500" t="inlineStr">
        <is>
          <t>CPV ≤ 3K, Save ≥ 10%</t>
        </is>
      </c>
      <c r="J54" s="500" t="inlineStr">
        <is>
          <t>forms.truongvietanh.com/tuyen-sinh-mam-non/hoc-bong</t>
        </is>
      </c>
      <c r="K54" s="500" t="inlineStr">
        <is>
          <t>ViewContent, ClickLink, Lead</t>
        </is>
      </c>
      <c r="L54" s="500" t="inlineStr">
        <is>
          <t>Scholarship campaign</t>
        </is>
      </c>
    </row>
    <row r="55">
      <c r="A55" s="499" t="inlineStr">
        <is>
          <t>Spark_Referral_Bonus</t>
        </is>
      </c>
      <c r="B55" s="499" t="inlineStr">
        <is>
          <t>Lead Generation</t>
        </is>
      </c>
      <c r="C55" s="499" t="inlineStr">
        <is>
          <t>Age 25-45 | Parents + alumni network</t>
        </is>
      </c>
      <c r="D55" s="499" t="inlineStr">
        <is>
          <t>Spark Ad (boost organic)</t>
        </is>
      </c>
      <c r="E55" s="500" t="inlineStr">
        <is>
          <t>"Giới thiệu bạn đến Việt Anh - Nhận quà tặng trị giá 2 triệu"</t>
        </is>
      </c>
      <c r="F55" s="500" t="inlineStr">
        <is>
          <t>Referral reward program, how-to apply, previous referrers sharing experience</t>
        </is>
      </c>
      <c r="G55" s="500" t="inlineStr">
        <is>
          <t>Tham gia chương trình giới thiệu ngay. Quy tắc chi tiết trong link</t>
        </is>
      </c>
      <c r="H55" s="500" t="inlineStr">
        <is>
          <t>60000</t>
        </is>
      </c>
      <c r="I55" s="500" t="inlineStr">
        <is>
          <t>CPV ≤ 2.5K, Click ≥ 18%</t>
        </is>
      </c>
      <c r="J55" s="500" t="inlineStr">
        <is>
          <t>forms.truongvietanh.com/tuyen-sinh-mam-non/chuong-trinh-gioi-thieu</t>
        </is>
      </c>
      <c r="K55" s="500" t="inlineStr">
        <is>
          <t>ViewContent, ClickLink, Lead</t>
        </is>
      </c>
      <c r="L55" s="500" t="inlineStr">
        <is>
          <t>Referral incentive</t>
        </is>
      </c>
    </row>
    <row r="56">
      <c r="A56" s="499" t="inlineStr">
        <is>
          <t>Spark_BrandStory_VietAnh</t>
        </is>
      </c>
      <c r="B56" s="499" t="inlineStr">
        <is>
          <t>Brand Awareness</t>
        </is>
      </c>
      <c r="C56" s="499" t="inlineStr">
        <is>
          <t>Age 25-55 | Parents all demographics | HCM + suburbs</t>
        </is>
      </c>
      <c r="D56" s="499" t="inlineStr">
        <is>
          <t>Spark Ad (boost organic)</t>
        </is>
      </c>
      <c r="E56" s="500" t="inlineStr">
        <is>
          <t>"Câu chuyện Việt Anh - Từ một lớp học nhỏ đến top trường HCM"</t>
        </is>
      </c>
      <c r="F56" s="500" t="inlineStr">
        <is>
          <t>Company history, mission, values, growth story, founder vision</t>
        </is>
      </c>
      <c r="G56" s="500" t="inlineStr">
        <is>
          <t>Theo dõi để xem thêm. Ghé thăm Việt Anh để hiểu rõ hơn</t>
        </is>
      </c>
      <c r="H56" s="500" t="inlineStr">
        <is>
          <t>80000</t>
        </is>
      </c>
      <c r="I56" s="500" t="inlineStr">
        <is>
          <t>Engagement ≥ 10%, CPV ≤ 2K</t>
        </is>
      </c>
      <c r="J56" s="500" t="inlineStr">
        <is>
          <t>forms.truongvietanh.com/</t>
        </is>
      </c>
      <c r="K56" s="500" t="inlineStr">
        <is>
          <t>ViewContent, ClickLink, Like</t>
        </is>
      </c>
      <c r="L56" s="500" t="inlineStr">
        <is>
          <t>Brand story awareness</t>
        </is>
      </c>
    </row>
    <row r="57">
      <c r="A57" s="499" t="inlineStr">
        <is>
          <t>Spark_TeacherLife_Culture</t>
        </is>
      </c>
      <c r="B57" s="499" t="inlineStr">
        <is>
          <t>Engagement</t>
        </is>
      </c>
      <c r="C57" s="499" t="inlineStr">
        <is>
          <t>Age 25-50 | Parents, educators | Lifestyle interest</t>
        </is>
      </c>
      <c r="D57" s="499" t="inlineStr">
        <is>
          <t>Spark Ad (boost organic)</t>
        </is>
      </c>
      <c r="E57" s="500" t="inlineStr">
        <is>
          <t>"Một ngày của cô giáo Việt Anh - Yêu nghề, yêu học sinh"</t>
        </is>
      </c>
      <c r="F57" s="500" t="inlineStr">
        <is>
          <t>Day-in-the-life vlog, teacher passion stories, classroom culture, student interactions</t>
        </is>
      </c>
      <c r="G57" s="500" t="inlineStr">
        <is>
          <t>Like, share, comment. Đây là thầy cô dạy con bạn!</t>
        </is>
      </c>
      <c r="H57" s="500" t="inlineStr">
        <is>
          <t>45000</t>
        </is>
      </c>
      <c r="I57" s="500" t="inlineStr">
        <is>
          <t>Engagement ≥ 15%, CPV ≤ 1.8K</t>
        </is>
      </c>
      <c r="J57" s="500" t="inlineStr">
        <is>
          <t>forms.truongvietanh.com/</t>
        </is>
      </c>
      <c r="K57" s="500" t="inlineStr">
        <is>
          <t>ViewContent, ClickLink, Share</t>
        </is>
      </c>
      <c r="L57" s="500" t="inlineStr">
        <is>
          <t>Teacher culture</t>
        </is>
      </c>
    </row>
    <row r="58">
      <c r="A58" s="499" t="inlineStr">
        <is>
          <t>Spark_Parent_Concerns_MN</t>
        </is>
      </c>
      <c r="B58" s="499" t="inlineStr">
        <is>
          <t>Lead Generation</t>
        </is>
      </c>
      <c r="C58" s="499" t="inlineStr">
        <is>
          <t>Age 25-40 | Anxious parents | Parenting forums</t>
        </is>
      </c>
      <c r="D58" s="499" t="inlineStr">
        <is>
          <t>Spark Ad</t>
        </is>
      </c>
      <c r="E58" s="500" t="inlineStr">
        <is>
          <t>"Mẹ lo con bị bắt nạt, không hòa nhập?" Trẻ ở Việt Anh...</t>
        </is>
      </c>
      <c r="F58" s="500" t="inlineStr">
        <is>
          <t>Real students, safe environment, inclusive culture, daily activities, friendships forming</t>
        </is>
      </c>
      <c r="G58" s="500" t="inlineStr">
        <is>
          <t>An tâm gửi con ở Việt Anh. Tư vấn môi trường an toàn, vui vẻ</t>
        </is>
      </c>
      <c r="H58" s="500" t="inlineStr">
        <is>
          <t>75000</t>
        </is>
      </c>
      <c r="I58" s="500" t="inlineStr">
        <is>
          <t>CPV ≤ 3K, Save ≥ 9%</t>
        </is>
      </c>
      <c r="J58" s="500" t="inlineStr">
        <is>
          <t>forms.truongvietanh.com/tuyen-sinh-mam-non/phu-huynh-noi-gi</t>
        </is>
      </c>
      <c r="K58" s="500" t="inlineStr">
        <is>
          <t>ViewContent, ClickLink</t>
        </is>
      </c>
      <c r="L58" s="500" t="inlineStr">
        <is>
          <t>Parental concerns MN</t>
        </is>
      </c>
    </row>
    <row r="59">
      <c r="A59" s="499" t="inlineStr">
        <is>
          <t>Spark_DevelopmentMilestones_MN</t>
        </is>
      </c>
      <c r="B59" s="499" t="inlineStr">
        <is>
          <t>Education</t>
        </is>
      </c>
      <c r="C59" s="499" t="inlineStr">
        <is>
          <t>Age 25-40 | Child development interest</t>
        </is>
      </c>
      <c r="D59" s="499" t="inlineStr">
        <is>
          <t>Spark Ad</t>
        </is>
      </c>
      <c r="E59" s="500" t="inlineStr">
        <is>
          <t>"Giai đoạn vàng phát triển - Con bây giờ cần gì?" Chuyên gia...</t>
        </is>
      </c>
      <c r="F59" s="500" t="inlineStr">
        <is>
          <t>Development milestones 2-5yo, cognitive growth, motor skills, social development</t>
        </is>
      </c>
      <c r="G59" s="500" t="inlineStr">
        <is>
          <t>Như tại Việt Anh, chúng tôi tập trung vào phát triển toàn diện</t>
        </is>
      </c>
      <c r="H59" s="500" t="inlineStr">
        <is>
          <t>65000</t>
        </is>
      </c>
      <c r="I59" s="500" t="inlineStr">
        <is>
          <t>CPV ≤ 2.8K, Engage ≥ 10%</t>
        </is>
      </c>
      <c r="J59" s="500" t="inlineStr">
        <is>
          <t>forms.truongvietanh.com/tuyen-sinh-mam-non/chuong-trinh</t>
        </is>
      </c>
      <c r="K59" s="500" t="inlineStr">
        <is>
          <t>ViewContent, ClickLink</t>
        </is>
      </c>
      <c r="L59" s="500" t="inlineStr">
        <is>
          <t>Developmental focus MN</t>
        </is>
      </c>
    </row>
    <row r="60">
      <c r="A60" s="499" t="inlineStr">
        <is>
          <t>Spark_PrepKindergarten_MN</t>
        </is>
      </c>
      <c r="B60" s="499" t="inlineStr">
        <is>
          <t>Lead Generation</t>
        </is>
      </c>
      <c r="C60" s="499" t="inlineStr">
        <is>
          <t>Age 25-40 | 4-5yo parents | Back to school season</t>
        </is>
      </c>
      <c r="D60" s="499" t="inlineStr">
        <is>
          <t>Spark Ad</t>
        </is>
      </c>
      <c r="E60" s="500" t="inlineStr">
        <is>
          <t>"Chuẩn bị vào mầm non - Mẹ nên làm gì?" Hướng dẫn từ cô...</t>
        </is>
      </c>
      <c r="F60" s="500" t="inlineStr">
        <is>
          <t>Preparation tips, readiness checklist, what to expect, parent orientation, separation anxiety</t>
        </is>
      </c>
      <c r="G60" s="500" t="inlineStr">
        <is>
          <t>Chúng tôi hỗ trợ bạn và con qua mỗi bước. Tham tour ngay</t>
        </is>
      </c>
      <c r="H60" s="500" t="inlineStr">
        <is>
          <t>80000</t>
        </is>
      </c>
      <c r="I60" s="500" t="inlineStr">
        <is>
          <t>CPV ≤ 3K, Save ≥ 11%</t>
        </is>
      </c>
      <c r="J60" s="500" t="inlineStr">
        <is>
          <t>forms.truongvietanh.com/tuyen-sinh-mam-non</t>
        </is>
      </c>
      <c r="K60" s="500" t="inlineStr">
        <is>
          <t>ViewContent, ClickLink, Lead</t>
        </is>
      </c>
      <c r="L60" s="500" t="inlineStr">
        <is>
          <t>Kindergarten prep MN</t>
        </is>
      </c>
    </row>
    <row r="61">
      <c r="A61" s="499" t="inlineStr">
        <is>
          <t>Spark_ReadinessAssessment_TH</t>
        </is>
      </c>
      <c r="B61" s="499" t="inlineStr">
        <is>
          <t>Lead Generation</t>
        </is>
      </c>
      <c r="C61" s="499" t="inlineStr">
        <is>
          <t>Age 25-45 | 5yo parents | Academic readiness interest</t>
        </is>
      </c>
      <c r="D61" s="499" t="inlineStr">
        <is>
          <t>Spark Ad</t>
        </is>
      </c>
      <c r="E61" s="500" t="inlineStr">
        <is>
          <t>"Con sẵn sàng vào lớp 1 chưa?" Test đơn giản từ giáo viên...</t>
        </is>
      </c>
      <c r="F61" s="500" t="inlineStr">
        <is>
          <t>Reading readiness, math skills, independence, focus, classroom behavior assessment</t>
        </is>
      </c>
      <c r="G61" s="500" t="inlineStr">
        <is>
          <t>Việt Anh hỗ trợ qua giai đoạn chuyển tiếp. Tư vấn miễn phí</t>
        </is>
      </c>
      <c r="H61" s="500" t="inlineStr">
        <is>
          <t>95000</t>
        </is>
      </c>
      <c r="I61" s="500" t="inlineStr">
        <is>
          <t>CPV ≤ 3.5K, Save ≥ 12%</t>
        </is>
      </c>
      <c r="J61" s="500" t="inlineStr">
        <is>
          <t>https://forms.truongvietanh.com/tuyen-sinh-tieu-hoc/test-san-sang</t>
        </is>
      </c>
      <c r="K61" s="500" t="inlineStr">
        <is>
          <t>ViewContent, ClickLink, Lead</t>
        </is>
      </c>
      <c r="L61" s="500" t="inlineStr">
        <is>
          <t>Readiness TH</t>
        </is>
      </c>
    </row>
    <row r="62">
      <c r="A62" s="499" t="inlineStr">
        <is>
          <t>Spark_HomeworkSupport_TH</t>
        </is>
      </c>
      <c r="B62" s="499" t="inlineStr">
        <is>
          <t>Education</t>
        </is>
      </c>
      <c r="C62" s="499" t="inlineStr">
        <is>
          <t>Age 25-45 | Parents worried about workload</t>
        </is>
      </c>
      <c r="D62" s="499" t="inlineStr">
        <is>
          <t>Spark Ad</t>
        </is>
      </c>
      <c r="E62" s="500" t="inlineStr">
        <is>
          <t>"Con quá nhiều bài tập tại nhà? Cân bằng học tập và vui chơi"</t>
        </is>
      </c>
      <c r="F62" s="500" t="inlineStr">
        <is>
          <t>Homework philosophy, study schedule tips, work-life balance, teacher guidance</t>
        </is>
      </c>
      <c r="G62" s="500" t="inlineStr">
        <is>
          <t>Tại Việt Anh, bài tập được cân bằng hợp lý. Xem cách chúng tôi làm</t>
        </is>
      </c>
      <c r="H62" s="500" t="inlineStr">
        <is>
          <t>70000</t>
        </is>
      </c>
      <c r="I62" s="500" t="inlineStr">
        <is>
          <t>CPV ≤ 3K, Engage ≥ 11%</t>
        </is>
      </c>
      <c r="J62" s="500" t="inlineStr">
        <is>
          <t>forms.truongvietanh.com/tuyen-sinh-tieu-hoc/chuong-trinh</t>
        </is>
      </c>
      <c r="K62" s="500" t="inlineStr">
        <is>
          <t>ViewContent, ClickLink</t>
        </is>
      </c>
      <c r="L62" s="500" t="inlineStr">
        <is>
          <t>Homework approach TH</t>
        </is>
      </c>
    </row>
    <row r="63">
      <c r="A63" s="499" t="inlineStr">
        <is>
          <t>Spark_AdolescentChallenges_THCS</t>
        </is>
      </c>
      <c r="B63" s="499" t="inlineStr">
        <is>
          <t>Lead Generation</t>
        </is>
      </c>
      <c r="C63" s="499" t="inlineStr">
        <is>
          <t>Age 30-50 | THCS parents | Parenting challenges</t>
        </is>
      </c>
      <c r="D63" s="499" t="inlineStr">
        <is>
          <t>Spark Ad</t>
        </is>
      </c>
      <c r="E63" s="500" t="inlineStr">
        <is>
          <t>"Con vào THCS, tâm lý thay đổi, học tập khó khăn..." Giải pháp...</t>
        </is>
      </c>
      <c r="F63" s="500" t="inlineStr">
        <is>
          <t>Teen development, support systems, mentoring, emotional intelligence, academic guidance</t>
        </is>
      </c>
      <c r="G63" s="500" t="inlineStr">
        <is>
          <t>THCS Việt Anh hỗ trợ vượt qua giai đoạn khó khăn, phát triển cân bằng</t>
        </is>
      </c>
      <c r="H63" s="500" t="inlineStr">
        <is>
          <t>110000</t>
        </is>
      </c>
      <c r="I63" s="500" t="inlineStr">
        <is>
          <t>CPV ≤ 4K, Save ≥ 10%</t>
        </is>
      </c>
      <c r="J63" s="500" t="inlineStr">
        <is>
          <t>forms.truongvietanh.com/tuyen-sinh-thcs</t>
        </is>
      </c>
      <c r="K63" s="500" t="inlineStr">
        <is>
          <t>ViewContent, ClickLink, Lead</t>
        </is>
      </c>
      <c r="L63" s="500" t="inlineStr">
        <is>
          <t>Adolescent support THCS</t>
        </is>
      </c>
    </row>
    <row r="64">
      <c r="A64" s="499" t="inlineStr">
        <is>
          <t>Spark_CareerExploration_THCS</t>
        </is>
      </c>
      <c r="B64" s="499" t="inlineStr">
        <is>
          <t>Education</t>
        </is>
      </c>
      <c r="C64" s="499" t="inlineStr">
        <is>
          <t>Age 30-50 | Career-minded parents</t>
        </is>
      </c>
      <c r="D64" s="499" t="inlineStr">
        <is>
          <t>Spark Ad</t>
        </is>
      </c>
      <c r="E64" s="500" t="inlineStr">
        <is>
          <t>"Con định chọn ngành nào? Từ THCS đến ĐH, hãy chuẩn bị"</t>
        </is>
      </c>
      <c r="F64" s="500" t="inlineStr">
        <is>
          <t>Career exploration programs, interest assessment, subject guidance, future planning</t>
        </is>
      </c>
      <c r="G64" s="500" t="inlineStr">
        <is>
          <t>THCS Việt Anh giúp học sinh khám phá đam mê, lựa chọn con đường phù hợp</t>
        </is>
      </c>
      <c r="H64" s="500" t="inlineStr">
        <is>
          <t>90000</t>
        </is>
      </c>
      <c r="I64" s="500" t="inlineStr">
        <is>
          <t>CPV ≤ 3.5K, Engage ≥ 12%</t>
        </is>
      </c>
      <c r="J64" s="500" t="inlineStr">
        <is>
          <t>forms.truongvietanh.com/tuyen-sinh-thcs/chuong-trinh</t>
        </is>
      </c>
      <c r="K64" s="500" t="inlineStr">
        <is>
          <t>ViewContent, ClickLink</t>
        </is>
      </c>
      <c r="L64" s="500" t="inlineStr">
        <is>
          <t>Career planning THCS</t>
        </is>
      </c>
    </row>
    <row r="65">
      <c r="A65" s="499" t="inlineStr">
        <is>
          <t>Spark_GlobalOpportunities_THPT</t>
        </is>
      </c>
      <c r="B65" s="499" t="inlineStr">
        <is>
          <t>Lead Generation</t>
        </is>
      </c>
      <c r="C65" s="499" t="inlineStr">
        <is>
          <t>Age 35-55 | Ambitious parents | Global interest</t>
        </is>
      </c>
      <c r="D65" s="499" t="inlineStr">
        <is>
          <t>Spark Ad</t>
        </is>
      </c>
      <c r="E65" s="500" t="inlineStr">
        <is>
          <t>"Con muốn học ĐH nước ngoài? Từ THPT Việt Anh, con có thể..."</t>
        </is>
      </c>
      <c r="F65" s="500" t="inlineStr">
        <is>
          <t>International programs, SAT/IELTS prep, exchange programs, global network alumni</t>
        </is>
      </c>
      <c r="G65" s="500" t="inlineStr">
        <is>
          <t>THPT Việt Anh: cửa mở sang cơ hội toàn cầu. Tư vấn lộ trình SAT</t>
        </is>
      </c>
      <c r="H65" s="500" t="inlineStr">
        <is>
          <t>160000</t>
        </is>
      </c>
      <c r="I65" s="500" t="inlineStr">
        <is>
          <t>CPV ≤ 4.5K, Save ≥ 14%</t>
        </is>
      </c>
      <c r="J65" s="500" t="inlineStr">
        <is>
          <t>forms.truongvietanh.com/tuyen-sinh-thpt</t>
        </is>
      </c>
      <c r="K65" s="500" t="inlineStr">
        <is>
          <t>ViewContent, ClickLink, Lead</t>
        </is>
      </c>
      <c r="L65" s="500" t="inlineStr">
        <is>
          <t>Global opportunities THPT</t>
        </is>
      </c>
    </row>
    <row r="66">
      <c r="A66" s="499" t="inlineStr">
        <is>
          <t>Spark_SATSuccess_THPT</t>
        </is>
      </c>
      <c r="B66" s="499" t="inlineStr">
        <is>
          <t>Lead Generation</t>
        </is>
      </c>
      <c r="C66" s="499" t="inlineStr">
        <is>
          <t>Age 35-55 | Parents focused on SAT</t>
        </is>
      </c>
      <c r="D66" s="499" t="inlineStr">
        <is>
          <t>Spark Ad</t>
        </is>
      </c>
      <c r="E66" s="500" t="inlineStr">
        <is>
          <t>"SAT score 1500+ - Học sinh THPT Việt Anh chia sẻ hành trình"</t>
        </is>
      </c>
      <c r="F66" s="500" t="inlineStr">
        <is>
          <t>Student success stories, score improvements, study strategies, teacher testimonials</t>
        </is>
      </c>
      <c r="G66" s="500" t="inlineStr">
        <is>
          <t>Chúng tôi giúp học sinh đạt điểm SAT cao, vào ĐH dream. Xem chi tiết</t>
        </is>
      </c>
      <c r="H66" s="500" t="inlineStr">
        <is>
          <t>140000</t>
        </is>
      </c>
      <c r="I66" s="500" t="inlineStr">
        <is>
          <t>CPV ≤ 4K, Save ≥ 13%</t>
        </is>
      </c>
      <c r="J66" s="500" t="inlineStr">
        <is>
          <t>forms.truongvietanh.com/tuyen-sinh-thpt/chuong-trinh-sat</t>
        </is>
      </c>
      <c r="K66" s="500" t="inlineStr">
        <is>
          <t>ViewContent, ClickLink, Lead</t>
        </is>
      </c>
      <c r="L66" s="500" t="inlineStr">
        <is>
          <t>SAT excellence THPT</t>
        </is>
      </c>
    </row>
    <row r="67">
      <c r="A67" s="499" t="inlineStr">
        <is>
          <t>Spark_SiblingJourney_AllLevels</t>
        </is>
      </c>
      <c r="B67" s="499" t="inlineStr">
        <is>
          <t>Engagement</t>
        </is>
      </c>
      <c r="C67" s="499" t="inlineStr">
        <is>
          <t>Age 25-50 | Multi-child parents | Family interest</t>
        </is>
      </c>
      <c r="D67" s="499" t="inlineStr">
        <is>
          <t>Spark Ad</t>
        </is>
      </c>
      <c r="E67" s="500" t="inlineStr">
        <is>
          <t>"Cả 3 con học Việt Anh - Từ mầm non đến THPT, hành trình 15 năm"</t>
        </is>
      </c>
      <c r="F67" s="500" t="inlineStr">
        <is>
          <t>Family testimonial, sibling bonding, shared values, school evolution, long-term relationships</t>
        </is>
      </c>
      <c r="G67" s="500" t="inlineStr">
        <is>
          <t>Những gia đình tin tưởng chúng tôi với toàn bộ hành trình giáo dục của con</t>
        </is>
      </c>
      <c r="H67" s="500" t="inlineStr">
        <is>
          <t>85000</t>
        </is>
      </c>
      <c r="I67" s="500" t="inlineStr">
        <is>
          <t>CPV ≤ 3K, Save ≥ 12%</t>
        </is>
      </c>
      <c r="J67" s="500" t="inlineStr">
        <is>
          <t>forms.truongvietanh.com/</t>
        </is>
      </c>
      <c r="K67" s="500" t="inlineStr">
        <is>
          <t>ViewContent, ClickLink, Share</t>
        </is>
      </c>
      <c r="L67" s="500" t="inlineStr">
        <is>
          <t>Multi-level sibling journey</t>
        </is>
      </c>
    </row>
    <row r="68">
      <c r="A68" s="499" t="inlineStr">
        <is>
          <t>Spark_SocialResponsibility_AllLevels</t>
        </is>
      </c>
      <c r="B68" s="499" t="inlineStr">
        <is>
          <t>Awareness</t>
        </is>
      </c>
      <c r="C68" s="499" t="inlineStr">
        <is>
          <t>Age 25-55 | Socially conscious parents</t>
        </is>
      </c>
      <c r="D68" s="499" t="inlineStr">
        <is>
          <t>Spark Ad</t>
        </is>
      </c>
      <c r="E68" s="500" t="inlineStr">
        <is>
          <t>"Giáo dục không chỉ là điểm số - Giáo dục tâm hồn, trách nhiệm xã hội"</t>
        </is>
      </c>
      <c r="F68" s="500" t="inlineStr">
        <is>
          <t>Community service, environmental awareness, charity programs, social values education</t>
        </is>
      </c>
      <c r="G68" s="500" t="inlineStr">
        <is>
          <t>Việt Anh nuôi dạy những công dân toàn cầu có tâm, có trách nhiệm</t>
        </is>
      </c>
      <c r="H68" s="500" t="inlineStr">
        <is>
          <t>65000</t>
        </is>
      </c>
      <c r="I68" s="500" t="inlineStr">
        <is>
          <t>CPV ≤ 2.5K, Engage ≥ 13%</t>
        </is>
      </c>
      <c r="J68" s="500" t="inlineStr">
        <is>
          <t>forms.truongvietanh.com/</t>
        </is>
      </c>
      <c r="K68" s="500" t="inlineStr">
        <is>
          <t>ViewContent, ClickLink, Like</t>
        </is>
      </c>
      <c r="L68" s="500" t="inlineStr">
        <is>
          <t>Social responsibility focus</t>
        </is>
      </c>
    </row>
  </sheetData>
  <mergeCells count="4">
    <mergeCell ref="A11:H11"/>
    <mergeCell ref="A3:H3"/>
    <mergeCell ref="A42:K4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6B00"/>
    <outlinePr summaryBelow="1" summaryRight="1"/>
    <pageSetUpPr fitToPage="0"/>
  </sheetPr>
  <dimension ref="A1:H10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7"/>
    <col width="22" customWidth="1" style="247" min="8" max="8"/>
  </cols>
  <sheetData>
    <row r="1" ht="15" customHeight="1" s="248">
      <c r="A1" s="355" t="inlineStr">
        <is>
          <t>GOHIGHLEVEL – SETUP TỪ ĐẦU + CRM + AUTOMATION + SALES + ZALO</t>
        </is>
      </c>
    </row>
    <row r="3" ht="15" customHeight="1" s="248">
      <c r="A3" s="356" t="inlineStr">
        <is>
          <t>A. SETUP TÀI KHOẢN GHL TỪ ĐẦU</t>
        </is>
      </c>
    </row>
    <row r="4" ht="15" customHeight="1" s="248">
      <c r="A4" s="357" t="inlineStr">
        <is>
          <t>Bước</t>
        </is>
      </c>
      <c r="B4" s="357" t="inlineStr">
        <is>
          <t>Module</t>
        </is>
      </c>
      <c r="C4" s="357" t="inlineStr">
        <is>
          <t>Hành động chi tiết</t>
        </is>
      </c>
      <c r="D4" s="357" t="inlineStr">
        <is>
          <t>Kết quả cần có</t>
        </is>
      </c>
      <c r="E4" s="357" t="inlineStr">
        <is>
          <t>Timeline</t>
        </is>
      </c>
      <c r="F4" s="357" t="inlineStr">
        <is>
          <t>Trạng thái</t>
        </is>
      </c>
    </row>
    <row r="5" ht="23.25" customHeight="1" s="248">
      <c r="A5" s="321" t="inlineStr">
        <is>
          <t>1</t>
        </is>
      </c>
      <c r="B5" s="321" t="inlineStr">
        <is>
          <t>Account</t>
        </is>
      </c>
      <c r="C5" s="321" t="inlineStr">
        <is>
          <t>Tạo sub-account cho Việt Anh | Timezone VN | Currency VND</t>
        </is>
      </c>
      <c r="D5" s="321" t="inlineStr">
        <is>
          <t>Account live</t>
        </is>
      </c>
      <c r="E5" s="321" t="inlineStr">
        <is>
          <t>Ngày 1</t>
        </is>
      </c>
      <c r="F5" s="321" t="inlineStr">
        <is>
          <t>☐</t>
        </is>
      </c>
    </row>
    <row r="6" ht="45.75" customHeight="1" s="248">
      <c r="A6" s="323" t="inlineStr">
        <is>
          <t>2</t>
        </is>
      </c>
      <c r="B6" s="323" t="inlineStr">
        <is>
          <t>Custom Fields</t>
        </is>
      </c>
      <c r="C6" s="323" t="inlineStr">
        <is>
          <t>Tạo fields: Campus, Grade, Source Channel, Campaign ID, Campaign Name, Keyword Theme, Lead Status, Qualified Flag, Tour Date, Tour Attended, Application, Deposit, Enrollment</t>
        </is>
      </c>
      <c r="D6" s="323" t="inlineStr">
        <is>
          <t>Tất cả fields có</t>
        </is>
      </c>
      <c r="E6" s="323" t="inlineStr">
        <is>
          <t>Ngày 1</t>
        </is>
      </c>
      <c r="F6" s="323" t="inlineStr">
        <is>
          <t>☐</t>
        </is>
      </c>
    </row>
    <row r="7" ht="34.5" customHeight="1" s="248">
      <c r="A7" s="321" t="inlineStr">
        <is>
          <t>3</t>
        </is>
      </c>
      <c r="B7" s="321" t="inlineStr">
        <is>
          <t>Pipelines</t>
        </is>
      </c>
      <c r="C7" s="321" t="inlineStr">
        <is>
          <t>Tạo 4 pipelines: MN, TH, THCS, THPT | Stages: New → Contacted → Qualified → Tour Booked → Tour Done → Offer → Enrolled → Lost</t>
        </is>
      </c>
      <c r="D7" s="321" t="inlineStr">
        <is>
          <t>4 pipelines active</t>
        </is>
      </c>
      <c r="E7" s="321" t="inlineStr">
        <is>
          <t>Ngày 1</t>
        </is>
      </c>
      <c r="F7" s="321" t="inlineStr">
        <is>
          <t>☐</t>
        </is>
      </c>
    </row>
    <row r="8" ht="45.75" customHeight="1" s="248">
      <c r="A8" s="323" t="inlineStr">
        <is>
          <t>4</t>
        </is>
      </c>
      <c r="B8" s="323" t="inlineStr">
        <is>
          <t>Tags</t>
        </is>
      </c>
      <c r="C8" s="323" t="inlineStr">
        <is>
          <t>Tạo tag system: src_google, src_meta, src_tiktok, src_zalo, src_organic, campus_gv, campus_bt, campus_tinh, grade_mn, grade_th, grade_thcs, grade_thpt, qualified, booked_tour, tour_attended, enrolled, lost</t>
        </is>
      </c>
      <c r="D8" s="323" t="inlineStr">
        <is>
          <t>Tags ready</t>
        </is>
      </c>
      <c r="E8" s="323" t="inlineStr">
        <is>
          <t>Ngày 1</t>
        </is>
      </c>
      <c r="F8" s="323" t="inlineStr">
        <is>
          <t>☐</t>
        </is>
      </c>
    </row>
    <row r="9" ht="23.25" customHeight="1" s="248">
      <c r="A9" s="321" t="inlineStr">
        <is>
          <t>5</t>
        </is>
      </c>
      <c r="B9" s="321" t="inlineStr">
        <is>
          <t>Users &amp; Teams</t>
        </is>
      </c>
      <c r="C9" s="321" t="inlineStr">
        <is>
          <t>Tạo users cho sales team | Assign theo campus | Round-robin rules</t>
        </is>
      </c>
      <c r="D9" s="321" t="inlineStr">
        <is>
          <t>Team assigned</t>
        </is>
      </c>
      <c r="E9" s="321" t="inlineStr">
        <is>
          <t>Ngày 1</t>
        </is>
      </c>
      <c r="F9" s="321" t="inlineStr">
        <is>
          <t>☐</t>
        </is>
      </c>
    </row>
    <row r="10" ht="23.25" customHeight="1" s="248">
      <c r="A10" s="323" t="inlineStr">
        <is>
          <t>6</t>
        </is>
      </c>
      <c r="B10" s="323" t="inlineStr">
        <is>
          <t>Phone &amp; SMS</t>
        </is>
      </c>
      <c r="C10" s="323" t="inlineStr">
        <is>
          <t>Setup Twilio / VN SMS provider | Verify phone numbers | SMS templates</t>
        </is>
      </c>
      <c r="D10" s="323" t="inlineStr">
        <is>
          <t>SMS working</t>
        </is>
      </c>
      <c r="E10" s="323" t="inlineStr">
        <is>
          <t>Ngày 2</t>
        </is>
      </c>
      <c r="F10" s="323" t="inlineStr">
        <is>
          <t>☐</t>
        </is>
      </c>
    </row>
    <row r="11" ht="23.25" customHeight="1" s="248">
      <c r="A11" s="321" t="inlineStr">
        <is>
          <t>7</t>
        </is>
      </c>
      <c r="B11" s="321" t="inlineStr">
        <is>
          <t>Zalo OA</t>
        </is>
      </c>
      <c r="C11" s="321" t="inlineStr">
        <is>
          <t>Kết nối Zalo OA | Tạo 8 template messages | Auto-reply menu</t>
        </is>
      </c>
      <c r="D11" s="321" t="inlineStr">
        <is>
          <t>Zalo connected</t>
        </is>
      </c>
      <c r="E11" s="321" t="inlineStr">
        <is>
          <t>Ngày 2</t>
        </is>
      </c>
      <c r="F11" s="321" t="inlineStr">
        <is>
          <t>☐</t>
        </is>
      </c>
    </row>
    <row r="12" ht="23.25" customHeight="1" s="248">
      <c r="A12" s="323" t="inlineStr">
        <is>
          <t>8</t>
        </is>
      </c>
      <c r="B12" s="323" t="inlineStr">
        <is>
          <t>Email</t>
        </is>
      </c>
      <c r="C12" s="323" t="inlineStr">
        <is>
          <t>Setup domain, DKIM, SPF | Email templates: Welcome, Tour reminder, Follow-up, Scholarship, Thank you</t>
        </is>
      </c>
      <c r="D12" s="323" t="inlineStr">
        <is>
          <t>Email verified</t>
        </is>
      </c>
      <c r="E12" s="323" t="inlineStr">
        <is>
          <t>Ngày 2</t>
        </is>
      </c>
      <c r="F12" s="323" t="inlineStr">
        <is>
          <t>☐</t>
        </is>
      </c>
    </row>
    <row r="13" ht="23.25" customHeight="1" s="248">
      <c r="A13" s="321" t="inlineStr">
        <is>
          <t>9</t>
        </is>
      </c>
      <c r="B13" s="321" t="inlineStr">
        <is>
          <t>Calendar</t>
        </is>
      </c>
      <c r="C13" s="321" t="inlineStr">
        <is>
          <t>Tạo booking calendar cho 6 cơ sở (bỏ PN) | Availability slots | Auto SMS confirm</t>
        </is>
      </c>
      <c r="D13" s="321" t="inlineStr">
        <is>
          <t>Calendar live</t>
        </is>
      </c>
      <c r="E13" s="321" t="inlineStr">
        <is>
          <t>Ngày 2</t>
        </is>
      </c>
      <c r="F13" s="321" t="inlineStr">
        <is>
          <t>☐</t>
        </is>
      </c>
    </row>
    <row r="14" ht="15" customHeight="1" s="248">
      <c r="A14" s="323" t="inlineStr">
        <is>
          <t>10</t>
        </is>
      </c>
      <c r="B14" s="323" t="inlineStr">
        <is>
          <t>Forms</t>
        </is>
      </c>
      <c r="C14" s="323" t="inlineStr">
        <is>
          <t>Tạo 8 forms (1/LP) | UTM auto-capture | Pipeline auto-assign</t>
        </is>
      </c>
      <c r="D14" s="323" t="inlineStr">
        <is>
          <t>Forms embedded</t>
        </is>
      </c>
      <c r="E14" s="323" t="inlineStr">
        <is>
          <t>Ngày 3</t>
        </is>
      </c>
      <c r="F14" s="323" t="inlineStr">
        <is>
          <t>☐</t>
        </is>
      </c>
    </row>
    <row r="15" ht="23.25" customHeight="1" s="248">
      <c r="A15" s="321" t="inlineStr">
        <is>
          <t>11</t>
        </is>
      </c>
      <c r="B15" s="321" t="inlineStr">
        <is>
          <t>Landing Pages</t>
        </is>
      </c>
      <c r="C15" s="321" t="inlineStr">
        <is>
          <t>Build hoặc embed 8 LP trong GHL | Form + tracking + Zalo widget</t>
        </is>
      </c>
      <c r="D15" s="321" t="inlineStr">
        <is>
          <t>LPs live</t>
        </is>
      </c>
      <c r="E15" s="321" t="inlineStr">
        <is>
          <t>Ngày 3-5</t>
        </is>
      </c>
      <c r="F15" s="321" t="inlineStr">
        <is>
          <t>☐</t>
        </is>
      </c>
    </row>
    <row r="17" ht="15" customHeight="1" s="248">
      <c r="A17" s="356" t="inlineStr">
        <is>
          <t>B. AUTOMATION WORKFLOWS</t>
        </is>
      </c>
    </row>
    <row r="18" ht="15" customHeight="1" s="248">
      <c r="A18" s="357" t="inlineStr">
        <is>
          <t>Workflow</t>
        </is>
      </c>
      <c r="B18" s="357" t="inlineStr">
        <is>
          <t>Trigger</t>
        </is>
      </c>
      <c r="C18" s="357" t="inlineStr">
        <is>
          <t>Actions</t>
        </is>
      </c>
      <c r="D18" s="357" t="inlineStr">
        <is>
          <t>SLA</t>
        </is>
      </c>
      <c r="E18" s="357" t="inlineStr">
        <is>
          <t>Kết quả</t>
        </is>
      </c>
      <c r="F18" s="357" t="inlineStr">
        <is>
          <t>Timeline</t>
        </is>
      </c>
      <c r="G18" s="357" t="inlineStr">
        <is>
          <t>Trạng thái</t>
        </is>
      </c>
    </row>
    <row r="19" ht="23.25" customHeight="1" s="248">
      <c r="A19" s="321" t="inlineStr">
        <is>
          <t>Auto-assign lead</t>
        </is>
      </c>
      <c r="B19" s="321" t="inlineStr">
        <is>
          <t>New contact created</t>
        </is>
      </c>
      <c r="C19" s="321" t="inlineStr">
        <is>
          <t>Round-robin assign theo campus + Push notification + SMS to sales</t>
        </is>
      </c>
      <c r="D19" s="321" t="inlineStr">
        <is>
          <t>&lt; 5 phút</t>
        </is>
      </c>
      <c r="E19" s="321" t="inlineStr">
        <is>
          <t>Lead có owner ngay</t>
        </is>
      </c>
      <c r="F19" s="321" t="inlineStr">
        <is>
          <t>Ngày 3</t>
        </is>
      </c>
      <c r="G19" s="321" t="inlineStr">
        <is>
          <t>☐</t>
        </is>
      </c>
    </row>
    <row r="20" ht="23.25" customHeight="1" s="248">
      <c r="A20" s="323" t="inlineStr">
        <is>
          <t>Welcome sequence</t>
        </is>
      </c>
      <c r="B20" s="323" t="inlineStr">
        <is>
          <t>New lead + src_google/meta/tiktok</t>
        </is>
      </c>
      <c r="C20" s="323" t="inlineStr">
        <is>
          <t>SMS welcome 30s + Zalo message 5 phút + Email brochure 1h</t>
        </is>
      </c>
      <c r="D20" s="323" t="inlineStr">
        <is>
          <t>Tự động</t>
        </is>
      </c>
      <c r="E20" s="323" t="inlineStr">
        <is>
          <t>Mọi lead được chào</t>
        </is>
      </c>
      <c r="F20" s="323" t="inlineStr">
        <is>
          <t>Ngày 3</t>
        </is>
      </c>
      <c r="G20" s="323" t="inlineStr">
        <is>
          <t>☐</t>
        </is>
      </c>
    </row>
    <row r="21" ht="23.25" customHeight="1" s="248">
      <c r="A21" s="321" t="inlineStr">
        <is>
          <t>Nurture chưa tour</t>
        </is>
      </c>
      <c r="B21" s="321" t="inlineStr">
        <is>
          <t>Lead &gt; 48h chưa book tour</t>
        </is>
      </c>
      <c r="C21" s="321" t="inlineStr">
        <is>
          <t>SMS Day 2 → Zalo Day 4 → Email Day 7 → Call task Day 10</t>
        </is>
      </c>
      <c r="D21" s="321" t="inlineStr">
        <is>
          <t>4 touchpoints</t>
        </is>
      </c>
      <c r="E21" s="321" t="inlineStr">
        <is>
          <t>Tăng Lead→Tour</t>
        </is>
      </c>
      <c r="F21" s="321" t="inlineStr">
        <is>
          <t>Ngày 4</t>
        </is>
      </c>
      <c r="G21" s="321" t="inlineStr">
        <is>
          <t>☐</t>
        </is>
      </c>
    </row>
    <row r="22" ht="15" customHeight="1" s="248">
      <c r="A22" s="323" t="inlineStr">
        <is>
          <t>Tour reminder</t>
        </is>
      </c>
      <c r="B22" s="323" t="inlineStr">
        <is>
          <t>Appointment booked</t>
        </is>
      </c>
      <c r="C22" s="323" t="inlineStr">
        <is>
          <t>SMS 48h trước + Zalo 2h trước + Email confirm</t>
        </is>
      </c>
      <c r="D22" s="323" t="inlineStr">
        <is>
          <t>Auto</t>
        </is>
      </c>
      <c r="E22" s="323" t="inlineStr">
        <is>
          <t>Giảm no-show</t>
        </is>
      </c>
      <c r="F22" s="323" t="inlineStr">
        <is>
          <t>Ngày 4</t>
        </is>
      </c>
      <c r="G22" s="323" t="inlineStr">
        <is>
          <t>☐</t>
        </is>
      </c>
    </row>
    <row r="23" ht="23.25" customHeight="1" s="248">
      <c r="A23" s="321" t="inlineStr">
        <is>
          <t>Post-tour follow-up</t>
        </is>
      </c>
      <c r="B23" s="321" t="inlineStr">
        <is>
          <t>Tour completed (status changed)</t>
        </is>
      </c>
      <c r="C23" s="321" t="inlineStr">
        <is>
          <t>Thank you SMS 2h + Offer email 24h + Call task 48h</t>
        </is>
      </c>
      <c r="D23" s="321" t="inlineStr">
        <is>
          <t>3 touchpoints</t>
        </is>
      </c>
      <c r="E23" s="321" t="inlineStr">
        <is>
          <t>Tăng Tour→Enroll</t>
        </is>
      </c>
      <c r="F23" s="321" t="inlineStr">
        <is>
          <t>Ngày 4</t>
        </is>
      </c>
      <c r="G23" s="321" t="inlineStr">
        <is>
          <t>☐</t>
        </is>
      </c>
    </row>
    <row r="24" ht="15" customHeight="1" s="248">
      <c r="A24" s="323" t="inlineStr">
        <is>
          <t>Lost re-engage</t>
        </is>
      </c>
      <c r="B24" s="323" t="inlineStr">
        <is>
          <t>Marked Lost &gt; 30 ngày</t>
        </is>
      </c>
      <c r="C24" s="323" t="inlineStr">
        <is>
          <t>Monthly email + SMS promo | Re-enter pipeline nếu click</t>
        </is>
      </c>
      <c r="D24" s="323" t="inlineStr">
        <is>
          <t>Monthly</t>
        </is>
      </c>
      <c r="E24" s="323" t="inlineStr">
        <is>
          <t>Reactivation</t>
        </is>
      </c>
      <c r="F24" s="323" t="inlineStr">
        <is>
          <t>Tuần 2</t>
        </is>
      </c>
      <c r="G24" s="323" t="inlineStr">
        <is>
          <t>☐</t>
        </is>
      </c>
    </row>
    <row r="25" ht="15" customHeight="1" s="248">
      <c r="A25" s="321" t="inlineStr">
        <is>
          <t>Webinar sequence</t>
        </is>
      </c>
      <c r="B25" s="321" t="inlineStr">
        <is>
          <t>Webinar registered</t>
        </is>
      </c>
      <c r="C25" s="321" t="inlineStr">
        <is>
          <t>Confirm email + SMS 24h + Zalo 2h + Post-webinar call 24h</t>
        </is>
      </c>
      <c r="D25" s="321" t="inlineStr">
        <is>
          <t>4 touchpoints</t>
        </is>
      </c>
      <c r="E25" s="321" t="inlineStr">
        <is>
          <t>Tăng attend + tour</t>
        </is>
      </c>
      <c r="F25" s="321" t="inlineStr">
        <is>
          <t>Ngày 5</t>
        </is>
      </c>
      <c r="G25" s="321" t="inlineStr">
        <is>
          <t>☐</t>
        </is>
      </c>
    </row>
    <row r="26" ht="23.25" customHeight="1" s="248">
      <c r="A26" s="323" t="inlineStr">
        <is>
          <t>Scholarship workflow</t>
        </is>
      </c>
      <c r="B26" s="323" t="inlineStr">
        <is>
          <t>Scholarship form submitted</t>
        </is>
      </c>
      <c r="C26" s="323" t="inlineStr">
        <is>
          <t>Auto email confirm + Assign to senior counselor + Task create</t>
        </is>
      </c>
      <c r="D26" s="323" t="inlineStr">
        <is>
          <t>Immediate</t>
        </is>
      </c>
      <c r="E26" s="323" t="inlineStr">
        <is>
          <t>THPT priority</t>
        </is>
      </c>
      <c r="F26" s="323" t="inlineStr">
        <is>
          <t>Ngày 5</t>
        </is>
      </c>
      <c r="G26" s="323" t="inlineStr">
        <is>
          <t>☐</t>
        </is>
      </c>
    </row>
    <row r="27" ht="23.25" customHeight="1" s="248">
      <c r="A27" s="321" t="inlineStr">
        <is>
          <t>Webhook → Sheets</t>
        </is>
      </c>
      <c r="B27" s="321" t="inlineStr">
        <is>
          <t>Any status change (qualified/tour/enroll)</t>
        </is>
      </c>
      <c r="C27" s="321" t="inlineStr">
        <is>
          <t>Custom webhook → Middleware → Google Sheets → Birch reads</t>
        </is>
      </c>
      <c r="D27" s="321" t="inlineStr">
        <is>
          <t>Real-time</t>
        </is>
      </c>
      <c r="E27" s="321" t="inlineStr">
        <is>
          <t>Birch data sync</t>
        </is>
      </c>
      <c r="F27" s="321" t="inlineStr">
        <is>
          <t>Tuần 2</t>
        </is>
      </c>
      <c r="G27" s="321" t="inlineStr">
        <is>
          <t>☐</t>
        </is>
      </c>
    </row>
    <row r="29" ht="15" customHeight="1" s="248">
      <c r="A29" s="356" t="inlineStr">
        <is>
          <t>C. CRM + SALES INTEGRATION</t>
        </is>
      </c>
    </row>
    <row r="30" ht="15" customHeight="1" s="248">
      <c r="A30" s="357" t="inlineStr">
        <is>
          <t>Module</t>
        </is>
      </c>
      <c r="B30" s="357" t="inlineStr">
        <is>
          <t>Setup</t>
        </is>
      </c>
      <c r="C30" s="357" t="inlineStr">
        <is>
          <t>Mục đích</t>
        </is>
      </c>
      <c r="D30" s="357" t="inlineStr">
        <is>
          <t>Ai dùng</t>
        </is>
      </c>
      <c r="E30" s="357" t="inlineStr">
        <is>
          <t>Ghi chú</t>
        </is>
      </c>
    </row>
    <row r="31" ht="23.25" customHeight="1" s="248">
      <c r="A31" s="321" t="inlineStr">
        <is>
          <t>Pipeline Dashboard</t>
        </is>
      </c>
      <c r="B31" s="321" t="inlineStr">
        <is>
          <t>Kanban view theo campus + cấp</t>
        </is>
      </c>
      <c r="C31" s="321" t="inlineStr">
        <is>
          <t>Theo dõi real-time</t>
        </is>
      </c>
      <c r="D31" s="321" t="inlineStr">
        <is>
          <t>Sales Manager</t>
        </is>
      </c>
      <c r="E31" s="321" t="inlineStr">
        <is>
          <t>Filter by campus</t>
        </is>
      </c>
    </row>
    <row r="32" ht="23.25" customHeight="1" s="248">
      <c r="A32" s="323" t="inlineStr">
        <is>
          <t>Conversations</t>
        </is>
      </c>
      <c r="B32" s="323" t="inlineStr">
        <is>
          <t>Unified inbox: SMS + Zalo + Email + FB Messenger</t>
        </is>
      </c>
      <c r="C32" s="323" t="inlineStr">
        <is>
          <t>Tất cả kênh 1 chỗ</t>
        </is>
      </c>
      <c r="D32" s="323" t="inlineStr">
        <is>
          <t>Sales team</t>
        </is>
      </c>
      <c r="E32" s="323" t="inlineStr">
        <is>
          <t>Reply nhanh</t>
        </is>
      </c>
    </row>
    <row r="33" ht="23.25" customHeight="1" s="248">
      <c r="A33" s="321" t="inlineStr">
        <is>
          <t>Opportunities</t>
        </is>
      </c>
      <c r="B33" s="321" t="inlineStr">
        <is>
          <t>Gắn giá trị = học phí năm 1 | Track close rate</t>
        </is>
      </c>
      <c r="C33" s="321" t="inlineStr">
        <is>
          <t>Forecast revenue</t>
        </is>
      </c>
      <c r="D33" s="321" t="inlineStr">
        <is>
          <t>Manager + BGH</t>
        </is>
      </c>
      <c r="E33" s="321" t="inlineStr">
        <is>
          <t>Dự báo doanh thu</t>
        </is>
      </c>
    </row>
    <row r="34" ht="45.75" customHeight="1" s="248">
      <c r="A34" s="323" t="inlineStr">
        <is>
          <t>Reporting</t>
        </is>
      </c>
      <c r="B34" s="323" t="inlineStr">
        <is>
          <t>Lead by source, campaign, campus | Conversion funnel | SLA tracking</t>
        </is>
      </c>
      <c r="C34" s="323" t="inlineStr">
        <is>
          <t>Đo hiệu quả</t>
        </is>
      </c>
      <c r="D34" s="323" t="inlineStr">
        <is>
          <t>Marketing + Sales</t>
        </is>
      </c>
      <c r="E34" s="323" t="inlineStr">
        <is>
          <t>Auto weekly email</t>
        </is>
      </c>
    </row>
    <row r="35" ht="23.25" customHeight="1" s="248">
      <c r="A35" s="321" t="inlineStr">
        <is>
          <t>Call tracking</t>
        </is>
      </c>
      <c r="B35" s="321" t="inlineStr">
        <is>
          <t>Ghi âm cuộc gọi + log duration + outcome</t>
        </is>
      </c>
      <c r="C35" s="321" t="inlineStr">
        <is>
          <t>QA + Training</t>
        </is>
      </c>
      <c r="D35" s="321" t="inlineStr">
        <is>
          <t>QA team</t>
        </is>
      </c>
      <c r="E35" s="321" t="inlineStr">
        <is>
          <t>Mystery call chấm điểm</t>
        </is>
      </c>
    </row>
    <row r="36" ht="34.5" customHeight="1" s="248">
      <c r="A36" s="323" t="inlineStr">
        <is>
          <t>Review request</t>
        </is>
      </c>
      <c r="B36" s="323" t="inlineStr">
        <is>
          <t>Sau enrollment → auto gửi review link Google Business</t>
        </is>
      </c>
      <c r="C36" s="323" t="inlineStr">
        <is>
          <t>Tăng review organic</t>
        </is>
      </c>
      <c r="D36" s="323" t="inlineStr">
        <is>
          <t>Auto</t>
        </is>
      </c>
      <c r="E36" s="323" t="inlineStr">
        <is>
          <t>Giúp Local SEO</t>
        </is>
      </c>
    </row>
    <row r="38" ht="15" customHeight="1" s="248">
      <c r="A38" s="253" t="inlineStr">
        <is>
          <t>D. GHL + BIRCH INTEGRATION CHI TIẾT</t>
        </is>
      </c>
    </row>
    <row r="39" ht="15" customHeight="1" s="248">
      <c r="A39" s="250" t="inlineStr">
        <is>
          <t>#</t>
        </is>
      </c>
      <c r="B39" s="250" t="inlineStr">
        <is>
          <t>Bước</t>
        </is>
      </c>
      <c r="C39" s="250" t="inlineStr">
        <is>
          <t>Hành động</t>
        </is>
      </c>
      <c r="D39" s="250" t="inlineStr">
        <is>
          <t>Chi tiết kỹ thuật</t>
        </is>
      </c>
      <c r="E39" s="250" t="inlineStr">
        <is>
          <t>Kết quả cần có</t>
        </is>
      </c>
      <c r="F39" s="250" t="inlineStr">
        <is>
          <t>Tool</t>
        </is>
      </c>
      <c r="G39" s="250" t="inlineStr">
        <is>
          <t>Timeline</t>
        </is>
      </c>
      <c r="H39" s="250" t="inlineStr">
        <is>
          <t>Trạng thái</t>
        </is>
      </c>
    </row>
    <row r="40" ht="35.05" customHeight="1" s="248">
      <c r="A40" s="251" t="n">
        <v>1</v>
      </c>
      <c r="B40" s="251" t="inlineStr">
        <is>
          <t>Webhook Setup</t>
        </is>
      </c>
      <c r="C40" s="251" t="inlineStr">
        <is>
          <t>Tạo webhook từ GHL → Google Sheets</t>
        </is>
      </c>
      <c r="D40" s="251" t="inlineStr">
        <is>
          <t>GHL Workflow → Custom Webhook → POST to Sheets API middleware</t>
        </is>
      </c>
      <c r="E40" s="251" t="inlineStr">
        <is>
          <t>Data sync real-time</t>
        </is>
      </c>
      <c r="F40" s="251" t="inlineStr">
        <is>
          <t>GHL + Apps Script</t>
        </is>
      </c>
      <c r="G40" s="251" t="inlineStr">
        <is>
          <t>Ngày 3</t>
        </is>
      </c>
      <c r="H40" s="251" t="inlineStr">
        <is>
          <t>☐</t>
        </is>
      </c>
    </row>
    <row r="41" ht="35.05" customHeight="1" s="248">
      <c r="A41" s="252" t="n">
        <v>2</v>
      </c>
      <c r="B41" s="252" t="inlineStr">
        <is>
          <t>Middleware Build</t>
        </is>
      </c>
      <c r="C41" s="252" t="inlineStr">
        <is>
          <t>Xây middleware nhận webhook GHL</t>
        </is>
      </c>
      <c r="D41" s="252" t="inlineStr">
        <is>
          <t>Node.js/Apps Script → Parse payload → Write to Google Sheets</t>
        </is>
      </c>
      <c r="E41" s="252" t="inlineStr">
        <is>
          <t>Middleware running 24/7</t>
        </is>
      </c>
      <c r="F41" s="252" t="inlineStr">
        <is>
          <t>Apps Script / Cloud Run</t>
        </is>
      </c>
      <c r="G41" s="252" t="inlineStr">
        <is>
          <t>Ngày 3-4</t>
        </is>
      </c>
      <c r="H41" s="252" t="inlineStr">
        <is>
          <t>☐</t>
        </is>
      </c>
    </row>
    <row r="42" ht="57.45" customHeight="1" s="248">
      <c r="A42" s="251" t="n">
        <v>3</v>
      </c>
      <c r="B42" s="251" t="inlineStr">
        <is>
          <t>Sheet Structure</t>
        </is>
      </c>
      <c r="C42" s="251" t="inlineStr">
        <is>
          <t>Tạo Google Sheet cho Birch đọc</t>
        </is>
      </c>
      <c r="D42" s="251" t="inlineStr">
        <is>
          <t>Columns: Date, Contact ID, Campus, Grade, Source, Campaign, Status, Qualified, Tour, Enrolled</t>
        </is>
      </c>
      <c r="E42" s="251" t="inlineStr">
        <is>
          <t>Sheet ready for Birch</t>
        </is>
      </c>
      <c r="F42" s="251" t="inlineStr">
        <is>
          <t>Google Sheets</t>
        </is>
      </c>
      <c r="G42" s="251" t="inlineStr">
        <is>
          <t>Ngày 3</t>
        </is>
      </c>
      <c r="H42" s="251" t="inlineStr">
        <is>
          <t>☐</t>
        </is>
      </c>
    </row>
    <row r="43" ht="35.05" customHeight="1" s="248">
      <c r="A43" s="252" t="n">
        <v>4</v>
      </c>
      <c r="B43" s="252" t="inlineStr">
        <is>
          <t>Birch Connect Sheet</t>
        </is>
      </c>
      <c r="C43" s="252" t="inlineStr">
        <is>
          <t>Kết nối Birch với Google Sheets</t>
        </is>
      </c>
      <c r="D43" s="252" t="inlineStr">
        <is>
          <t>Birch Settings → Data Sources → Google Sheets → Share sheet</t>
        </is>
      </c>
      <c r="E43" s="252" t="inlineStr">
        <is>
          <t>Birch reads GHL data</t>
        </is>
      </c>
      <c r="F43" s="252" t="inlineStr">
        <is>
          <t>Birch</t>
        </is>
      </c>
      <c r="G43" s="252" t="inlineStr">
        <is>
          <t>Ngày 4</t>
        </is>
      </c>
      <c r="H43" s="252" t="inlineStr">
        <is>
          <t>☐</t>
        </is>
      </c>
    </row>
    <row r="44" ht="46.25" customHeight="1" s="248">
      <c r="A44" s="251" t="n">
        <v>5</v>
      </c>
      <c r="B44" s="251" t="inlineStr">
        <is>
          <t>Custom Metrics Birch</t>
        </is>
      </c>
      <c r="C44" s="251" t="inlineStr">
        <is>
          <t>Tạo metrics kết hợp ads + CRM</t>
        </is>
      </c>
      <c r="D44" s="251" t="inlineStr">
        <is>
          <t>Qualified Rate = Q.Leads/Total Leads | Tour Rate = Tours/Leads | CAC = Spend/Enrolled</t>
        </is>
      </c>
      <c r="E44" s="251" t="inlineStr">
        <is>
          <t>Birch shows CRM metrics</t>
        </is>
      </c>
      <c r="F44" s="251" t="inlineStr">
        <is>
          <t>Birch Custom Metrics</t>
        </is>
      </c>
      <c r="G44" s="251" t="inlineStr">
        <is>
          <t>Ngày 4</t>
        </is>
      </c>
      <c r="H44" s="251" t="inlineStr">
        <is>
          <t>☐</t>
        </is>
      </c>
    </row>
    <row r="45" ht="46.25" customHeight="1" s="248">
      <c r="A45" s="252" t="n">
        <v>6</v>
      </c>
      <c r="B45" s="252" t="inlineStr">
        <is>
          <t>Auto Scale Rule</t>
        </is>
      </c>
      <c r="C45" s="252" t="inlineStr">
        <is>
          <t>Rule: Scale campaign nếu quality tốt</t>
        </is>
      </c>
      <c r="D45" s="252" t="inlineStr">
        <is>
          <t>IF CPL &lt; target AND Qualified Rate &gt; 50% AND Tour Rate &gt; 20% → Increase budget 15%</t>
        </is>
      </c>
      <c r="E45" s="252" t="inlineStr">
        <is>
          <t>Auto budget increase</t>
        </is>
      </c>
      <c r="F45" s="252" t="inlineStr">
        <is>
          <t>Birch Automation</t>
        </is>
      </c>
      <c r="G45" s="252" t="inlineStr">
        <is>
          <t>Tuần 2</t>
        </is>
      </c>
      <c r="H45" s="252" t="inlineStr">
        <is>
          <t>☐</t>
        </is>
      </c>
    </row>
    <row r="46" ht="46.25" customHeight="1" s="248">
      <c r="A46" s="251" t="n">
        <v>7</v>
      </c>
      <c r="B46" s="251" t="inlineStr">
        <is>
          <t>Auto Pause Rule</t>
        </is>
      </c>
      <c r="C46" s="251" t="inlineStr">
        <is>
          <t>Rule: Pause nếu quality xấu</t>
        </is>
      </c>
      <c r="D46" s="251" t="inlineStr">
        <is>
          <t>IF CPL &gt; target 30% AND Tour Rate &lt; 10% for 5 days → Pause adset + Alert</t>
        </is>
      </c>
      <c r="E46" s="251" t="inlineStr">
        <is>
          <t>Auto protection</t>
        </is>
      </c>
      <c r="F46" s="251" t="inlineStr">
        <is>
          <t>Birch Automation</t>
        </is>
      </c>
      <c r="G46" s="251" t="inlineStr">
        <is>
          <t>Tuần 2</t>
        </is>
      </c>
      <c r="H46" s="251" t="inlineStr">
        <is>
          <t>☐</t>
        </is>
      </c>
    </row>
    <row r="47" ht="35.05" customHeight="1" s="248">
      <c r="A47" s="252" t="n">
        <v>8</v>
      </c>
      <c r="B47" s="252" t="inlineStr">
        <is>
          <t>Campus Alert Rule</t>
        </is>
      </c>
      <c r="C47" s="252" t="inlineStr">
        <is>
          <t>Rule: Alert khi campus hụt target</t>
        </is>
      </c>
      <c r="D47" s="252" t="inlineStr">
        <is>
          <t>IF Campus X enrolled &lt; monthly target 20% by mid-month → Alert Slack</t>
        </is>
      </c>
      <c r="E47" s="252" t="inlineStr">
        <is>
          <t>Campus gap detection</t>
        </is>
      </c>
      <c r="F47" s="252" t="inlineStr">
        <is>
          <t>Birch Automation</t>
        </is>
      </c>
      <c r="G47" s="252" t="inlineStr">
        <is>
          <t>Tuần 2</t>
        </is>
      </c>
      <c r="H47" s="252" t="inlineStr">
        <is>
          <t>☐</t>
        </is>
      </c>
    </row>
    <row r="48" ht="46.25" customHeight="1" s="248">
      <c r="A48" s="251" t="n">
        <v>9</v>
      </c>
      <c r="B48" s="251" t="inlineStr">
        <is>
          <t>Meta CAPI Setup</t>
        </is>
      </c>
      <c r="C48" s="251" t="inlineStr">
        <is>
          <t>Conversion API từ GHL → Meta</t>
        </is>
      </c>
      <c r="D48" s="251" t="inlineStr">
        <is>
          <t>GHL Workflow → On status change → POST to Meta CAPI endpoint with event data</t>
        </is>
      </c>
      <c r="E48" s="251" t="inlineStr">
        <is>
          <t>Server-side tracking active</t>
        </is>
      </c>
      <c r="F48" s="251" t="inlineStr">
        <is>
          <t>GHL + Meta CAPI</t>
        </is>
      </c>
      <c r="G48" s="251" t="inlineStr">
        <is>
          <t>Ngày 4</t>
        </is>
      </c>
      <c r="H48" s="251" t="inlineStr">
        <is>
          <t>☐</t>
        </is>
      </c>
    </row>
    <row r="49" ht="35.05" customHeight="1" s="248">
      <c r="A49" s="252" t="n">
        <v>10</v>
      </c>
      <c r="B49" s="252" t="inlineStr">
        <is>
          <t>Google Offline Conv</t>
        </is>
      </c>
      <c r="C49" s="252" t="inlineStr">
        <is>
          <t>Upload offline conversions Google</t>
        </is>
      </c>
      <c r="D49" s="252" t="inlineStr">
        <is>
          <t>GHL → Tour completed → Upload to Google Ads as offline conversion via API</t>
        </is>
      </c>
      <c r="E49" s="252" t="inlineStr">
        <is>
          <t>Google Ads sees tour data</t>
        </is>
      </c>
      <c r="F49" s="252" t="inlineStr">
        <is>
          <t>GHL + Google Ads API</t>
        </is>
      </c>
      <c r="G49" s="252" t="inlineStr">
        <is>
          <t>Ngày 5</t>
        </is>
      </c>
      <c r="H49" s="252" t="inlineStr">
        <is>
          <t>☐</t>
        </is>
      </c>
    </row>
    <row r="50" ht="57.45" customHeight="1" s="248">
      <c r="A50" s="251" t="n">
        <v>11</v>
      </c>
      <c r="B50" s="251" t="inlineStr">
        <is>
          <t>Lead Scoring Setup</t>
        </is>
      </c>
      <c r="C50" s="251" t="inlineStr">
        <is>
          <t>Xây lead scoring trong GHL</t>
        </is>
      </c>
      <c r="D50" s="251" t="inlineStr">
        <is>
          <t>Score: +10 form submit, +20 call answered, +30 tour booked, +50 tour attended, -10 no answer 3x</t>
        </is>
      </c>
      <c r="E50" s="251" t="inlineStr">
        <is>
          <t>Lead priority ranking</t>
        </is>
      </c>
      <c r="F50" s="251" t="inlineStr">
        <is>
          <t>GHL Lead Scoring</t>
        </is>
      </c>
      <c r="G50" s="251" t="inlineStr">
        <is>
          <t>Ngày 5</t>
        </is>
      </c>
      <c r="H50" s="251" t="inlineStr">
        <is>
          <t>☐</t>
        </is>
      </c>
    </row>
    <row r="51" ht="46.25" customHeight="1" s="248">
      <c r="A51" s="252" t="n">
        <v>12</v>
      </c>
      <c r="B51" s="252" t="inlineStr">
        <is>
          <t>Dashboard GHL</t>
        </is>
      </c>
      <c r="C51" s="252" t="inlineStr">
        <is>
          <t>Build dashboard CRM realtime</t>
        </is>
      </c>
      <c r="D51" s="252" t="inlineStr">
        <is>
          <t>Pipeline view + Lead by source + Tour calendar + SLA tracker + Revenue forecast</t>
        </is>
      </c>
      <c r="E51" s="252" t="inlineStr">
        <is>
          <t>Dashboard live</t>
        </is>
      </c>
      <c r="F51" s="252" t="inlineStr">
        <is>
          <t>GHL Dashboard Builder</t>
        </is>
      </c>
      <c r="G51" s="252" t="inlineStr">
        <is>
          <t>Ngày 5-6</t>
        </is>
      </c>
      <c r="H51" s="252" t="inlineStr">
        <is>
          <t>☐</t>
        </is>
      </c>
    </row>
    <row r="54" ht="15" customHeight="1" s="248">
      <c r="A54" s="253" t="inlineStr">
        <is>
          <t>E. GHL + ADS PLATFORMS INTEGRATION MAP</t>
        </is>
      </c>
    </row>
    <row r="55" ht="15" customHeight="1" s="248">
      <c r="A55" s="250" t="inlineStr">
        <is>
          <t>Nền tảng Ads</t>
        </is>
      </c>
      <c r="B55" s="250" t="inlineStr">
        <is>
          <t>Loại Integration</t>
        </is>
      </c>
      <c r="C55" s="250" t="inlineStr">
        <is>
          <t>Data Flow</t>
        </is>
      </c>
      <c r="D55" s="250" t="inlineStr">
        <is>
          <t>Mục đích</t>
        </is>
      </c>
      <c r="E55" s="250" t="inlineStr">
        <is>
          <t>Setup Tool</t>
        </is>
      </c>
      <c r="F55" s="250" t="inlineStr">
        <is>
          <t>Automation</t>
        </is>
      </c>
      <c r="G55" s="250" t="inlineStr">
        <is>
          <t>Trạng thái</t>
        </is>
      </c>
    </row>
    <row r="56" ht="23.85" customHeight="1" s="248">
      <c r="A56" s="251" t="inlineStr">
        <is>
          <t>Meta Ads</t>
        </is>
      </c>
      <c r="B56" s="251" t="inlineStr">
        <is>
          <t>Lead Form Sync</t>
        </is>
      </c>
      <c r="C56" s="251" t="inlineStr">
        <is>
          <t>Meta Lead Form → GHL (instant)</t>
        </is>
      </c>
      <c r="D56" s="251" t="inlineStr">
        <is>
          <t>Auto-import lead từ Meta form vào GHL pipeline</t>
        </is>
      </c>
      <c r="E56" s="251" t="inlineStr">
        <is>
          <t>GHL Integration + Zapier</t>
        </is>
      </c>
      <c r="F56" s="251" t="inlineStr">
        <is>
          <t>New lead → Auto-assign → Welcome SMS 30s</t>
        </is>
      </c>
      <c r="G56" s="251" t="inlineStr">
        <is>
          <t>☐</t>
        </is>
      </c>
    </row>
    <row r="57" ht="35.05" customHeight="1" s="248">
      <c r="A57" s="252" t="inlineStr">
        <is>
          <t>Meta Ads</t>
        </is>
      </c>
      <c r="B57" s="252" t="inlineStr">
        <is>
          <t>CAPI (Server)</t>
        </is>
      </c>
      <c r="C57" s="252" t="inlineStr">
        <is>
          <t>GHL Status Change → Meta CAPI</t>
        </is>
      </c>
      <c r="D57" s="252" t="inlineStr">
        <is>
          <t>Gửi offline events: Qualified, Tour, Enrolled về Meta</t>
        </is>
      </c>
      <c r="E57" s="252" t="inlineStr">
        <is>
          <t>GHL Webhook + Meta CAPI</t>
        </is>
      </c>
      <c r="F57" s="252" t="inlineStr">
        <is>
          <t>Improve Meta optimization + audience quality</t>
        </is>
      </c>
      <c r="G57" s="252" t="inlineStr">
        <is>
          <t>☐</t>
        </is>
      </c>
    </row>
    <row r="58" ht="23.85" customHeight="1" s="248">
      <c r="A58" s="251" t="inlineStr">
        <is>
          <t>Meta Ads</t>
        </is>
      </c>
      <c r="B58" s="251" t="inlineStr">
        <is>
          <t>Audience Sync</t>
        </is>
      </c>
      <c r="C58" s="251" t="inlineStr">
        <is>
          <t>GHL Enrolled List → Meta Custom Audience</t>
        </is>
      </c>
      <c r="D58" s="251" t="inlineStr">
        <is>
          <t>Exclude enrolled + Create lookalike từ best leads</t>
        </is>
      </c>
      <c r="E58" s="251" t="inlineStr">
        <is>
          <t>GHL Export + Meta Upload</t>
        </is>
      </c>
      <c r="F58" s="251" t="inlineStr">
        <is>
          <t>Monthly refresh audience exclusion</t>
        </is>
      </c>
      <c r="G58" s="251" t="inlineStr">
        <is>
          <t>☐</t>
        </is>
      </c>
    </row>
    <row r="59" ht="35.05" customHeight="1" s="248">
      <c r="A59" s="252" t="inlineStr">
        <is>
          <t>Google Ads</t>
        </is>
      </c>
      <c r="B59" s="252" t="inlineStr">
        <is>
          <t>Offline Conversion</t>
        </is>
      </c>
      <c r="C59" s="252" t="inlineStr">
        <is>
          <t>GHL Tour/Enroll → Google Ads Offline Conv</t>
        </is>
      </c>
      <c r="D59" s="252" t="inlineStr">
        <is>
          <t>Google Ads optimize cho Tour thay vì chỉ form submit</t>
        </is>
      </c>
      <c r="E59" s="252" t="inlineStr">
        <is>
          <t>GHL → Sheets → Google Ads API</t>
        </is>
      </c>
      <c r="F59" s="252" t="inlineStr">
        <is>
          <t>Weekly upload offline conversions</t>
        </is>
      </c>
      <c r="G59" s="252" t="inlineStr">
        <is>
          <t>☐</t>
        </is>
      </c>
    </row>
    <row r="60" ht="23.85" customHeight="1" s="248">
      <c r="A60" s="251" t="inlineStr">
        <is>
          <t>Google Ads</t>
        </is>
      </c>
      <c r="B60" s="251" t="inlineStr">
        <is>
          <t>Birch Bridge</t>
        </is>
      </c>
      <c r="C60" s="251" t="inlineStr">
        <is>
          <t>GHL → Sheets → Birch → Google Ads</t>
        </is>
      </c>
      <c r="D60" s="251" t="inlineStr">
        <is>
          <t>Birch dùng CRM data để auto-optimize budget</t>
        </is>
      </c>
      <c r="E60" s="251" t="inlineStr">
        <is>
          <t>Birch + Google Sheets</t>
        </is>
      </c>
      <c r="F60" s="251" t="inlineStr">
        <is>
          <t>Auto scale/pause dựa trên CRM quality</t>
        </is>
      </c>
      <c r="G60" s="251" t="inlineStr">
        <is>
          <t>☐</t>
        </is>
      </c>
    </row>
    <row r="61" ht="23.85" customHeight="1" s="248">
      <c r="A61" s="252" t="inlineStr">
        <is>
          <t>TikTok Ads</t>
        </is>
      </c>
      <c r="B61" s="252" t="inlineStr">
        <is>
          <t>Lead Form Sync</t>
        </is>
      </c>
      <c r="C61" s="252" t="inlineStr">
        <is>
          <t>TikTok Lead Form → GHL</t>
        </is>
      </c>
      <c r="D61" s="252" t="inlineStr">
        <is>
          <t>Import TikTok leads vào GHL auto</t>
        </is>
      </c>
      <c r="E61" s="252" t="inlineStr">
        <is>
          <t>Zapier / Make.com</t>
        </is>
      </c>
      <c r="F61" s="252" t="inlineStr">
        <is>
          <t>New lead → Pipeline + Welcome seq</t>
        </is>
      </c>
      <c r="G61" s="252" t="inlineStr">
        <is>
          <t>☐</t>
        </is>
      </c>
    </row>
    <row r="62" ht="35.05" customHeight="1" s="248">
      <c r="A62" s="251" t="inlineStr">
        <is>
          <t>TikTok Ads</t>
        </is>
      </c>
      <c r="B62" s="251" t="inlineStr">
        <is>
          <t>Pixel Events</t>
        </is>
      </c>
      <c r="C62" s="251" t="inlineStr">
        <is>
          <t>Website → TikTok Pixel → Events</t>
        </is>
      </c>
      <c r="D62" s="251" t="inlineStr">
        <is>
          <t>Track form submit, call click cho TikTok optimization</t>
        </is>
      </c>
      <c r="E62" s="251" t="inlineStr">
        <is>
          <t>GTM + TikTok Pixel</t>
        </is>
      </c>
      <c r="F62" s="251" t="inlineStr">
        <is>
          <t>Event-based optimization</t>
        </is>
      </c>
      <c r="G62" s="251" t="inlineStr">
        <is>
          <t>☐</t>
        </is>
      </c>
    </row>
    <row r="63" ht="23.85" customHeight="1" s="248">
      <c r="A63" s="252" t="inlineStr">
        <is>
          <t>Zalo Ads</t>
        </is>
      </c>
      <c r="B63" s="252" t="inlineStr">
        <is>
          <t>OA Connect</t>
        </is>
      </c>
      <c r="C63" s="252" t="inlineStr">
        <is>
          <t>Zalo OA → GHL Conversations</t>
        </is>
      </c>
      <c r="D63" s="252" t="inlineStr">
        <is>
          <t>Tất cả Zalo message hiện trong GHL inbox</t>
        </is>
      </c>
      <c r="E63" s="252" t="inlineStr">
        <is>
          <t>GHL Zalo Integration</t>
        </is>
      </c>
      <c r="F63" s="252" t="inlineStr">
        <is>
          <t>Auto-reply + broadcast từ GHL</t>
        </is>
      </c>
      <c r="G63" s="252" t="inlineStr">
        <is>
          <t>☐</t>
        </is>
      </c>
    </row>
    <row r="64" ht="23.85" customHeight="1" s="248">
      <c r="A64" s="251" t="inlineStr">
        <is>
          <t>Zalo Ads</t>
        </is>
      </c>
      <c r="B64" s="251" t="inlineStr">
        <is>
          <t>Pixel Sync</t>
        </is>
      </c>
      <c r="C64" s="251" t="inlineStr">
        <is>
          <t>Website → Zalo Pixel → Remarketing</t>
        </is>
      </c>
      <c r="D64" s="251" t="inlineStr">
        <is>
          <t>Build Zalo remarketing audience từ web visitors</t>
        </is>
      </c>
      <c r="E64" s="251" t="inlineStr">
        <is>
          <t>GTM + Zalo Pixel</t>
        </is>
      </c>
      <c r="F64" s="251" t="inlineStr">
        <is>
          <t>Retarget OA followers + web visitors</t>
        </is>
      </c>
      <c r="G64" s="251" t="inlineStr">
        <is>
          <t>☐</t>
        </is>
      </c>
    </row>
    <row r="65" ht="35.05" customHeight="1" s="248">
      <c r="A65" s="252" t="inlineStr">
        <is>
          <t>All Platforms</t>
        </is>
      </c>
      <c r="B65" s="252" t="inlineStr">
        <is>
          <t>UTM Tracking</t>
        </is>
      </c>
      <c r="C65" s="252" t="inlineStr">
        <is>
          <t>UTM params → GHL Custom Fields</t>
        </is>
      </c>
      <c r="D65" s="252" t="inlineStr">
        <is>
          <t>Attribution chính xác: biết lead từ campaign/keyword nào</t>
        </is>
      </c>
      <c r="E65" s="252" t="inlineStr">
        <is>
          <t>GHL Form + Hidden fields</t>
        </is>
      </c>
      <c r="F65" s="252" t="inlineStr">
        <is>
          <t>Auto-capture UTM vào contact record</t>
        </is>
      </c>
      <c r="G65" s="252" t="inlineStr">
        <is>
          <t>☐</t>
        </is>
      </c>
    </row>
    <row r="66" ht="35.05" customHeight="1" s="248">
      <c r="A66" s="251" t="inlineStr">
        <is>
          <t>Birch PPC</t>
        </is>
      </c>
      <c r="B66" s="251" t="inlineStr">
        <is>
          <t>Cross-platform</t>
        </is>
      </c>
      <c r="C66" s="251" t="inlineStr">
        <is>
          <t>All Ads → Birch → Rules + Reports</t>
        </is>
      </c>
      <c r="D66" s="251" t="inlineStr">
        <is>
          <t>Quản lý budget, pacing, alerts tất cả ads từ 1 dashboard</t>
        </is>
      </c>
      <c r="E66" s="251" t="inlineStr">
        <is>
          <t>Birch Workspace</t>
        </is>
      </c>
      <c r="F66" s="251" t="inlineStr">
        <is>
          <t>Auto email report T2+T5 cho team</t>
        </is>
      </c>
      <c r="G66" s="251" t="inlineStr">
        <is>
          <t>☐</t>
        </is>
      </c>
    </row>
    <row r="69" ht="15" customHeight="1" s="248">
      <c r="A69" s="253" t="inlineStr">
        <is>
          <t>F. GHL AUTOMATION WORKFLOWS – CHI TIẾT TỪNG BƯỚC</t>
        </is>
      </c>
    </row>
    <row r="70" ht="15" customHeight="1" s="248">
      <c r="A70" s="250" t="inlineStr">
        <is>
          <t>Workflow</t>
        </is>
      </c>
      <c r="B70" s="250" t="inlineStr">
        <is>
          <t>Bước</t>
        </is>
      </c>
      <c r="C70" s="250" t="inlineStr">
        <is>
          <t>Action</t>
        </is>
      </c>
      <c r="D70" s="250" t="inlineStr">
        <is>
          <t>Delay</t>
        </is>
      </c>
      <c r="E70" s="250" t="inlineStr">
        <is>
          <t>Channel</t>
        </is>
      </c>
      <c r="F70" s="250" t="inlineStr">
        <is>
          <t>Nội dung tóm tắt</t>
        </is>
      </c>
      <c r="G70" s="250" t="inlineStr">
        <is>
          <t>Condition</t>
        </is>
      </c>
      <c r="H70" s="250" t="inlineStr">
        <is>
          <t>KPI đo</t>
        </is>
      </c>
    </row>
    <row r="71" ht="46.25" customHeight="1" s="248">
      <c r="A71" s="251" t="inlineStr">
        <is>
          <t>Welcome Sequence</t>
        </is>
      </c>
      <c r="B71" s="251" t="inlineStr">
        <is>
          <t>1</t>
        </is>
      </c>
      <c r="C71" s="251" t="inlineStr">
        <is>
          <t>SMS gửi ngay</t>
        </is>
      </c>
      <c r="D71" s="251" t="inlineStr">
        <is>
          <t>30 giây</t>
        </is>
      </c>
      <c r="E71" s="251" t="inlineStr">
        <is>
          <t>SMS</t>
        </is>
      </c>
      <c r="F71" s="251" t="inlineStr">
        <is>
          <t>Chào [Tên], cảm ơn bạn quan tâm Việt Anh. Tư vấn viên sẽ gọi trong 5 phút!</t>
        </is>
      </c>
      <c r="G71" s="251" t="inlineStr">
        <is>
          <t>New lead created</t>
        </is>
      </c>
      <c r="H71" s="251" t="inlineStr">
        <is>
          <t>Delivery rate</t>
        </is>
      </c>
    </row>
    <row r="72" ht="35.05" customHeight="1" s="248">
      <c r="A72" s="252" t="inlineStr">
        <is>
          <t>Welcome Sequence</t>
        </is>
      </c>
      <c r="B72" s="252" t="inlineStr">
        <is>
          <t>2</t>
        </is>
      </c>
      <c r="C72" s="252" t="inlineStr">
        <is>
          <t>Assign to Sales</t>
        </is>
      </c>
      <c r="D72" s="252" t="inlineStr">
        <is>
          <t>1 phút</t>
        </is>
      </c>
      <c r="E72" s="252" t="inlineStr">
        <is>
          <t>System</t>
        </is>
      </c>
      <c r="F72" s="252" t="inlineStr">
        <is>
          <t>Round-robin assign theo campus + grade → Push notification</t>
        </is>
      </c>
      <c r="G72" s="252" t="inlineStr">
        <is>
          <t>Auto</t>
        </is>
      </c>
      <c r="H72" s="252" t="inlineStr">
        <is>
          <t>Assign time &lt; 2 min</t>
        </is>
      </c>
    </row>
    <row r="73" ht="35.05" customHeight="1" s="248">
      <c r="A73" s="251" t="inlineStr">
        <is>
          <t>Welcome Sequence</t>
        </is>
      </c>
      <c r="B73" s="251" t="inlineStr">
        <is>
          <t>3</t>
        </is>
      </c>
      <c r="C73" s="251" t="inlineStr">
        <is>
          <t>Zalo message</t>
        </is>
      </c>
      <c r="D73" s="251" t="inlineStr">
        <is>
          <t>5 phút</t>
        </is>
      </c>
      <c r="E73" s="251" t="inlineStr">
        <is>
          <t>Zalo</t>
        </is>
      </c>
      <c r="F73" s="251" t="inlineStr">
        <is>
          <t>Chào [Tên]! Tôi là [Sales]. Rất vui được tư vấn. Bạn quan tâm cấp nào?</t>
        </is>
      </c>
      <c r="G73" s="251" t="inlineStr">
        <is>
          <t>IF Zalo connected</t>
        </is>
      </c>
      <c r="H73" s="251" t="inlineStr">
        <is>
          <t>Reply rate ≥ 25%</t>
        </is>
      </c>
    </row>
    <row r="74" ht="35.05" customHeight="1" s="248">
      <c r="A74" s="252" t="inlineStr">
        <is>
          <t>Welcome Sequence</t>
        </is>
      </c>
      <c r="B74" s="252" t="inlineStr">
        <is>
          <t>4</t>
        </is>
      </c>
      <c r="C74" s="252" t="inlineStr">
        <is>
          <t>Email brochure</t>
        </is>
      </c>
      <c r="D74" s="252" t="inlineStr">
        <is>
          <t>1 giờ</t>
        </is>
      </c>
      <c r="E74" s="252" t="inlineStr">
        <is>
          <t>Email</t>
        </is>
      </c>
      <c r="F74" s="252" t="inlineStr">
        <is>
          <t>Email chào đón + brochure PDF + link website + CTA book tour</t>
        </is>
      </c>
      <c r="G74" s="252" t="inlineStr">
        <is>
          <t>All leads</t>
        </is>
      </c>
      <c r="H74" s="252" t="inlineStr">
        <is>
          <t>Open rate ≥ 30%</t>
        </is>
      </c>
    </row>
    <row r="75" ht="35.05" customHeight="1" s="248">
      <c r="A75" s="251" t="inlineStr">
        <is>
          <t>Welcome Sequence</t>
        </is>
      </c>
      <c r="B75" s="251" t="inlineStr">
        <is>
          <t>5</t>
        </is>
      </c>
      <c r="C75" s="251" t="inlineStr">
        <is>
          <t>Internal alert</t>
        </is>
      </c>
      <c r="D75" s="251" t="inlineStr">
        <is>
          <t>5 phút</t>
        </is>
      </c>
      <c r="E75" s="251" t="inlineStr">
        <is>
          <t>System</t>
        </is>
      </c>
      <c r="F75" s="251" t="inlineStr">
        <is>
          <t>IF lead chưa được gọi sau 5 min → Alert manager Slack/Zalo</t>
        </is>
      </c>
      <c r="G75" s="251" t="inlineStr">
        <is>
          <t>No call logged</t>
        </is>
      </c>
      <c r="H75" s="251" t="inlineStr">
        <is>
          <t>SLA compliance</t>
        </is>
      </c>
    </row>
    <row r="76" ht="35.05" customHeight="1" s="248">
      <c r="A76" s="252" t="inlineStr">
        <is>
          <t>Nurture No-Tour</t>
        </is>
      </c>
      <c r="B76" s="252" t="inlineStr">
        <is>
          <t>1</t>
        </is>
      </c>
      <c r="C76" s="252" t="inlineStr">
        <is>
          <t>SMS nhắc nhẹ</t>
        </is>
      </c>
      <c r="D76" s="252" t="inlineStr">
        <is>
          <t>Day 2</t>
        </is>
      </c>
      <c r="E76" s="252" t="inlineStr">
        <is>
          <t>SMS</t>
        </is>
      </c>
      <c r="F76" s="252" t="inlineStr">
        <is>
          <t>[Tên] ơi, đã tìm hiểu về trường chưa? Mời bạn đặt lịch tour miễn phí!</t>
        </is>
      </c>
      <c r="G76" s="252" t="inlineStr">
        <is>
          <t>Lead &gt; 48h, no tour booked</t>
        </is>
      </c>
      <c r="H76" s="252" t="inlineStr">
        <is>
          <t>Reply rate</t>
        </is>
      </c>
    </row>
    <row r="77" ht="35.05" customHeight="1" s="248">
      <c r="A77" s="251" t="inlineStr">
        <is>
          <t>Nurture No-Tour</t>
        </is>
      </c>
      <c r="B77" s="251" t="inlineStr">
        <is>
          <t>2</t>
        </is>
      </c>
      <c r="C77" s="251" t="inlineStr">
        <is>
          <t>Zalo article</t>
        </is>
      </c>
      <c r="D77" s="251" t="inlineStr">
        <is>
          <t>Day 4</t>
        </is>
      </c>
      <c r="E77" s="251" t="inlineStr">
        <is>
          <t>Zalo</t>
        </is>
      </c>
      <c r="F77" s="251" t="inlineStr">
        <is>
          <t>Gửi article: "5 tiêu chí chọn trường [Cấp] cho con" + CTA tour</t>
        </is>
      </c>
      <c r="G77" s="251" t="inlineStr">
        <is>
          <t>Still no tour</t>
        </is>
      </c>
      <c r="H77" s="251" t="inlineStr">
        <is>
          <t>Click rate</t>
        </is>
      </c>
    </row>
    <row r="78" ht="35.05" customHeight="1" s="248">
      <c r="A78" s="252" t="inlineStr">
        <is>
          <t>Nurture No-Tour</t>
        </is>
      </c>
      <c r="B78" s="252" t="inlineStr">
        <is>
          <t>3</t>
        </is>
      </c>
      <c r="C78" s="252" t="inlineStr">
        <is>
          <t>Email testimonial</t>
        </is>
      </c>
      <c r="D78" s="252" t="inlineStr">
        <is>
          <t>Day 7</t>
        </is>
      </c>
      <c r="E78" s="252" t="inlineStr">
        <is>
          <t>Email</t>
        </is>
      </c>
      <c r="F78" s="252" t="inlineStr">
        <is>
          <t>Email testimonial video PH + campus photos + CTA book tour</t>
        </is>
      </c>
      <c r="G78" s="252" t="inlineStr">
        <is>
          <t>Still no tour</t>
        </is>
      </c>
      <c r="H78" s="252" t="inlineStr">
        <is>
          <t>Open + Click</t>
        </is>
      </c>
    </row>
    <row r="79" ht="35.05" customHeight="1" s="248">
      <c r="A79" s="251" t="inlineStr">
        <is>
          <t>Nurture No-Tour</t>
        </is>
      </c>
      <c r="B79" s="251" t="inlineStr">
        <is>
          <t>4</t>
        </is>
      </c>
      <c r="C79" s="251" t="inlineStr">
        <is>
          <t>Task: Gọi điện</t>
        </is>
      </c>
      <c r="D79" s="251" t="inlineStr">
        <is>
          <t>Day 10</t>
        </is>
      </c>
      <c r="E79" s="251" t="inlineStr">
        <is>
          <t>System</t>
        </is>
      </c>
      <c r="F79" s="251" t="inlineStr">
        <is>
          <t>Tạo task cho sales: Gọi [Tên] – lead chưa tour 10 ngày</t>
        </is>
      </c>
      <c r="G79" s="251" t="inlineStr">
        <is>
          <t>Still no tour</t>
        </is>
      </c>
      <c r="H79" s="251" t="inlineStr">
        <is>
          <t>Call outcome</t>
        </is>
      </c>
    </row>
    <row r="80" ht="35.05" customHeight="1" s="248">
      <c r="A80" s="252" t="inlineStr">
        <is>
          <t>Nurture No-Tour</t>
        </is>
      </c>
      <c r="B80" s="252" t="inlineStr">
        <is>
          <t>5</t>
        </is>
      </c>
      <c r="C80" s="252" t="inlineStr">
        <is>
          <t>SMS ưu đãi</t>
        </is>
      </c>
      <c r="D80" s="252" t="inlineStr">
        <is>
          <t>Day 14</t>
        </is>
      </c>
      <c r="E80" s="252" t="inlineStr">
        <is>
          <t>SMS</t>
        </is>
      </c>
      <c r="F80" s="252" t="inlineStr">
        <is>
          <t>Ưu đãi đặc biệt cho [Tên]: Giảm [X]% nếu nộp hồ sơ trong tuần!</t>
        </is>
      </c>
      <c r="G80" s="252" t="inlineStr">
        <is>
          <t>Still no tour</t>
        </is>
      </c>
      <c r="H80" s="252" t="inlineStr">
        <is>
          <t>Conv rate</t>
        </is>
      </c>
    </row>
    <row r="81" ht="35.05" customHeight="1" s="248">
      <c r="A81" s="251" t="inlineStr">
        <is>
          <t>Post-Tour</t>
        </is>
      </c>
      <c r="B81" s="251" t="inlineStr">
        <is>
          <t>1</t>
        </is>
      </c>
      <c r="C81" s="251" t="inlineStr">
        <is>
          <t>SMS cảm ơn</t>
        </is>
      </c>
      <c r="D81" s="251" t="inlineStr">
        <is>
          <t>2 giờ</t>
        </is>
      </c>
      <c r="E81" s="251" t="inlineStr">
        <is>
          <t>SMS</t>
        </is>
      </c>
      <c r="F81" s="251" t="inlineStr">
        <is>
          <t>Cảm ơn [Tên] đã đến tham quan! Nếu cần thêm thông tin, nhắn ngay!</t>
        </is>
      </c>
      <c r="G81" s="251" t="inlineStr">
        <is>
          <t>Tour completed</t>
        </is>
      </c>
      <c r="H81" s="251" t="inlineStr">
        <is>
          <t>Reply rate</t>
        </is>
      </c>
    </row>
    <row r="82" ht="35.05" customHeight="1" s="248">
      <c r="A82" s="252" t="inlineStr">
        <is>
          <t>Post-Tour</t>
        </is>
      </c>
      <c r="B82" s="252" t="inlineStr">
        <is>
          <t>2</t>
        </is>
      </c>
      <c r="C82" s="252" t="inlineStr">
        <is>
          <t>Email offer</t>
        </is>
      </c>
      <c r="D82" s="252" t="inlineStr">
        <is>
          <t>24 giờ</t>
        </is>
      </c>
      <c r="E82" s="252" t="inlineStr">
        <is>
          <t>Email</t>
        </is>
      </c>
      <c r="F82" s="252" t="inlineStr">
        <is>
          <t>Email ưu đãi riêng cho PH đã tour + Deadline hồ sơ + Scholarship info</t>
        </is>
      </c>
      <c r="G82" s="252" t="inlineStr">
        <is>
          <t>Tour completed</t>
        </is>
      </c>
      <c r="H82" s="252" t="inlineStr">
        <is>
          <t>Open + Click</t>
        </is>
      </c>
    </row>
    <row r="83" ht="35.05" customHeight="1" s="248">
      <c r="A83" s="251" t="inlineStr">
        <is>
          <t>Post-Tour</t>
        </is>
      </c>
      <c r="B83" s="251" t="inlineStr">
        <is>
          <t>3</t>
        </is>
      </c>
      <c r="C83" s="251" t="inlineStr">
        <is>
          <t>Task: Follow-up call</t>
        </is>
      </c>
      <c r="D83" s="251" t="inlineStr">
        <is>
          <t>48 giờ</t>
        </is>
      </c>
      <c r="E83" s="251" t="inlineStr">
        <is>
          <t>System</t>
        </is>
      </c>
      <c r="F83" s="251" t="inlineStr">
        <is>
          <t>Tạo task: Gọi [Tên] hỏi cảm nhận tour + push nộp hồ sơ</t>
        </is>
      </c>
      <c r="G83" s="251" t="inlineStr">
        <is>
          <t>No enrollment</t>
        </is>
      </c>
      <c r="H83" s="251" t="inlineStr">
        <is>
          <t>Call outcome</t>
        </is>
      </c>
    </row>
    <row r="84" ht="23.85" customHeight="1" s="248">
      <c r="A84" s="252" t="inlineStr">
        <is>
          <t>Post-Tour</t>
        </is>
      </c>
      <c r="B84" s="252" t="inlineStr">
        <is>
          <t>4</t>
        </is>
      </c>
      <c r="C84" s="252" t="inlineStr">
        <is>
          <t>Zalo reminder</t>
        </is>
      </c>
      <c r="D84" s="252" t="inlineStr">
        <is>
          <t>Day 5</t>
        </is>
      </c>
      <c r="E84" s="252" t="inlineStr">
        <is>
          <t>Zalo</t>
        </is>
      </c>
      <c r="F84" s="252" t="inlineStr">
        <is>
          <t>Nhắc nhẹ: Hạn nộp hồ sơ ưu đãi còn [X] ngày!</t>
        </is>
      </c>
      <c r="G84" s="252" t="inlineStr">
        <is>
          <t>No enrollment</t>
        </is>
      </c>
      <c r="H84" s="252" t="inlineStr">
        <is>
          <t>Reply + Conv</t>
        </is>
      </c>
    </row>
    <row r="85" ht="35.05" customHeight="1" s="248">
      <c r="A85" s="251" t="inlineStr">
        <is>
          <t>Post-Tour</t>
        </is>
      </c>
      <c r="B85" s="251" t="inlineStr">
        <is>
          <t>5</t>
        </is>
      </c>
      <c r="C85" s="251" t="inlineStr">
        <is>
          <t>SMS deadline</t>
        </is>
      </c>
      <c r="D85" s="251" t="inlineStr">
        <is>
          <t>Day 7</t>
        </is>
      </c>
      <c r="E85" s="251" t="inlineStr">
        <is>
          <t>SMS</t>
        </is>
      </c>
      <c r="F85" s="251" t="inlineStr">
        <is>
          <t>Cuối cùng! Ưu đãi [X]% hết hạn [Ngày]. Nộp hồ sơ ngay!</t>
        </is>
      </c>
      <c r="G85" s="251" t="inlineStr">
        <is>
          <t>No enrollment</t>
        </is>
      </c>
      <c r="H85" s="251" t="inlineStr">
        <is>
          <t>Conv rate</t>
        </is>
      </c>
    </row>
    <row r="88">
      <c r="A88" s="494" t="inlineStr">
        <is>
          <t>═══ TÍCH HỢP VỚI PANCAKE CRM + MAKE.COM ═══</t>
        </is>
      </c>
    </row>
    <row r="90">
      <c r="A90" s="495" t="inlineStr">
        <is>
          <t>Tính năng GHL</t>
        </is>
      </c>
      <c r="B90" s="495" t="inlineStr">
        <is>
          <t>Đồng bộ với Pancake</t>
        </is>
      </c>
      <c r="C90" s="495" t="inlineStr">
        <is>
          <t>Qua Make.com</t>
        </is>
      </c>
      <c r="D90" s="495" t="inlineStr">
        <is>
          <t>Hướng đi dữ liệu</t>
        </is>
      </c>
      <c r="E90" s="495" t="inlineStr">
        <is>
          <t>Ghi chú</t>
        </is>
      </c>
    </row>
    <row r="91">
      <c r="A91" s="499" t="inlineStr">
        <is>
          <t>Contacts</t>
        </is>
      </c>
      <c r="B91" s="499" t="inlineStr">
        <is>
          <t>Đồng bộ 2 chiều</t>
        </is>
      </c>
      <c r="C91" s="499" t="inlineStr">
        <is>
          <t>Scenario 1 + 2</t>
        </is>
      </c>
      <c r="D91" s="499" t="inlineStr">
        <is>
          <t>GHL ↔ Pancake</t>
        </is>
      </c>
      <c r="E91" s="499" t="inlineStr">
        <is>
          <t>Contact fields phải match 1:1</t>
        </is>
      </c>
    </row>
    <row r="92">
      <c r="A92" s="500" t="inlineStr">
        <is>
          <t>Tags</t>
        </is>
      </c>
      <c r="B92" s="500" t="inlineStr">
        <is>
          <t>Đồng bộ 2 chiều</t>
        </is>
      </c>
      <c r="C92" s="500" t="inlineStr">
        <is>
          <t>Scenario 3</t>
        </is>
      </c>
      <c r="D92" s="500" t="inlineStr">
        <is>
          <t>GHL ↔ Pancake</t>
        </is>
      </c>
      <c r="E92" s="500" t="inlineStr">
        <is>
          <t>Cẩn thận infinite loop</t>
        </is>
      </c>
    </row>
    <row r="93">
      <c r="A93" s="499" t="inlineStr">
        <is>
          <t>Pipeline/Stages</t>
        </is>
      </c>
      <c r="B93" s="499" t="inlineStr">
        <is>
          <t>GHL → Pancake</t>
        </is>
      </c>
      <c r="C93" s="499" t="inlineStr">
        <is>
          <t>Scenario 4</t>
        </is>
      </c>
      <c r="D93" s="499" t="inlineStr">
        <is>
          <t>GHL → Pancake</t>
        </is>
      </c>
      <c r="E93" s="499" t="inlineStr">
        <is>
          <t>GHL là master cho pipeline</t>
        </is>
      </c>
    </row>
    <row r="94">
      <c r="A94" s="500" t="inlineStr">
        <is>
          <t>Appointments</t>
        </is>
      </c>
      <c r="B94" s="500" t="inlineStr">
        <is>
          <t>GHL → Pancake (note)</t>
        </is>
      </c>
      <c r="C94" s="500" t="inlineStr">
        <is>
          <t>Scenario 7</t>
        </is>
      </c>
      <c r="D94" s="500" t="inlineStr">
        <is>
          <t>GHL → Pancake</t>
        </is>
      </c>
      <c r="E94" s="500" t="inlineStr">
        <is>
          <t>Pancake nhận note, không calendar</t>
        </is>
      </c>
    </row>
    <row r="95">
      <c r="A95" s="499" t="inlineStr">
        <is>
          <t>Workflows/Automation</t>
        </is>
      </c>
      <c r="B95" s="499" t="inlineStr">
        <is>
          <t>GHL only</t>
        </is>
      </c>
      <c r="C95" s="499" t="inlineStr">
        <is>
          <t>N/A</t>
        </is>
      </c>
      <c r="D95" s="499" t="inlineStr">
        <is>
          <t>N/A</t>
        </is>
      </c>
      <c r="E95" s="499" t="inlineStr">
        <is>
          <t>Pancake không có workflow engine</t>
        </is>
      </c>
    </row>
    <row r="96">
      <c r="A96" s="500" t="inlineStr">
        <is>
          <t>Email Marketing</t>
        </is>
      </c>
      <c r="B96" s="500" t="inlineStr">
        <is>
          <t>GHL only</t>
        </is>
      </c>
      <c r="C96" s="500" t="inlineStr">
        <is>
          <t>N/A</t>
        </is>
      </c>
      <c r="D96" s="500" t="inlineStr">
        <is>
          <t>N/A</t>
        </is>
      </c>
      <c r="E96" s="500" t="inlineStr">
        <is>
          <t>GHL gửi email, Pancake chỉ chat</t>
        </is>
      </c>
    </row>
    <row r="97">
      <c r="A97" s="499" t="inlineStr">
        <is>
          <t>SMS</t>
        </is>
      </c>
      <c r="B97" s="499" t="inlineStr">
        <is>
          <t>GHL only</t>
        </is>
      </c>
      <c r="C97" s="499" t="inlineStr">
        <is>
          <t>N/A</t>
        </is>
      </c>
      <c r="D97" s="499" t="inlineStr">
        <is>
          <t>N/A</t>
        </is>
      </c>
      <c r="E97" s="499" t="inlineStr">
        <is>
          <t>Qua eSMS/SpeedSMS API</t>
        </is>
      </c>
    </row>
    <row r="98">
      <c r="A98" s="500" t="inlineStr">
        <is>
          <t>FB/Zalo Chat</t>
        </is>
      </c>
      <c r="B98" s="500" t="inlineStr">
        <is>
          <t>Pancake only</t>
        </is>
      </c>
      <c r="C98" s="500" t="inlineStr">
        <is>
          <t>N/A</t>
        </is>
      </c>
      <c r="D98" s="500" t="inlineStr">
        <is>
          <t>N/A</t>
        </is>
      </c>
      <c r="E98" s="500" t="inlineStr">
        <is>
          <t>Pancake là master cho chat</t>
        </is>
      </c>
    </row>
    <row r="99">
      <c r="A99" s="499" t="inlineStr">
        <is>
          <t>Chatbot</t>
        </is>
      </c>
      <c r="B99" s="499" t="inlineStr">
        <is>
          <t>Pancake primary</t>
        </is>
      </c>
      <c r="C99" s="499" t="inlineStr">
        <is>
          <t>N/A</t>
        </is>
      </c>
      <c r="D99" s="499" t="inlineStr">
        <is>
          <t>N/A</t>
        </is>
      </c>
      <c r="E99" s="499" t="inlineStr">
        <is>
          <t>FB + Zalo chatbot qua Pancake</t>
        </is>
      </c>
    </row>
    <row r="100">
      <c r="A100" s="500" t="inlineStr">
        <is>
          <t>Reporting</t>
        </is>
      </c>
      <c r="B100" s="500" t="inlineStr">
        <is>
          <t>Cả hai</t>
        </is>
      </c>
      <c r="C100" s="500" t="inlineStr">
        <is>
          <t>Scenario 5 + 8</t>
        </is>
      </c>
      <c r="D100" s="500" t="inlineStr">
        <is>
          <t>Both → Google Sheets</t>
        </is>
      </c>
      <c r="E100" s="500" t="inlineStr">
        <is>
          <t>Google Sheets là backup/dashboard</t>
        </is>
      </c>
    </row>
    <row r="101">
      <c r="A101" s="499" t="inlineStr">
        <is>
          <t>Landing Pages</t>
        </is>
      </c>
      <c r="B101" s="499" t="inlineStr">
        <is>
          <t>GHL only</t>
        </is>
      </c>
      <c r="C101" s="499" t="inlineStr">
        <is>
          <t>N/A</t>
        </is>
      </c>
      <c r="D101" s="499" t="inlineStr">
        <is>
          <t>N/A</t>
        </is>
      </c>
      <c r="E101" s="499" t="inlineStr">
        <is>
          <t>forms.truongvietanh.com</t>
        </is>
      </c>
    </row>
    <row r="102">
      <c r="A102" s="500" t="inlineStr">
        <is>
          <t>Ads Tracking</t>
        </is>
      </c>
      <c r="B102" s="500" t="inlineStr">
        <is>
          <t>GHL + Birch</t>
        </is>
      </c>
      <c r="C102" s="500" t="inlineStr">
        <is>
          <t>Scenario 9</t>
        </is>
      </c>
      <c r="D102" s="500" t="inlineStr">
        <is>
          <t>Birch → GHL → Make → Pancake</t>
        </is>
      </c>
      <c r="E102" s="500" t="inlineStr">
        <is>
          <t>Full attribution chain</t>
        </is>
      </c>
    </row>
  </sheetData>
  <mergeCells count="4">
    <mergeCell ref="A3:G3"/>
    <mergeCell ref="A1:G1"/>
    <mergeCell ref="A17:G17"/>
    <mergeCell ref="A29:G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4FC3F7"/>
    <outlinePr summaryBelow="1" summaryRight="1"/>
    <pageSetUpPr fitToPage="0"/>
  </sheetPr>
  <dimension ref="A1:H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2"/>
    <col width="22" customWidth="1" style="248" min="2" max="2"/>
    <col width="40" customWidth="1" style="247" min="3" max="3"/>
    <col width="55" customWidth="1" style="247" min="4" max="4"/>
    <col width="40" customWidth="1" style="247" min="5" max="5"/>
    <col width="35" customWidth="1" style="247" min="6" max="8"/>
    <col width="40" customWidth="1" style="248" min="7" max="7"/>
  </cols>
  <sheetData>
    <row r="1" ht="15" customHeight="1" s="248">
      <c r="A1" s="358" t="inlineStr">
        <is>
          <t>GOOGLE TAG MANAGER – TRACKING SETUP TOÀN BỘ KÊNH</t>
        </is>
      </c>
    </row>
    <row r="3" ht="15" customHeight="1" s="248">
      <c r="A3" s="359" t="inlineStr">
        <is>
          <t>A. TAGS CẦN CÀI TRONG GTM</t>
        </is>
      </c>
    </row>
    <row r="4" ht="15" customHeight="1" s="248">
      <c r="A4" s="360" t="inlineStr">
        <is>
          <t>Tag</t>
        </is>
      </c>
      <c r="B4" s="360" t="inlineStr">
        <is>
          <t>Type</t>
        </is>
      </c>
      <c r="C4" s="360" t="inlineStr">
        <is>
          <t>Platform</t>
        </is>
      </c>
      <c r="D4" s="360" t="inlineStr">
        <is>
          <t>Trigger</t>
        </is>
      </c>
      <c r="E4" s="360" t="inlineStr">
        <is>
          <t>Ghi chú</t>
        </is>
      </c>
      <c r="F4" s="360" t="inlineStr">
        <is>
          <t>Timeline</t>
        </is>
      </c>
      <c r="G4" s="360" t="inlineStr">
        <is>
          <t>Trạng thái</t>
        </is>
      </c>
    </row>
    <row r="5" ht="15" customHeight="1" s="248">
      <c r="A5" s="321" t="inlineStr">
        <is>
          <t>GA4 Config</t>
        </is>
      </c>
      <c r="B5" s="321" t="inlineStr">
        <is>
          <t>GA4 Configuration</t>
        </is>
      </c>
      <c r="C5" s="321" t="inlineStr">
        <is>
          <t>Google Analytics</t>
        </is>
      </c>
      <c r="D5" s="321" t="inlineStr">
        <is>
          <t>All Pages</t>
        </is>
      </c>
      <c r="E5" s="321" t="inlineStr">
        <is>
          <t>GA4 property chính</t>
        </is>
      </c>
      <c r="F5" s="321" t="inlineStr">
        <is>
          <t>Ngày 1</t>
        </is>
      </c>
      <c r="G5" s="321" t="inlineStr">
        <is>
          <t>☐</t>
        </is>
      </c>
    </row>
    <row r="6" ht="15" customHeight="1" s="248">
      <c r="A6" s="323" t="inlineStr">
        <is>
          <t>GA4 - form_submit</t>
        </is>
      </c>
      <c r="B6" s="323" t="inlineStr">
        <is>
          <t>GA4 Event</t>
        </is>
      </c>
      <c r="C6" s="323" t="inlineStr">
        <is>
          <t>Google Analytics</t>
        </is>
      </c>
      <c r="D6" s="323" t="inlineStr">
        <is>
          <t>Form submission (all LPs)</t>
        </is>
      </c>
      <c r="E6" s="323" t="inlineStr">
        <is>
          <t>Khi form được submit</t>
        </is>
      </c>
      <c r="F6" s="323" t="inlineStr">
        <is>
          <t>Ngày 1</t>
        </is>
      </c>
      <c r="G6" s="323" t="inlineStr">
        <is>
          <t>☐</t>
        </is>
      </c>
    </row>
    <row r="7" ht="15" customHeight="1" s="248">
      <c r="A7" s="321" t="inlineStr">
        <is>
          <t>GA4 - click_call</t>
        </is>
      </c>
      <c r="B7" s="321" t="inlineStr">
        <is>
          <t>GA4 Event</t>
        </is>
      </c>
      <c r="C7" s="321" t="inlineStr">
        <is>
          <t>Google Analytics</t>
        </is>
      </c>
      <c r="D7" s="321" t="inlineStr">
        <is>
          <t>Click on tel: links</t>
        </is>
      </c>
      <c r="E7" s="321" t="inlineStr">
        <is>
          <t>Bấm gọi hotline</t>
        </is>
      </c>
      <c r="F7" s="321" t="inlineStr">
        <is>
          <t>Ngày 1</t>
        </is>
      </c>
      <c r="G7" s="321" t="inlineStr">
        <is>
          <t>☐</t>
        </is>
      </c>
    </row>
    <row r="8" ht="15" customHeight="1" s="248">
      <c r="A8" s="323" t="inlineStr">
        <is>
          <t>GA4 - click_zalo</t>
        </is>
      </c>
      <c r="B8" s="323" t="inlineStr">
        <is>
          <t>GA4 Event</t>
        </is>
      </c>
      <c r="C8" s="323" t="inlineStr">
        <is>
          <t>Google Analytics</t>
        </is>
      </c>
      <c r="D8" s="323" t="inlineStr">
        <is>
          <t>Click on Zalo widget/link</t>
        </is>
      </c>
      <c r="E8" s="323" t="inlineStr">
        <is>
          <t>Bấm Zalo</t>
        </is>
      </c>
      <c r="F8" s="323" t="inlineStr">
        <is>
          <t>Ngày 1</t>
        </is>
      </c>
      <c r="G8" s="323" t="inlineStr">
        <is>
          <t>☐</t>
        </is>
      </c>
    </row>
    <row r="9" ht="15" customHeight="1" s="248">
      <c r="A9" s="321" t="inlineStr">
        <is>
          <t>GA4 - webinar_register</t>
        </is>
      </c>
      <c r="B9" s="321" t="inlineStr">
        <is>
          <t>GA4 Event</t>
        </is>
      </c>
      <c r="C9" s="321" t="inlineStr">
        <is>
          <t>Google Analytics</t>
        </is>
      </c>
      <c r="D9" s="321" t="inlineStr">
        <is>
          <t>Webinar form submit</t>
        </is>
      </c>
      <c r="E9" s="321" t="inlineStr">
        <is>
          <t>Đăng ký webinar</t>
        </is>
      </c>
      <c r="F9" s="321" t="inlineStr">
        <is>
          <t>Ngày 1</t>
        </is>
      </c>
      <c r="G9" s="321" t="inlineStr">
        <is>
          <t>☐</t>
        </is>
      </c>
    </row>
    <row r="10" ht="15" customHeight="1" s="248">
      <c r="A10" s="323" t="inlineStr">
        <is>
          <t>GA4 - scholarship_click</t>
        </is>
      </c>
      <c r="B10" s="323" t="inlineStr">
        <is>
          <t>GA4 Event</t>
        </is>
      </c>
      <c r="C10" s="323" t="inlineStr">
        <is>
          <t>Google Analytics</t>
        </is>
      </c>
      <c r="D10" s="323" t="inlineStr">
        <is>
          <t>Click scholarship CTA</t>
        </is>
      </c>
      <c r="E10" s="323" t="inlineStr">
        <is>
          <t>THPT scholarship</t>
        </is>
      </c>
      <c r="F10" s="323" t="inlineStr">
        <is>
          <t>Ngày 1</t>
        </is>
      </c>
      <c r="G10" s="323" t="inlineStr">
        <is>
          <t>☐</t>
        </is>
      </c>
    </row>
    <row r="11" ht="15" customHeight="1" s="248">
      <c r="A11" s="321" t="inlineStr">
        <is>
          <t>Meta Pixel Base</t>
        </is>
      </c>
      <c r="B11" s="321" t="inlineStr">
        <is>
          <t>Custom HTML</t>
        </is>
      </c>
      <c r="C11" s="321" t="inlineStr">
        <is>
          <t>Meta</t>
        </is>
      </c>
      <c r="D11" s="321" t="inlineStr">
        <is>
          <t>All Pages</t>
        </is>
      </c>
      <c r="E11" s="321" t="inlineStr">
        <is>
          <t>Pixel ID + PageView event</t>
        </is>
      </c>
      <c r="F11" s="321" t="inlineStr">
        <is>
          <t>Ngày 1</t>
        </is>
      </c>
      <c r="G11" s="321" t="inlineStr">
        <is>
          <t>☐</t>
        </is>
      </c>
    </row>
    <row r="12" ht="15" customHeight="1" s="248">
      <c r="A12" s="323" t="inlineStr">
        <is>
          <t>Meta - Lead</t>
        </is>
      </c>
      <c r="B12" s="323" t="inlineStr">
        <is>
          <t>Custom HTML</t>
        </is>
      </c>
      <c r="C12" s="323" t="inlineStr">
        <is>
          <t>Meta</t>
        </is>
      </c>
      <c r="D12" s="323" t="inlineStr">
        <is>
          <t>Form submission</t>
        </is>
      </c>
      <c r="E12" s="323" t="inlineStr">
        <is>
          <t>Conversion event cho Meta</t>
        </is>
      </c>
      <c r="F12" s="323" t="inlineStr">
        <is>
          <t>Ngày 1</t>
        </is>
      </c>
      <c r="G12" s="323" t="inlineStr">
        <is>
          <t>☐</t>
        </is>
      </c>
    </row>
    <row r="13" ht="15" customHeight="1" s="248">
      <c r="A13" s="321" t="inlineStr">
        <is>
          <t>Meta - ViewContent</t>
        </is>
      </c>
      <c r="B13" s="321" t="inlineStr">
        <is>
          <t>Custom HTML</t>
        </is>
      </c>
      <c r="C13" s="321" t="inlineStr">
        <is>
          <t>Meta</t>
        </is>
      </c>
      <c r="D13" s="321" t="inlineStr">
        <is>
          <t>LP Page View</t>
        </is>
      </c>
      <c r="E13" s="321" t="inlineStr">
        <is>
          <t>Content view tracking</t>
        </is>
      </c>
      <c r="F13" s="321" t="inlineStr">
        <is>
          <t>Ngày 1</t>
        </is>
      </c>
      <c r="G13" s="321" t="inlineStr">
        <is>
          <t>☐</t>
        </is>
      </c>
    </row>
    <row r="14" ht="23.25" customHeight="1" s="248">
      <c r="A14" s="323" t="inlineStr">
        <is>
          <t>Meta - CompleteRegistration</t>
        </is>
      </c>
      <c r="B14" s="323" t="inlineStr">
        <is>
          <t>Custom HTML</t>
        </is>
      </c>
      <c r="C14" s="323" t="inlineStr">
        <is>
          <t>Meta</t>
        </is>
      </c>
      <c r="D14" s="323" t="inlineStr">
        <is>
          <t>Thank you page view</t>
        </is>
      </c>
      <c r="E14" s="323" t="inlineStr">
        <is>
          <t>Tour/webinar confirmed</t>
        </is>
      </c>
      <c r="F14" s="323" t="inlineStr">
        <is>
          <t>Ngày 1</t>
        </is>
      </c>
      <c r="G14" s="323" t="inlineStr">
        <is>
          <t>☐</t>
        </is>
      </c>
    </row>
    <row r="15" ht="15" customHeight="1" s="248">
      <c r="A15" s="321" t="inlineStr">
        <is>
          <t>TikTok Pixel Base</t>
        </is>
      </c>
      <c r="B15" s="321" t="inlineStr">
        <is>
          <t>Custom HTML</t>
        </is>
      </c>
      <c r="C15" s="321" t="inlineStr">
        <is>
          <t>TikTok</t>
        </is>
      </c>
      <c r="D15" s="321" t="inlineStr">
        <is>
          <t>All Pages</t>
        </is>
      </c>
      <c r="E15" s="321" t="inlineStr">
        <is>
          <t>Pixel ID + PageView</t>
        </is>
      </c>
      <c r="F15" s="321" t="inlineStr">
        <is>
          <t>Ngày 1</t>
        </is>
      </c>
      <c r="G15" s="321" t="inlineStr">
        <is>
          <t>☐</t>
        </is>
      </c>
    </row>
    <row r="16" ht="15" customHeight="1" s="248">
      <c r="A16" s="323" t="inlineStr">
        <is>
          <t>TikTok - ClickButton</t>
        </is>
      </c>
      <c r="B16" s="323" t="inlineStr">
        <is>
          <t>Custom HTML</t>
        </is>
      </c>
      <c r="C16" s="323" t="inlineStr">
        <is>
          <t>TikTok</t>
        </is>
      </c>
      <c r="D16" s="323" t="inlineStr">
        <is>
          <t>CTA button clicks</t>
        </is>
      </c>
      <c r="E16" s="323" t="inlineStr">
        <is>
          <t>Track engagement</t>
        </is>
      </c>
      <c r="F16" s="323" t="inlineStr">
        <is>
          <t>Ngày 1</t>
        </is>
      </c>
      <c r="G16" s="323" t="inlineStr">
        <is>
          <t>☐</t>
        </is>
      </c>
    </row>
    <row r="17" ht="15" customHeight="1" s="248">
      <c r="A17" s="321" t="inlineStr">
        <is>
          <t>TikTok - SubmitForm</t>
        </is>
      </c>
      <c r="B17" s="321" t="inlineStr">
        <is>
          <t>Custom HTML</t>
        </is>
      </c>
      <c r="C17" s="321" t="inlineStr">
        <is>
          <t>TikTok</t>
        </is>
      </c>
      <c r="D17" s="321" t="inlineStr">
        <is>
          <t>Form submission</t>
        </is>
      </c>
      <c r="E17" s="321" t="inlineStr">
        <is>
          <t>Lead event</t>
        </is>
      </c>
      <c r="F17" s="321" t="inlineStr">
        <is>
          <t>Ngày 1</t>
        </is>
      </c>
      <c r="G17" s="321" t="inlineStr">
        <is>
          <t>☐</t>
        </is>
      </c>
    </row>
    <row r="18" ht="23.25" customHeight="1" s="248">
      <c r="A18" s="323" t="inlineStr">
        <is>
          <t>Google Ads Conversion</t>
        </is>
      </c>
      <c r="B18" s="323" t="inlineStr">
        <is>
          <t>Google Ads Conversion</t>
        </is>
      </c>
      <c r="C18" s="323" t="inlineStr">
        <is>
          <t>Google Ads</t>
        </is>
      </c>
      <c r="D18" s="323" t="inlineStr">
        <is>
          <t>Form submission + Call click</t>
        </is>
      </c>
      <c r="E18" s="323" t="inlineStr">
        <is>
          <t>Conversion tracking chính</t>
        </is>
      </c>
      <c r="F18" s="323" t="inlineStr">
        <is>
          <t>Ngày 1</t>
        </is>
      </c>
      <c r="G18" s="323" t="inlineStr">
        <is>
          <t>☐</t>
        </is>
      </c>
    </row>
    <row r="19" ht="15" customHeight="1" s="248">
      <c r="A19" s="321" t="inlineStr">
        <is>
          <t>Google Ads Remarketing</t>
        </is>
      </c>
      <c r="B19" s="321" t="inlineStr">
        <is>
          <t>Google Ads Remarketing</t>
        </is>
      </c>
      <c r="C19" s="321" t="inlineStr">
        <is>
          <t>Google Ads</t>
        </is>
      </c>
      <c r="D19" s="321" t="inlineStr">
        <is>
          <t>All Pages</t>
        </is>
      </c>
      <c r="E19" s="321" t="inlineStr">
        <is>
          <t>Audience building</t>
        </is>
      </c>
      <c r="F19" s="321" t="inlineStr">
        <is>
          <t>Ngày 1</t>
        </is>
      </c>
      <c r="G19" s="321" t="inlineStr">
        <is>
          <t>☐</t>
        </is>
      </c>
    </row>
    <row r="20" ht="15" customHeight="1" s="248">
      <c r="A20" s="323" t="inlineStr">
        <is>
          <t>Zalo Pixel</t>
        </is>
      </c>
      <c r="B20" s="323" t="inlineStr">
        <is>
          <t>Custom HTML</t>
        </is>
      </c>
      <c r="C20" s="323" t="inlineStr">
        <is>
          <t>Zalo</t>
        </is>
      </c>
      <c r="D20" s="323" t="inlineStr">
        <is>
          <t>All Pages + Form</t>
        </is>
      </c>
      <c r="E20" s="323" t="inlineStr">
        <is>
          <t>Zalo Ads tracking</t>
        </is>
      </c>
      <c r="F20" s="323" t="inlineStr">
        <is>
          <t>Ngày 2</t>
        </is>
      </c>
      <c r="G20" s="323" t="inlineStr">
        <is>
          <t>☐</t>
        </is>
      </c>
    </row>
    <row r="22" ht="15" customHeight="1" s="248">
      <c r="A22" s="359" t="inlineStr">
        <is>
          <t>B. TRIGGERS CẦN TẠO</t>
        </is>
      </c>
    </row>
    <row r="23" ht="15" customHeight="1" s="248">
      <c r="A23" s="360" t="inlineStr">
        <is>
          <t>Trigger</t>
        </is>
      </c>
      <c r="B23" s="360" t="inlineStr">
        <is>
          <t>Type</t>
        </is>
      </c>
      <c r="C23" s="360" t="inlineStr">
        <is>
          <t>Condition</t>
        </is>
      </c>
      <c r="D23" s="360" t="inlineStr">
        <is>
          <t>Dùng cho tags</t>
        </is>
      </c>
      <c r="E23" s="360" t="inlineStr">
        <is>
          <t>Ghi chú</t>
        </is>
      </c>
    </row>
    <row r="24" ht="23.25" customHeight="1" s="248">
      <c r="A24" s="321" t="inlineStr">
        <is>
          <t>All Pages</t>
        </is>
      </c>
      <c r="B24" s="321" t="inlineStr">
        <is>
          <t>Page View</t>
        </is>
      </c>
      <c r="C24" s="321" t="inlineStr">
        <is>
          <t>Mọi trang</t>
        </is>
      </c>
      <c r="D24" s="321" t="inlineStr">
        <is>
          <t>GA4, Meta, TikTok, Google Ads RMKT, Zalo</t>
        </is>
      </c>
      <c r="E24" s="321" t="inlineStr">
        <is>
          <t>Base trigger</t>
        </is>
      </c>
    </row>
    <row r="25" ht="34.5" customHeight="1" s="248">
      <c r="A25" s="323" t="inlineStr">
        <is>
          <t>Form Submit - All</t>
        </is>
      </c>
      <c r="B25" s="323" t="inlineStr">
        <is>
          <t>Form Submission</t>
        </is>
      </c>
      <c r="C25" s="323" t="inlineStr">
        <is>
          <t>Form ID contains 'ghl' hoặc class</t>
        </is>
      </c>
      <c r="D25" s="323" t="inlineStr">
        <is>
          <t>GA4 form, Meta Lead, TikTok Submit, GG Ads Conv</t>
        </is>
      </c>
      <c r="E25" s="323" t="inlineStr">
        <is>
          <t>Tất cả form trên LP</t>
        </is>
      </c>
    </row>
    <row r="26" ht="23.25" customHeight="1" s="248">
      <c r="A26" s="321" t="inlineStr">
        <is>
          <t>Click Call</t>
        </is>
      </c>
      <c r="B26" s="321" t="inlineStr">
        <is>
          <t>Click - Just Links</t>
        </is>
      </c>
      <c r="C26" s="321" t="inlineStr">
        <is>
          <t>Click URL contains 'tel:'</t>
        </is>
      </c>
      <c r="D26" s="321" t="inlineStr">
        <is>
          <t>GA4 click_call, Google Ads call conv</t>
        </is>
      </c>
      <c r="E26" s="321" t="inlineStr">
        <is>
          <t>Hotline click</t>
        </is>
      </c>
    </row>
    <row r="27" ht="15" customHeight="1" s="248">
      <c r="A27" s="323" t="inlineStr">
        <is>
          <t>Click Zalo</t>
        </is>
      </c>
      <c r="B27" s="323" t="inlineStr">
        <is>
          <t>Click - Just Links</t>
        </is>
      </c>
      <c r="C27" s="323" t="inlineStr">
        <is>
          <t>Click URL contains 'zalo.me'</t>
        </is>
      </c>
      <c r="D27" s="323" t="inlineStr">
        <is>
          <t>GA4 click_zalo</t>
        </is>
      </c>
      <c r="E27" s="323" t="inlineStr">
        <is>
          <t>Zalo widget click</t>
        </is>
      </c>
    </row>
    <row r="28" ht="15" customHeight="1" s="248">
      <c r="A28" s="321" t="inlineStr">
        <is>
          <t>Click CTA Button</t>
        </is>
      </c>
      <c r="B28" s="321" t="inlineStr">
        <is>
          <t>Click - All Elements</t>
        </is>
      </c>
      <c r="C28" s="321" t="inlineStr">
        <is>
          <t>CSS selector cho CTA buttons</t>
        </is>
      </c>
      <c r="D28" s="321" t="inlineStr">
        <is>
          <t>TikTok ClickButton</t>
        </is>
      </c>
      <c r="E28" s="321" t="inlineStr">
        <is>
          <t>Tour / tư vấn buttons</t>
        </is>
      </c>
    </row>
    <row r="29" ht="23.25" customHeight="1" s="248">
      <c r="A29" s="323" t="inlineStr">
        <is>
          <t>Thank You Page</t>
        </is>
      </c>
      <c r="B29" s="323" t="inlineStr">
        <is>
          <t>Page View</t>
        </is>
      </c>
      <c r="C29" s="323" t="inlineStr">
        <is>
          <t>Page URL contains '/thank-you' hoặc '/cam-on'</t>
        </is>
      </c>
      <c r="D29" s="323" t="inlineStr">
        <is>
          <t>Meta CompleteReg, GA4 conversion</t>
        </is>
      </c>
      <c r="E29" s="323" t="inlineStr">
        <is>
          <t>Sau form submit</t>
        </is>
      </c>
    </row>
    <row r="30" ht="15" customHeight="1" s="248">
      <c r="A30" s="321" t="inlineStr">
        <is>
          <t>Webinar Form</t>
        </is>
      </c>
      <c r="B30" s="321" t="inlineStr">
        <is>
          <t>Form Submission</t>
        </is>
      </c>
      <c r="C30" s="321" t="inlineStr">
        <is>
          <t>Form contains 'webinar'</t>
        </is>
      </c>
      <c r="D30" s="321" t="inlineStr">
        <is>
          <t>GA4 webinar_register</t>
        </is>
      </c>
      <c r="E30" s="321" t="inlineStr">
        <is>
          <t>Chỉ webinar forms</t>
        </is>
      </c>
    </row>
    <row r="31" ht="15" customHeight="1" s="248">
      <c r="A31" s="323" t="inlineStr">
        <is>
          <t>Scholarship CTA</t>
        </is>
      </c>
      <c r="B31" s="323" t="inlineStr">
        <is>
          <t>Click - All Elements</t>
        </is>
      </c>
      <c r="C31" s="323" t="inlineStr">
        <is>
          <t>Element contains 'scholarship' / 'hoc-bong'</t>
        </is>
      </c>
      <c r="D31" s="323" t="inlineStr">
        <is>
          <t>GA4 scholarship_click</t>
        </is>
      </c>
      <c r="E31" s="323" t="inlineStr">
        <is>
          <t>THPT only</t>
        </is>
      </c>
    </row>
    <row r="34">
      <c r="A34" s="494" t="inlineStr">
        <is>
          <t>═══ GTM TRACKING THEO TỪNG TRANG PHỄU ═══</t>
        </is>
      </c>
    </row>
    <row r="36">
      <c r="A36" s="495" t="inlineStr">
        <is>
          <t>Phễu</t>
        </is>
      </c>
      <c r="B36" s="495" t="inlineStr">
        <is>
          <t>Trang</t>
        </is>
      </c>
      <c r="C36" s="495" t="inlineStr">
        <is>
          <t>URL</t>
        </is>
      </c>
      <c r="D36" s="495" t="inlineStr">
        <is>
          <t>Tags fire</t>
        </is>
      </c>
      <c r="E36" s="495" t="inlineStr">
        <is>
          <t>Events</t>
        </is>
      </c>
      <c r="F36" s="495" t="inlineStr">
        <is>
          <t>Custom Dimensions</t>
        </is>
      </c>
      <c r="G36" s="495" t="inlineStr">
        <is>
          <t>Audiences tạo</t>
        </is>
      </c>
    </row>
    <row r="37">
      <c r="A37" s="499" t="inlineStr">
        <is>
          <t>FNL-MN-MAIN</t>
        </is>
      </c>
      <c r="B37" s="499" t="inlineStr">
        <is>
          <t>Trang 1: LP chính</t>
        </is>
      </c>
      <c r="C37" s="499" t="inlineStr">
        <is>
          <t>forms.truongvietanh.com/tuyen-sinh-mam-non</t>
        </is>
      </c>
      <c r="D37" s="499" t="inlineStr">
        <is>
          <t>GA4 Config, Meta PageView, Meta ViewContent (scroll 50%), Meta InitiateCheckout (form focus), Meta Lead (submit), TikTok PageView, Zalo PageView, Google Remarketing</t>
        </is>
      </c>
      <c r="E37" s="499" t="inlineStr">
        <is>
          <t>PageView, ViewContent, InitiateCheckout, Lead</t>
        </is>
      </c>
      <c r="F37" s="499" t="inlineStr">
        <is>
          <t>campus=all_mn, grade=mn, page_type=lp_main</t>
        </is>
      </c>
      <c r="G37" s="499" t="inlineStr">
        <is>
          <t>mn_page_visitors, mn_page_engaged, mn_form_started, mn_form_complete</t>
        </is>
      </c>
    </row>
    <row r="38">
      <c r="A38" s="500" t="inlineStr">
        <is>
          <t>FNL-MN-MAIN</t>
        </is>
      </c>
      <c r="B38" s="500" t="inlineStr">
        <is>
          <t>Trang 2: Thank You</t>
        </is>
      </c>
      <c r="C38" s="500" t="inlineStr">
        <is>
          <t>forms.truongvietanh.com/tuyen-sinh-mam-non/cam-on</t>
        </is>
      </c>
      <c r="D38" s="500" t="inlineStr">
        <is>
          <t>GA4 Config, GA4 Tour Booked, Meta Schedule, Google Ads Conv (Lead), TikTok SubmitForm</t>
        </is>
      </c>
      <c r="E38" s="500" t="inlineStr">
        <is>
          <t>PageView, Schedule, CompleteRegistration</t>
        </is>
      </c>
      <c r="F38" s="500" t="inlineStr">
        <is>
          <t>campus=from_form, grade=mn, page_type=thank_you</t>
        </is>
      </c>
      <c r="G38" s="500" t="inlineStr">
        <is>
          <t>mn_tour_booked</t>
        </is>
      </c>
    </row>
    <row r="39">
      <c r="A39" s="499" t="inlineStr">
        <is>
          <t>FNL-MN-MAIN</t>
        </is>
      </c>
      <c r="B39" s="499" t="inlineStr">
        <is>
          <t>Trang 2b: Confirmation</t>
        </is>
      </c>
      <c r="C39" s="499" t="inlineStr">
        <is>
          <t>forms.truongvietanh.com/tuyen-sinh-mam-non/xac-nhan</t>
        </is>
      </c>
      <c r="D39" s="499" t="inlineStr">
        <is>
          <t>GA4 Config, GA4 CompleteRegistration</t>
        </is>
      </c>
      <c r="E39" s="499" t="inlineStr">
        <is>
          <t>PageView, CompleteRegistration</t>
        </is>
      </c>
      <c r="F39" s="499" t="inlineStr">
        <is>
          <t>campus=from_booking, grade=mn</t>
        </is>
      </c>
      <c r="G39" s="499" t="inlineStr">
        <is>
          <t>mn_tour_confirmed</t>
        </is>
      </c>
    </row>
    <row r="40">
      <c r="A40" s="500" t="inlineStr">
        <is>
          <t>FNL-MN-MAIN</t>
        </is>
      </c>
      <c r="B40" s="500" t="inlineStr">
        <is>
          <t>Trang 3: Testimonial</t>
        </is>
      </c>
      <c r="C40" s="500" t="inlineStr">
        <is>
          <t>forms.truongvietanh.com/tuyen-sinh-mam-non/phu-huynh-noi-gi</t>
        </is>
      </c>
      <c r="D40" s="500" t="inlineStr">
        <is>
          <t>GA4 Config, Meta ViewContent, Meta Lead (if form), Video tracking</t>
        </is>
      </c>
      <c r="E40" s="500" t="inlineStr">
        <is>
          <t>PageView, ViewContent, Lead</t>
        </is>
      </c>
      <c r="F40" s="500" t="inlineStr">
        <is>
          <t>grade=mn, page_type=testimonial</t>
        </is>
      </c>
      <c r="G40" s="500" t="inlineStr">
        <is>
          <t>mn_testimonial_viewers</t>
        </is>
      </c>
    </row>
    <row r="41">
      <c r="A41" s="499" t="inlineStr">
        <is>
          <t>FNL-MN-MAIN</t>
        </is>
      </c>
      <c r="B41" s="499" t="inlineStr">
        <is>
          <t>Trang 4: Chương trình</t>
        </is>
      </c>
      <c r="C41" s="499" t="inlineStr">
        <is>
          <t>forms.truongvietanh.com/tuyen-sinh-mam-non/chuong-trinh</t>
        </is>
      </c>
      <c r="D41" s="499" t="inlineStr">
        <is>
          <t>GA4 Config, Meta ViewContent, Meta AddToCart (PDF), Meta Lead (form)</t>
        </is>
      </c>
      <c r="E41" s="499" t="inlineStr">
        <is>
          <t>PageView, ViewContent, AddToCart, Lead</t>
        </is>
      </c>
      <c r="F41" s="499" t="inlineStr">
        <is>
          <t>grade=mn, page_type=program</t>
        </is>
      </c>
      <c r="G41" s="499" t="inlineStr">
        <is>
          <t>mn_program_viewers, mn_pdf_downloaded</t>
        </is>
      </c>
    </row>
    <row r="42">
      <c r="A42" s="500" t="inlineStr">
        <is>
          <t>FNL-MN-MAIN</t>
        </is>
      </c>
      <c r="B42" s="500" t="inlineStr">
        <is>
          <t>Trang 5: Học phí</t>
        </is>
      </c>
      <c r="C42" s="500" t="inlineStr">
        <is>
          <t>forms.truongvietanh.com/tuyen-sinh-mam-non/hoc-phi</t>
        </is>
      </c>
      <c r="D42" s="500" t="inlineStr">
        <is>
          <t>GA4 Config, Meta ViewContent, Meta AddPaymentInfo, Meta Lead, Google Ads Conv (Lead)</t>
        </is>
      </c>
      <c r="E42" s="500" t="inlineStr">
        <is>
          <t>PageView, ViewContent, AddPaymentInfo, Lead</t>
        </is>
      </c>
      <c r="F42" s="500" t="inlineStr">
        <is>
          <t>grade=mn, page_type=tuition</t>
        </is>
      </c>
      <c r="G42" s="500" t="inlineStr">
        <is>
          <t>mn_tuition_viewers, mn_tuition_engaged</t>
        </is>
      </c>
    </row>
    <row r="43">
      <c r="A43" s="499" t="inlineStr">
        <is>
          <t>FNL-TH-MAIN</t>
        </is>
      </c>
      <c r="B43" s="499" t="inlineStr">
        <is>
          <t>Trang 1: LP Tiểu học</t>
        </is>
      </c>
      <c r="C43" s="499" t="inlineStr">
        <is>
          <t>forms.truongvietanh.com/tuyen-sinh-tieu-hoc</t>
        </is>
      </c>
      <c r="D43" s="499" t="inlineStr">
        <is>
          <t>Tương tự FNL-MN nhưng grade=th</t>
        </is>
      </c>
      <c r="E43" s="499" t="inlineStr">
        <is>
          <t>PageView, ViewContent, InitiateCheckout, Lead</t>
        </is>
      </c>
      <c r="F43" s="499" t="inlineStr">
        <is>
          <t>grade=th, page_type=lp_main</t>
        </is>
      </c>
      <c r="G43" s="499" t="inlineStr">
        <is>
          <t>th_page_visitors, th_form_complete</t>
        </is>
      </c>
    </row>
    <row r="44">
      <c r="A44" s="500" t="inlineStr">
        <is>
          <t>FNL-THCS-MAIN</t>
        </is>
      </c>
      <c r="B44" s="500" t="inlineStr">
        <is>
          <t>Trang 1: LP THCS</t>
        </is>
      </c>
      <c r="C44" s="500" t="inlineStr">
        <is>
          <t>forms.truongvietanh.com/tuyen-sinh-thcs</t>
        </is>
      </c>
      <c r="D44" s="500" t="inlineStr">
        <is>
          <t>Tương tự + TikTok Pixel (THCS target trẻ hơn)</t>
        </is>
      </c>
      <c r="E44" s="500" t="inlineStr">
        <is>
          <t>PageView, ViewContent, Lead</t>
        </is>
      </c>
      <c r="F44" s="500" t="inlineStr">
        <is>
          <t>grade=thcs, page_type=lp_main</t>
        </is>
      </c>
      <c r="G44" s="500" t="inlineStr">
        <is>
          <t>thcs_page_visitors, thcs_form_complete</t>
        </is>
      </c>
    </row>
    <row r="45">
      <c r="A45" s="499" t="inlineStr">
        <is>
          <t>FNL-THPT-MAIN</t>
        </is>
      </c>
      <c r="B45" s="499" t="inlineStr">
        <is>
          <t>Trang 1: LP THPT</t>
        </is>
      </c>
      <c r="C45" s="499" t="inlineStr">
        <is>
          <t>forms.truongvietanh.com/tuyen-sinh-thpt</t>
        </is>
      </c>
      <c r="D45" s="499" t="inlineStr">
        <is>
          <t>Tương tự + TikTok Pixel</t>
        </is>
      </c>
      <c r="E45" s="499" t="inlineStr">
        <is>
          <t>PageView, ViewContent, Lead</t>
        </is>
      </c>
      <c r="F45" s="499" t="inlineStr">
        <is>
          <t>grade=thpt, page_type=lp_main</t>
        </is>
      </c>
      <c r="G45" s="499" t="inlineStr">
        <is>
          <t>thpt_page_visitors, thpt_form_complete</t>
        </is>
      </c>
    </row>
    <row r="46">
      <c r="A46" s="500" t="inlineStr">
        <is>
          <t>FNL-OD-T6</t>
        </is>
      </c>
      <c r="B46" s="500" t="inlineStr">
        <is>
          <t>LP Mega Open Day</t>
        </is>
      </c>
      <c r="C46" s="500" t="inlineStr">
        <is>
          <t>forms.truongvietanh.com/mega-open-day-2026</t>
        </is>
      </c>
      <c r="D46" s="500" t="inlineStr">
        <is>
          <t>GA4, Meta, TikTok, Zalo, Google — all Lead events</t>
        </is>
      </c>
      <c r="E46" s="500" t="inlineStr">
        <is>
          <t>PageView, ViewContent, Lead</t>
        </is>
      </c>
      <c r="F46" s="500" t="inlineStr">
        <is>
          <t>event=open_day_t6</t>
        </is>
      </c>
      <c r="G46" s="500" t="inlineStr">
        <is>
          <t>od_t6_visitors, od_t6_registered</t>
        </is>
      </c>
    </row>
    <row r="47">
      <c r="A47" s="499" t="inlineStr">
        <is>
          <t>FNL-WB-MN</t>
        </is>
      </c>
      <c r="B47" s="499" t="inlineStr">
        <is>
          <t>LP Webinar MN</t>
        </is>
      </c>
      <c r="C47" s="499" t="inlineStr">
        <is>
          <t>forms.truongvietanh.com/webinar-mam-non</t>
        </is>
      </c>
      <c r="D47" s="499" t="inlineStr">
        <is>
          <t>GA4, Meta, Zalo Lead events</t>
        </is>
      </c>
      <c r="E47" s="499" t="inlineStr">
        <is>
          <t>PageView, Lead, CompleteRegistration</t>
        </is>
      </c>
      <c r="F47" s="499" t="inlineStr">
        <is>
          <t>event=webinar_mn</t>
        </is>
      </c>
      <c r="G47" s="499" t="inlineStr">
        <is>
          <t>wb_mn_visitors, wb_mn_registered</t>
        </is>
      </c>
    </row>
    <row r="48">
      <c r="A48" s="500" t="inlineStr">
        <is>
          <t>FNL-HB</t>
        </is>
      </c>
      <c r="B48" s="500" t="inlineStr">
        <is>
          <t>LP Học Bổng</t>
        </is>
      </c>
      <c r="C48" s="500" t="inlineStr">
        <is>
          <t>forms.truongvietanh.com/hoc-bong-2026</t>
        </is>
      </c>
      <c r="D48" s="500" t="inlineStr">
        <is>
          <t>GA4, Meta, Google Lead events</t>
        </is>
      </c>
      <c r="E48" s="500" t="inlineStr">
        <is>
          <t>PageView, Lead</t>
        </is>
      </c>
      <c r="F48" s="500" t="inlineStr">
        <is>
          <t>campaign=scholarship</t>
        </is>
      </c>
      <c r="G48" s="500" t="inlineStr">
        <is>
          <t>hb_visitors, hb_applied</t>
        </is>
      </c>
    </row>
  </sheetData>
  <mergeCells count="3">
    <mergeCell ref="A3:H3"/>
    <mergeCell ref="A22:H2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9C27B0"/>
    <outlinePr summaryBelow="1" summaryRight="1"/>
    <pageSetUpPr fitToPage="0"/>
  </sheetPr>
  <dimension ref="A1:G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47" min="1" max="2"/>
    <col width="30" customWidth="1" style="247" min="3" max="3"/>
    <col width="55" customWidth="1" style="247" min="4" max="4"/>
    <col width="18" customWidth="1" style="247" min="5" max="7"/>
  </cols>
  <sheetData>
    <row r="1" ht="15" customHeight="1" s="248">
      <c r="A1" s="361" t="inlineStr">
        <is>
          <t>LỊCH CÔNG VIỆC MARKETER – HÀNG NGÀY / TUẦN / THÁNG / QUÝ / NĂM</t>
        </is>
      </c>
    </row>
    <row r="3" ht="15" customHeight="1" s="248">
      <c r="A3" s="362" t="inlineStr">
        <is>
          <t>A. CÔNG VIỆC HÀNG NGÀY (MỖI NGÀY LÀM VIỆC)</t>
        </is>
      </c>
    </row>
    <row r="4" ht="15" customHeight="1" s="248">
      <c r="A4" s="363" t="inlineStr">
        <is>
          <t>STT</t>
        </is>
      </c>
      <c r="B4" s="363" t="inlineStr">
        <is>
          <t>Kênh</t>
        </is>
      </c>
      <c r="C4" s="363" t="inlineStr">
        <is>
          <t>Công việc</t>
        </is>
      </c>
      <c r="D4" s="363" t="inlineStr">
        <is>
          <t>Chi tiết</t>
        </is>
      </c>
      <c r="E4" s="363" t="inlineStr">
        <is>
          <t>Thời gian</t>
        </is>
      </c>
      <c r="F4" s="363" t="inlineStr">
        <is>
          <t>Ai làm</t>
        </is>
      </c>
      <c r="G4" s="363" t="inlineStr">
        <is>
          <t>Checklist</t>
        </is>
      </c>
    </row>
    <row r="5" ht="15" customHeight="1" s="248">
      <c r="A5" s="321" t="inlineStr">
        <is>
          <t>1</t>
        </is>
      </c>
      <c r="B5" s="321" t="inlineStr">
        <is>
          <t>Google Ads</t>
        </is>
      </c>
      <c r="C5" s="321" t="inlineStr">
        <is>
          <t>Kiểm tra spend vs budget</t>
        </is>
      </c>
      <c r="D5" s="321" t="inlineStr">
        <is>
          <t>Login Birch → check pacing alert | Nếu overspend → giảm</t>
        </is>
      </c>
      <c r="E5" s="321" t="inlineStr">
        <is>
          <t>8:00-8:15</t>
        </is>
      </c>
      <c r="F5" s="321" t="inlineStr">
        <is>
          <t>Performance</t>
        </is>
      </c>
      <c r="G5" s="321" t="inlineStr">
        <is>
          <t>☐</t>
        </is>
      </c>
    </row>
    <row r="6" ht="15" customHeight="1" s="248">
      <c r="A6" s="323" t="inlineStr">
        <is>
          <t>2</t>
        </is>
      </c>
      <c r="B6" s="323" t="inlineStr">
        <is>
          <t>Google Ads</t>
        </is>
      </c>
      <c r="C6" s="323" t="inlineStr">
        <is>
          <t>Rà search terms</t>
        </is>
      </c>
      <c r="D6" s="323" t="inlineStr">
        <is>
          <t>Birch Explorer → Search terms | Thêm negative nếu cần</t>
        </is>
      </c>
      <c r="E6" s="323" t="inlineStr">
        <is>
          <t>8:15-8:30</t>
        </is>
      </c>
      <c r="F6" s="323" t="inlineStr">
        <is>
          <t>Performance</t>
        </is>
      </c>
      <c r="G6" s="323" t="inlineStr">
        <is>
          <t>☐</t>
        </is>
      </c>
    </row>
    <row r="7" ht="15" customHeight="1" s="248">
      <c r="A7" s="321" t="inlineStr">
        <is>
          <t>3</t>
        </is>
      </c>
      <c r="B7" s="321" t="inlineStr">
        <is>
          <t>Meta Ads</t>
        </is>
      </c>
      <c r="C7" s="321" t="inlineStr">
        <is>
          <t>Kiểm tra CPL và lead volume</t>
        </is>
      </c>
      <c r="D7" s="321" t="inlineStr">
        <is>
          <t>Birch hoặc Meta Ads Manager → check CPL by campaign</t>
        </is>
      </c>
      <c r="E7" s="321" t="inlineStr">
        <is>
          <t>8:30-8:45</t>
        </is>
      </c>
      <c r="F7" s="321" t="inlineStr">
        <is>
          <t>Performance</t>
        </is>
      </c>
      <c r="G7" s="321" t="inlineStr">
        <is>
          <t>☐</t>
        </is>
      </c>
    </row>
    <row r="8" ht="15" customHeight="1" s="248">
      <c r="A8" s="323" t="inlineStr">
        <is>
          <t>4</t>
        </is>
      </c>
      <c r="B8" s="323" t="inlineStr">
        <is>
          <t>TikTok</t>
        </is>
      </c>
      <c r="C8" s="323" t="inlineStr">
        <is>
          <t>Kiểm tra CPV và engagement</t>
        </is>
      </c>
      <c r="D8" s="323" t="inlineStr">
        <is>
          <t>TikTok Ads Manager → check Spark Ads performance</t>
        </is>
      </c>
      <c r="E8" s="323" t="inlineStr">
        <is>
          <t>8:45-9:00</t>
        </is>
      </c>
      <c r="F8" s="323" t="inlineStr">
        <is>
          <t>Performance</t>
        </is>
      </c>
      <c r="G8" s="323" t="inlineStr">
        <is>
          <t>☐</t>
        </is>
      </c>
    </row>
    <row r="9" ht="15" customHeight="1" s="248">
      <c r="A9" s="321" t="inlineStr">
        <is>
          <t>5</t>
        </is>
      </c>
      <c r="B9" s="321" t="inlineStr">
        <is>
          <t>GHL/CRM</t>
        </is>
      </c>
      <c r="C9" s="321" t="inlineStr">
        <is>
          <t>Kiểm tra lead mới từ đêm qua</t>
        </is>
      </c>
      <c r="D9" s="321" t="inlineStr">
        <is>
          <t>GHL Dashboard → New leads → Verify source tags đúng</t>
        </is>
      </c>
      <c r="E9" s="321" t="inlineStr">
        <is>
          <t>9:00-9:15</t>
        </is>
      </c>
      <c r="F9" s="321" t="inlineStr">
        <is>
          <t>Marketing Manager</t>
        </is>
      </c>
      <c r="G9" s="321" t="inlineStr">
        <is>
          <t>☐</t>
        </is>
      </c>
    </row>
    <row r="10" ht="15" customHeight="1" s="248">
      <c r="A10" s="323" t="inlineStr">
        <is>
          <t>6</t>
        </is>
      </c>
      <c r="B10" s="323" t="inlineStr">
        <is>
          <t>GHL/CRM</t>
        </is>
      </c>
      <c r="C10" s="323" t="inlineStr">
        <is>
          <t>Check SLA phản hồi</t>
        </is>
      </c>
      <c r="D10" s="323" t="inlineStr">
        <is>
          <t>GHL → Pipeline → Lead chưa được gọi &gt; 5 phút → escalate</t>
        </is>
      </c>
      <c r="E10" s="323" t="inlineStr">
        <is>
          <t>9:15-9:30</t>
        </is>
      </c>
      <c r="F10" s="323" t="inlineStr">
        <is>
          <t>Marketing Manager</t>
        </is>
      </c>
      <c r="G10" s="323" t="inlineStr">
        <is>
          <t>☐</t>
        </is>
      </c>
    </row>
    <row r="11" ht="15" customHeight="1" s="248">
      <c r="A11" s="321" t="inlineStr">
        <is>
          <t>7</t>
        </is>
      </c>
      <c r="B11" s="321" t="inlineStr">
        <is>
          <t>Content</t>
        </is>
      </c>
      <c r="C11" s="321" t="inlineStr">
        <is>
          <t>Đăng bài social media</t>
        </is>
      </c>
      <c r="D11" s="321" t="inlineStr">
        <is>
          <t>3-4 bài/ngày: FB + IG + TikTok organic | Dùng kho 2,000 bài</t>
        </is>
      </c>
      <c r="E11" s="321" t="inlineStr">
        <is>
          <t>9:30-10:30</t>
        </is>
      </c>
      <c r="F11" s="321" t="inlineStr">
        <is>
          <t>Content Creator</t>
        </is>
      </c>
      <c r="G11" s="321" t="inlineStr">
        <is>
          <t>☐</t>
        </is>
      </c>
    </row>
    <row r="12" ht="15" customHeight="1" s="248">
      <c r="A12" s="323" t="inlineStr">
        <is>
          <t>8</t>
        </is>
      </c>
      <c r="B12" s="323" t="inlineStr">
        <is>
          <t>Zalo</t>
        </is>
      </c>
      <c r="C12" s="323" t="inlineStr">
        <is>
          <t>Kiểm tra Zalo OA messages</t>
        </is>
      </c>
      <c r="D12" s="323" t="inlineStr">
        <is>
          <t>Reply tin nhắn mới + Check broadcast schedule</t>
        </is>
      </c>
      <c r="E12" s="323" t="inlineStr">
        <is>
          <t>10:30-11:00</t>
        </is>
      </c>
      <c r="F12" s="323" t="inlineStr">
        <is>
          <t>Content/Sales</t>
        </is>
      </c>
      <c r="G12" s="323" t="inlineStr">
        <is>
          <t>☐</t>
        </is>
      </c>
    </row>
    <row r="13" ht="15" customHeight="1" s="248">
      <c r="A13" s="321" t="inlineStr">
        <is>
          <t>9</t>
        </is>
      </c>
      <c r="B13" s="321" t="inlineStr">
        <is>
          <t>All</t>
        </is>
      </c>
      <c r="C13" s="321" t="inlineStr">
        <is>
          <t>Báo cáo nhanh buổi sáng</t>
        </is>
      </c>
      <c r="D13" s="321" t="inlineStr">
        <is>
          <t>Gửi Slack/Zalo group: lead hôm qua, booked tour, spend</t>
        </is>
      </c>
      <c r="E13" s="321" t="inlineStr">
        <is>
          <t>11:00-11:15</t>
        </is>
      </c>
      <c r="F13" s="321" t="inlineStr">
        <is>
          <t>Marketing Manager</t>
        </is>
      </c>
      <c r="G13" s="321" t="inlineStr">
        <is>
          <t>☐</t>
        </is>
      </c>
    </row>
    <row r="14" ht="15" customHeight="1" s="248">
      <c r="A14" s="323" t="inlineStr">
        <is>
          <t>10</t>
        </is>
      </c>
      <c r="B14" s="323" t="inlineStr">
        <is>
          <t>All</t>
        </is>
      </c>
      <c r="C14" s="323" t="inlineStr">
        <is>
          <t>Sync với Sales</t>
        </is>
      </c>
      <c r="D14" s="323" t="inlineStr">
        <is>
          <t>15 phút meeting: lead quality, objection, tour feedback</t>
        </is>
      </c>
      <c r="E14" s="323" t="inlineStr">
        <is>
          <t>14:00-14:15</t>
        </is>
      </c>
      <c r="F14" s="323" t="inlineStr">
        <is>
          <t>MM + Sales Lead</t>
        </is>
      </c>
      <c r="G14" s="323" t="inlineStr">
        <is>
          <t>☐</t>
        </is>
      </c>
    </row>
    <row r="16" ht="15" customHeight="1" s="248">
      <c r="A16" s="362" t="inlineStr">
        <is>
          <t>B. CÔNG VIỆC HÀNG TUẦN (MỖI THỨ HAI + THỨ NĂM)</t>
        </is>
      </c>
    </row>
    <row r="17" ht="15" customHeight="1" s="248">
      <c r="A17" s="363" t="inlineStr">
        <is>
          <t>STT</t>
        </is>
      </c>
      <c r="B17" s="363" t="inlineStr">
        <is>
          <t>Kênh</t>
        </is>
      </c>
      <c r="C17" s="363" t="inlineStr">
        <is>
          <t>Công việc</t>
        </is>
      </c>
      <c r="D17" s="363" t="inlineStr">
        <is>
          <t>Chi tiết</t>
        </is>
      </c>
      <c r="E17" s="363" t="inlineStr">
        <is>
          <t>Ngày</t>
        </is>
      </c>
      <c r="F17" s="363" t="inlineStr">
        <is>
          <t>Ai làm</t>
        </is>
      </c>
      <c r="G17" s="363" t="inlineStr">
        <is>
          <t>Checklist</t>
        </is>
      </c>
    </row>
    <row r="18" ht="15" customHeight="1" s="248">
      <c r="A18" s="321" t="inlineStr">
        <is>
          <t>1</t>
        </is>
      </c>
      <c r="B18" s="321" t="inlineStr">
        <is>
          <t>Google Ads</t>
        </is>
      </c>
      <c r="C18" s="321" t="inlineStr">
        <is>
          <t>Tối ưu bidding</t>
        </is>
      </c>
      <c r="D18" s="321" t="inlineStr">
        <is>
          <t>Review CPA targets | Adjust bids by campaign | Pause KW yếu</t>
        </is>
      </c>
      <c r="E18" s="321" t="inlineStr">
        <is>
          <t>Thứ 2</t>
        </is>
      </c>
      <c r="F18" s="321" t="inlineStr">
        <is>
          <t>Performance</t>
        </is>
      </c>
      <c r="G18" s="321" t="inlineStr">
        <is>
          <t>☐</t>
        </is>
      </c>
    </row>
    <row r="19" ht="15" customHeight="1" s="248">
      <c r="A19" s="323" t="inlineStr">
        <is>
          <t>2</t>
        </is>
      </c>
      <c r="B19" s="323" t="inlineStr">
        <is>
          <t>Google Ads</t>
        </is>
      </c>
      <c r="C19" s="323" t="inlineStr">
        <is>
          <t>Cập nhật negative KW</t>
        </is>
      </c>
      <c r="D19" s="323" t="inlineStr">
        <is>
          <t>Rà search terms tuần | Thêm negative | Check quality score</t>
        </is>
      </c>
      <c r="E19" s="323" t="inlineStr">
        <is>
          <t>Thứ 2</t>
        </is>
      </c>
      <c r="F19" s="323" t="inlineStr">
        <is>
          <t>Performance</t>
        </is>
      </c>
      <c r="G19" s="323" t="inlineStr">
        <is>
          <t>☐</t>
        </is>
      </c>
    </row>
    <row r="20" ht="23.25" customHeight="1" s="248">
      <c r="A20" s="321" t="inlineStr">
        <is>
          <t>3</t>
        </is>
      </c>
      <c r="B20" s="321" t="inlineStr">
        <is>
          <t>Meta Ads</t>
        </is>
      </c>
      <c r="C20" s="321" t="inlineStr">
        <is>
          <t>A/B test creative</t>
        </is>
      </c>
      <c r="D20" s="321" t="inlineStr">
        <is>
          <t>Test 2 creative mới / tuần | Compare CTR, CPL, quality</t>
        </is>
      </c>
      <c r="E20" s="321" t="inlineStr">
        <is>
          <t>Thứ 2</t>
        </is>
      </c>
      <c r="F20" s="321" t="inlineStr">
        <is>
          <t>Performance + Content</t>
        </is>
      </c>
      <c r="G20" s="321" t="inlineStr">
        <is>
          <t>☐</t>
        </is>
      </c>
    </row>
    <row r="21" ht="15" customHeight="1" s="248">
      <c r="A21" s="323" t="inlineStr">
        <is>
          <t>4</t>
        </is>
      </c>
      <c r="B21" s="323" t="inlineStr">
        <is>
          <t>TikTok</t>
        </is>
      </c>
      <c r="C21" s="323" t="inlineStr">
        <is>
          <t>Upload video mới</t>
        </is>
      </c>
      <c r="D21" s="323" t="inlineStr">
        <is>
          <t>2-3 video mới từ kho testimonial | Test hook mới</t>
        </is>
      </c>
      <c r="E21" s="323" t="inlineStr">
        <is>
          <t>Thứ 2</t>
        </is>
      </c>
      <c r="F21" s="323" t="inlineStr">
        <is>
          <t>Content</t>
        </is>
      </c>
      <c r="G21" s="323" t="inlineStr">
        <is>
          <t>☐</t>
        </is>
      </c>
    </row>
    <row r="22" ht="15" customHeight="1" s="248">
      <c r="A22" s="321" t="inlineStr">
        <is>
          <t>5</t>
        </is>
      </c>
      <c r="B22" s="321" t="inlineStr">
        <is>
          <t>Zalo</t>
        </is>
      </c>
      <c r="C22" s="321" t="inlineStr">
        <is>
          <t>Broadcast schedule</t>
        </is>
      </c>
      <c r="D22" s="321" t="inlineStr">
        <is>
          <t>Lên lịch broadcast tour/ưu đãi cho tuần | Segment by campus</t>
        </is>
      </c>
      <c r="E22" s="321" t="inlineStr">
        <is>
          <t>Thứ 2</t>
        </is>
      </c>
      <c r="F22" s="321" t="inlineStr">
        <is>
          <t>Content</t>
        </is>
      </c>
      <c r="G22" s="321" t="inlineStr">
        <is>
          <t>☐</t>
        </is>
      </c>
    </row>
    <row r="23" ht="15" customHeight="1" s="248">
      <c r="A23" s="323" t="inlineStr">
        <is>
          <t>6</t>
        </is>
      </c>
      <c r="B23" s="323" t="inlineStr">
        <is>
          <t>GHL</t>
        </is>
      </c>
      <c r="C23" s="323" t="inlineStr">
        <is>
          <t>Pipeline review</t>
        </is>
      </c>
      <c r="D23" s="323" t="inlineStr">
        <is>
          <t>Rà pipeline: leads stuck, overdue follow-ups, tour no-shows</t>
        </is>
      </c>
      <c r="E23" s="323" t="inlineStr">
        <is>
          <t>Thứ 2</t>
        </is>
      </c>
      <c r="F23" s="323" t="inlineStr">
        <is>
          <t>MM + Sales</t>
        </is>
      </c>
      <c r="G23" s="323" t="inlineStr">
        <is>
          <t>☐</t>
        </is>
      </c>
    </row>
    <row r="24" ht="15" customHeight="1" s="248">
      <c r="A24" s="321" t="inlineStr">
        <is>
          <t>7</t>
        </is>
      </c>
      <c r="B24" s="321" t="inlineStr">
        <is>
          <t>Birch</t>
        </is>
      </c>
      <c r="C24" s="321" t="inlineStr">
        <is>
          <t>Review rules</t>
        </is>
      </c>
      <c r="D24" s="321" t="inlineStr">
        <is>
          <t>Kiểm tra rules nào fired | CPL alerts | Budget pacing</t>
        </is>
      </c>
      <c r="E24" s="321" t="inlineStr">
        <is>
          <t>Thứ 2</t>
        </is>
      </c>
      <c r="F24" s="321" t="inlineStr">
        <is>
          <t>Performance</t>
        </is>
      </c>
      <c r="G24" s="321" t="inlineStr">
        <is>
          <t>☐</t>
        </is>
      </c>
    </row>
    <row r="25" ht="15" customHeight="1" s="248">
      <c r="A25" s="323" t="inlineStr">
        <is>
          <t>8</t>
        </is>
      </c>
      <c r="B25" s="323" t="inlineStr">
        <is>
          <t>All</t>
        </is>
      </c>
      <c r="C25" s="323" t="inlineStr">
        <is>
          <t>Báo cáo tuần</t>
        </is>
      </c>
      <c r="D25" s="323" t="inlineStr">
        <is>
          <t>Weekly report: spend, leads, tours, enrollments by campus</t>
        </is>
      </c>
      <c r="E25" s="323" t="inlineStr">
        <is>
          <t>Thứ 5</t>
        </is>
      </c>
      <c r="F25" s="323" t="inlineStr">
        <is>
          <t>Marketing Manager</t>
        </is>
      </c>
      <c r="G25" s="323" t="inlineStr">
        <is>
          <t>☐</t>
        </is>
      </c>
    </row>
    <row r="26" ht="15" customHeight="1" s="248">
      <c r="A26" s="321" t="inlineStr">
        <is>
          <t>9</t>
        </is>
      </c>
      <c r="B26" s="321" t="inlineStr">
        <is>
          <t>All</t>
        </is>
      </c>
      <c r="C26" s="321" t="inlineStr">
        <is>
          <t>Họp tuần MKT + Sales</t>
        </is>
      </c>
      <c r="D26" s="321" t="inlineStr">
        <is>
          <t>30 phút: KPI review, blockers, campus feedback, action items</t>
        </is>
      </c>
      <c r="E26" s="321" t="inlineStr">
        <is>
          <t>Thứ 5</t>
        </is>
      </c>
      <c r="F26" s="321" t="inlineStr">
        <is>
          <t>All team</t>
        </is>
      </c>
      <c r="G26" s="321" t="inlineStr">
        <is>
          <t>☐</t>
        </is>
      </c>
    </row>
    <row r="27" ht="15" customHeight="1" s="248">
      <c r="A27" s="323" t="inlineStr">
        <is>
          <t>10</t>
        </is>
      </c>
      <c r="B27" s="323" t="inlineStr">
        <is>
          <t>Local SEO</t>
        </is>
      </c>
      <c r="C27" s="323" t="inlineStr">
        <is>
          <t>Check Google Business</t>
        </is>
      </c>
      <c r="D27" s="323" t="inlineStr">
        <is>
          <t>Reply reviews mới | Post bài mới | Check info chính xác</t>
        </is>
      </c>
      <c r="E27" s="323" t="inlineStr">
        <is>
          <t>Thứ 5</t>
        </is>
      </c>
      <c r="F27" s="323" t="inlineStr">
        <is>
          <t>Content</t>
        </is>
      </c>
      <c r="G27" s="323" t="inlineStr">
        <is>
          <t>☐</t>
        </is>
      </c>
    </row>
    <row r="29" ht="15" customHeight="1" s="248">
      <c r="A29" s="362" t="inlineStr">
        <is>
          <t>C. CÔNG VIỆC HÀNG THÁNG</t>
        </is>
      </c>
    </row>
    <row r="30" ht="15" customHeight="1" s="248">
      <c r="A30" s="363" t="inlineStr">
        <is>
          <t>STT</t>
        </is>
      </c>
      <c r="B30" s="363" t="inlineStr">
        <is>
          <t>Kênh</t>
        </is>
      </c>
      <c r="C30" s="363" t="inlineStr">
        <is>
          <t>Công việc</t>
        </is>
      </c>
      <c r="D30" s="363" t="inlineStr">
        <is>
          <t>Chi tiết</t>
        </is>
      </c>
      <c r="E30" s="363" t="inlineStr">
        <is>
          <t>Ngày</t>
        </is>
      </c>
      <c r="F30" s="363" t="inlineStr">
        <is>
          <t>Ai làm</t>
        </is>
      </c>
      <c r="G30" s="363" t="inlineStr">
        <is>
          <t>Checklist</t>
        </is>
      </c>
    </row>
    <row r="31" ht="15" customHeight="1" s="248">
      <c r="A31" s="321" t="inlineStr">
        <is>
          <t>1</t>
        </is>
      </c>
      <c r="B31" s="321" t="inlineStr">
        <is>
          <t>All</t>
        </is>
      </c>
      <c r="C31" s="321" t="inlineStr">
        <is>
          <t>Monthly report</t>
        </is>
      </c>
      <c r="D31" s="321" t="inlineStr">
        <is>
          <t>Tổng spend, leads, tours, enrollments, CAC by campus + channel</t>
        </is>
      </c>
      <c r="E31" s="321" t="inlineStr">
        <is>
          <t>Ngày 1-3</t>
        </is>
      </c>
      <c r="F31" s="321" t="inlineStr">
        <is>
          <t>MM</t>
        </is>
      </c>
      <c r="G31" s="321" t="inlineStr">
        <is>
          <t>☐</t>
        </is>
      </c>
    </row>
    <row r="32" ht="15" customHeight="1" s="248">
      <c r="A32" s="323" t="inlineStr">
        <is>
          <t>2</t>
        </is>
      </c>
      <c r="B32" s="323" t="inlineStr">
        <is>
          <t>Google Ads</t>
        </is>
      </c>
      <c r="C32" s="323" t="inlineStr">
        <is>
          <t>Cấu trúc lại campaigns</t>
        </is>
      </c>
      <c r="D32" s="323" t="inlineStr">
        <is>
          <t>Pause campaigns yếu | Tạo campaigns mới nếu cần | Shift budget</t>
        </is>
      </c>
      <c r="E32" s="323" t="inlineStr">
        <is>
          <t>Ngày 1-5</t>
        </is>
      </c>
      <c r="F32" s="323" t="inlineStr">
        <is>
          <t>Performance</t>
        </is>
      </c>
      <c r="G32" s="323" t="inlineStr">
        <is>
          <t>☐</t>
        </is>
      </c>
    </row>
    <row r="33" ht="15" customHeight="1" s="248">
      <c r="A33" s="321" t="inlineStr">
        <is>
          <t>3</t>
        </is>
      </c>
      <c r="B33" s="321" t="inlineStr">
        <is>
          <t>Meta Ads</t>
        </is>
      </c>
      <c r="C33" s="321" t="inlineStr">
        <is>
          <t>Refresh audiences</t>
        </is>
      </c>
      <c r="D33" s="321" t="inlineStr">
        <is>
          <t>Update Lookalike | Refresh Custom audiences | Exclude enrolled</t>
        </is>
      </c>
      <c r="E33" s="321" t="inlineStr">
        <is>
          <t>Ngày 1-5</t>
        </is>
      </c>
      <c r="F33" s="321" t="inlineStr">
        <is>
          <t>Performance</t>
        </is>
      </c>
      <c r="G33" s="321" t="inlineStr">
        <is>
          <t>☐</t>
        </is>
      </c>
    </row>
    <row r="34" ht="15" customHeight="1" s="248">
      <c r="A34" s="323" t="inlineStr">
        <is>
          <t>4</t>
        </is>
      </c>
      <c r="B34" s="323" t="inlineStr">
        <is>
          <t>TikTok</t>
        </is>
      </c>
      <c r="C34" s="323" t="inlineStr">
        <is>
          <t>Content refresh</t>
        </is>
      </c>
      <c r="D34" s="323" t="inlineStr">
        <is>
          <t>Quay 3-5 video mới nếu cần | Update Spark Ads library</t>
        </is>
      </c>
      <c r="E34" s="323" t="inlineStr">
        <is>
          <t>Ngày 5-10</t>
        </is>
      </c>
      <c r="F34" s="323" t="inlineStr">
        <is>
          <t>Content + Campus</t>
        </is>
      </c>
      <c r="G34" s="323" t="inlineStr">
        <is>
          <t>☐</t>
        </is>
      </c>
    </row>
    <row r="35" ht="15" customHeight="1" s="248">
      <c r="A35" s="321" t="inlineStr">
        <is>
          <t>5</t>
        </is>
      </c>
      <c r="B35" s="321" t="inlineStr">
        <is>
          <t>GHL</t>
        </is>
      </c>
      <c r="C35" s="321" t="inlineStr">
        <is>
          <t>CRM cleanup</t>
        </is>
      </c>
      <c r="D35" s="321" t="inlineStr">
        <is>
          <t>Merge duplicates | Update lost reasons | Archive old leads</t>
        </is>
      </c>
      <c r="E35" s="321" t="inlineStr">
        <is>
          <t>Ngày 5-10</t>
        </is>
      </c>
      <c r="F35" s="321" t="inlineStr">
        <is>
          <t>Sales + MM</t>
        </is>
      </c>
      <c r="G35" s="321" t="inlineStr">
        <is>
          <t>☐</t>
        </is>
      </c>
    </row>
    <row r="36" ht="15" customHeight="1" s="248">
      <c r="A36" s="323" t="inlineStr">
        <is>
          <t>6</t>
        </is>
      </c>
      <c r="B36" s="323" t="inlineStr">
        <is>
          <t>GHL</t>
        </is>
      </c>
      <c r="C36" s="323" t="inlineStr">
        <is>
          <t>Automation review</t>
        </is>
      </c>
      <c r="D36" s="323" t="inlineStr">
        <is>
          <t>Kiểm tra workflow performance | Adjust nurture timing | Test SMS</t>
        </is>
      </c>
      <c r="E36" s="323" t="inlineStr">
        <is>
          <t>Ngày 5-10</t>
        </is>
      </c>
      <c r="F36" s="323" t="inlineStr">
        <is>
          <t>MM</t>
        </is>
      </c>
      <c r="G36" s="323" t="inlineStr">
        <is>
          <t>☐</t>
        </is>
      </c>
    </row>
    <row r="37" ht="15" customHeight="1" s="248">
      <c r="A37" s="321" t="inlineStr">
        <is>
          <t>7</t>
        </is>
      </c>
      <c r="B37" s="321" t="inlineStr">
        <is>
          <t>Birch</t>
        </is>
      </c>
      <c r="C37" s="321" t="inlineStr">
        <is>
          <t>Rule optimization</t>
        </is>
      </c>
      <c r="D37" s="321" t="inlineStr">
        <is>
          <t>Review rule performance | Adjust thresholds | Add new rules</t>
        </is>
      </c>
      <c r="E37" s="321" t="inlineStr">
        <is>
          <t>Ngày 5-10</t>
        </is>
      </c>
      <c r="F37" s="321" t="inlineStr">
        <is>
          <t>Performance</t>
        </is>
      </c>
      <c r="G37" s="321" t="inlineStr">
        <is>
          <t>☐</t>
        </is>
      </c>
    </row>
    <row r="38" ht="23.25" customHeight="1" s="248">
      <c r="A38" s="323" t="inlineStr">
        <is>
          <t>8</t>
        </is>
      </c>
      <c r="B38" s="323" t="inlineStr">
        <is>
          <t>All</t>
        </is>
      </c>
      <c r="C38" s="323" t="inlineStr">
        <is>
          <t>Họp tháng với BGH</t>
        </is>
      </c>
      <c r="D38" s="323" t="inlineStr">
        <is>
          <t>CAC, ROI, campus performance, budget shift proposal, next month plan</t>
        </is>
      </c>
      <c r="E38" s="323" t="inlineStr">
        <is>
          <t>Ngày 5-7</t>
        </is>
      </c>
      <c r="F38" s="323" t="inlineStr">
        <is>
          <t>MM + BGH</t>
        </is>
      </c>
      <c r="G38" s="323" t="inlineStr">
        <is>
          <t>☐</t>
        </is>
      </c>
    </row>
    <row r="39" ht="15" customHeight="1" s="248">
      <c r="A39" s="321" t="inlineStr">
        <is>
          <t>9</t>
        </is>
      </c>
      <c r="B39" s="321" t="inlineStr">
        <is>
          <t>Content</t>
        </is>
      </c>
      <c r="C39" s="321" t="inlineStr">
        <is>
          <t>Kế hoạch content tháng sau</t>
        </is>
      </c>
      <c r="D39" s="321" t="inlineStr">
        <is>
          <t>Calendar editorial: 90 bài social + 4-8 blog + video plan</t>
        </is>
      </c>
      <c r="E39" s="321" t="inlineStr">
        <is>
          <t>Ngày 25-30</t>
        </is>
      </c>
      <c r="F39" s="321" t="inlineStr">
        <is>
          <t>Content Lead</t>
        </is>
      </c>
      <c r="G39" s="321" t="inlineStr">
        <is>
          <t>☐</t>
        </is>
      </c>
    </row>
    <row r="40" ht="15" customHeight="1" s="248">
      <c r="A40" s="323" t="inlineStr">
        <is>
          <t>10</t>
        </is>
      </c>
      <c r="B40" s="323" t="inlineStr">
        <is>
          <t>Local SEO</t>
        </is>
      </c>
      <c r="C40" s="323" t="inlineStr">
        <is>
          <t>GMB monthly update</t>
        </is>
      </c>
      <c r="D40" s="323" t="inlineStr">
        <is>
          <t>Cập nhật ảnh, bài viết, sự kiện cho 6 cơ sở | Review response</t>
        </is>
      </c>
      <c r="E40" s="323" t="inlineStr">
        <is>
          <t>Ngày 15</t>
        </is>
      </c>
      <c r="F40" s="323" t="inlineStr">
        <is>
          <t>Content</t>
        </is>
      </c>
      <c r="G40" s="323" t="inlineStr">
        <is>
          <t>☐</t>
        </is>
      </c>
    </row>
    <row r="42" ht="15" customHeight="1" s="248">
      <c r="A42" s="362" t="inlineStr">
        <is>
          <t>D. CÔNG VIỆC HÀNG QUÝ</t>
        </is>
      </c>
    </row>
    <row r="43" ht="15" customHeight="1" s="248">
      <c r="A43" s="363" t="inlineStr">
        <is>
          <t>STT</t>
        </is>
      </c>
      <c r="B43" s="363" t="inlineStr">
        <is>
          <t>Công việc</t>
        </is>
      </c>
      <c r="C43" s="363" t="inlineStr">
        <is>
          <t>Chi tiết</t>
        </is>
      </c>
      <c r="D43" s="363" t="inlineStr">
        <is>
          <t>Ai làm</t>
        </is>
      </c>
      <c r="E43" s="363" t="inlineStr">
        <is>
          <t>Checklist</t>
        </is>
      </c>
    </row>
    <row r="44" ht="23.25" customHeight="1" s="248">
      <c r="A44" s="321" t="inlineStr">
        <is>
          <t>1</t>
        </is>
      </c>
      <c r="B44" s="321" t="inlineStr">
        <is>
          <t>Review chiến lược tổng</t>
        </is>
      </c>
      <c r="C44" s="321" t="inlineStr">
        <is>
          <t>So sánh KPI thực vs plan | Điều chỉnh mix kênh | Shift budget</t>
        </is>
      </c>
      <c r="D44" s="321" t="inlineStr">
        <is>
          <t>MM + BGH</t>
        </is>
      </c>
      <c r="E44" s="321" t="inlineStr">
        <is>
          <t>☐</t>
        </is>
      </c>
    </row>
    <row r="45" ht="23.25" customHeight="1" s="248">
      <c r="A45" s="323" t="inlineStr">
        <is>
          <t>2</t>
        </is>
      </c>
      <c r="B45" s="323" t="inlineStr">
        <is>
          <t>Audit toàn bộ tracking</t>
        </is>
      </c>
      <c r="C45" s="323" t="inlineStr">
        <is>
          <t>GTM audit: tất cả tags fire đúng? | Pixel health check | CAPI verify</t>
        </is>
      </c>
      <c r="D45" s="323" t="inlineStr">
        <is>
          <t>Performance + Dev</t>
        </is>
      </c>
      <c r="E45" s="323" t="inlineStr">
        <is>
          <t>☐</t>
        </is>
      </c>
    </row>
    <row r="46" ht="23.25" customHeight="1" s="248">
      <c r="A46" s="321" t="inlineStr">
        <is>
          <t>3</t>
        </is>
      </c>
      <c r="B46" s="321" t="inlineStr">
        <is>
          <t>Competitor analysis</t>
        </is>
      </c>
      <c r="C46" s="321" t="inlineStr">
        <is>
          <t>Rà đối thủ: ads library, keyword, LP, ưu đãi, positioning</t>
        </is>
      </c>
      <c r="D46" s="321" t="inlineStr">
        <is>
          <t>MM</t>
        </is>
      </c>
      <c r="E46" s="321" t="inlineStr">
        <is>
          <t>☐</t>
        </is>
      </c>
    </row>
    <row r="47" ht="34.5" customHeight="1" s="248">
      <c r="A47" s="323" t="inlineStr">
        <is>
          <t>4</t>
        </is>
      </c>
      <c r="B47" s="323" t="inlineStr">
        <is>
          <t>Content audit</t>
        </is>
      </c>
      <c r="C47" s="323" t="inlineStr">
        <is>
          <t>Rà kho content: video nào perform tốt? Bài nào traffic cao? | Gap analysis</t>
        </is>
      </c>
      <c r="D47" s="323" t="inlineStr">
        <is>
          <t>Content Lead</t>
        </is>
      </c>
      <c r="E47" s="323" t="inlineStr">
        <is>
          <t>☐</t>
        </is>
      </c>
    </row>
    <row r="48" ht="23.25" customHeight="1" s="248">
      <c r="A48" s="321" t="inlineStr">
        <is>
          <t>5</t>
        </is>
      </c>
      <c r="B48" s="321" t="inlineStr">
        <is>
          <t>CRM &amp; automation review</t>
        </is>
      </c>
      <c r="C48" s="321" t="inlineStr">
        <is>
          <t>Workflow nào convert tốt? Nurture nào cần sửa? SLA trend?</t>
        </is>
      </c>
      <c r="D48" s="321" t="inlineStr">
        <is>
          <t>MM + Sales</t>
        </is>
      </c>
      <c r="E48" s="321" t="inlineStr">
        <is>
          <t>☐</t>
        </is>
      </c>
    </row>
    <row r="49" ht="34.5" customHeight="1" s="248">
      <c r="A49" s="323" t="inlineStr">
        <is>
          <t>6</t>
        </is>
      </c>
      <c r="B49" s="323" t="inlineStr">
        <is>
          <t>Training team</t>
        </is>
      </c>
      <c r="C49" s="323" t="inlineStr">
        <is>
          <t>Cập nhật kỹ năng: Google Ads mới, Meta policy, TikTok trends, GHL features</t>
        </is>
      </c>
      <c r="D49" s="323" t="inlineStr">
        <is>
          <t>MM</t>
        </is>
      </c>
      <c r="E49" s="323" t="inlineStr">
        <is>
          <t>☐</t>
        </is>
      </c>
    </row>
    <row r="51" ht="15" customHeight="1" s="248">
      <c r="A51" s="362" t="inlineStr">
        <is>
          <t>E. CÔNG VIỆC HÀNG NĂM (CUỐI MÙA)</t>
        </is>
      </c>
    </row>
    <row r="52" ht="15" customHeight="1" s="248">
      <c r="A52" s="363" t="inlineStr">
        <is>
          <t>STT</t>
        </is>
      </c>
      <c r="B52" s="363" t="inlineStr">
        <is>
          <t>Công việc</t>
        </is>
      </c>
      <c r="C52" s="363" t="inlineStr">
        <is>
          <t>Chi tiết</t>
        </is>
      </c>
      <c r="D52" s="363" t="inlineStr">
        <is>
          <t>Ai làm</t>
        </is>
      </c>
      <c r="E52" s="363" t="inlineStr">
        <is>
          <t>Checklist</t>
        </is>
      </c>
    </row>
    <row r="53" ht="34.5" customHeight="1" s="248">
      <c r="A53" s="321" t="inlineStr">
        <is>
          <t>1</t>
        </is>
      </c>
      <c r="B53" s="321" t="inlineStr">
        <is>
          <t>Post-mortem toàn chiến dịch</t>
        </is>
      </c>
      <c r="C53" s="321" t="inlineStr">
        <is>
          <t>Tổng kết: spend, leads, tours, enrollments, CAC, ROI theo campus + kênh</t>
        </is>
      </c>
      <c r="D53" s="321" t="inlineStr">
        <is>
          <t>MM + Sales + BGH</t>
        </is>
      </c>
      <c r="E53" s="321" t="inlineStr">
        <is>
          <t>☐</t>
        </is>
      </c>
    </row>
    <row r="54" ht="34.5" customHeight="1" s="248">
      <c r="A54" s="323" t="inlineStr">
        <is>
          <t>2</t>
        </is>
      </c>
      <c r="B54" s="323" t="inlineStr">
        <is>
          <t>Lưu playbook</t>
        </is>
      </c>
      <c r="C54" s="323" t="inlineStr">
        <is>
          <t>Ghi lại: top campaigns, top keywords, top creatives, best practices, lessons learned</t>
        </is>
      </c>
      <c r="D54" s="323" t="inlineStr">
        <is>
          <t>MM</t>
        </is>
      </c>
      <c r="E54" s="323" t="inlineStr">
        <is>
          <t>☐</t>
        </is>
      </c>
    </row>
    <row r="55" ht="34.5" customHeight="1" s="248">
      <c r="A55" s="321" t="inlineStr">
        <is>
          <t>3</t>
        </is>
      </c>
      <c r="B55" s="321" t="inlineStr">
        <is>
          <t>Chuẩn bị mùa sau</t>
        </is>
      </c>
      <c r="C55" s="321" t="inlineStr">
        <is>
          <t>Budget proposal + Channel mix + Campus priority + Content plan cho năm sau</t>
        </is>
      </c>
      <c r="D55" s="321" t="inlineStr">
        <is>
          <t>MM</t>
        </is>
      </c>
      <c r="E55" s="321" t="inlineStr">
        <is>
          <t>☐</t>
        </is>
      </c>
    </row>
    <row r="56" ht="23.25" customHeight="1" s="248">
      <c r="A56" s="323" t="inlineStr">
        <is>
          <t>4</t>
        </is>
      </c>
      <c r="B56" s="323" t="inlineStr">
        <is>
          <t>Cập nhật assets</t>
        </is>
      </c>
      <c r="C56" s="323" t="inlineStr">
        <is>
          <t>Refresh video, ảnh, testimonial mới | Quay phụ huynh mới nhập học</t>
        </is>
      </c>
      <c r="D56" s="323" t="inlineStr">
        <is>
          <t>Content + Campus</t>
        </is>
      </c>
      <c r="E56" s="323" t="inlineStr">
        <is>
          <t>☐</t>
        </is>
      </c>
    </row>
    <row r="57" ht="34.5" customHeight="1" s="248">
      <c r="A57" s="321" t="inlineStr">
        <is>
          <t>5</t>
        </is>
      </c>
      <c r="B57" s="321" t="inlineStr">
        <is>
          <t>Review tools &amp; contracts</t>
        </is>
      </c>
      <c r="C57" s="321" t="inlineStr">
        <is>
          <t>GHL, Birch, domain, hosting, SMS credits, Zalo OA | Renew/upgrade nếu cần</t>
        </is>
      </c>
      <c r="D57" s="321" t="inlineStr">
        <is>
          <t>MM + IT</t>
        </is>
      </c>
      <c r="E57" s="321" t="inlineStr">
        <is>
          <t>☐</t>
        </is>
      </c>
    </row>
  </sheetData>
  <mergeCells count="6">
    <mergeCell ref="A1:G1"/>
    <mergeCell ref="A3:G3"/>
    <mergeCell ref="A16:G16"/>
    <mergeCell ref="A29:G29"/>
    <mergeCell ref="A51:G51"/>
    <mergeCell ref="A42:G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9C27B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3"/>
    <col width="42" customWidth="1" style="247" min="4" max="4"/>
    <col width="22" customWidth="1" style="247" min="5" max="7"/>
  </cols>
  <sheetData>
    <row r="1" ht="15" customHeight="1" s="248">
      <c r="A1" s="361" t="inlineStr">
        <is>
          <t>TIMELINE GIẢI NGÂN 03-09/2026</t>
        </is>
      </c>
    </row>
    <row r="2" ht="15" customHeight="1" s="248">
      <c r="A2" s="364" t="inlineStr">
        <is>
          <t>Giai đoạn</t>
        </is>
      </c>
      <c r="B2" s="364" t="inlineStr">
        <is>
          <t>%</t>
        </is>
      </c>
      <c r="C2" s="364" t="inlineStr">
        <is>
          <t>Ngân sách</t>
        </is>
      </c>
      <c r="D2" s="364" t="inlineStr">
        <is>
          <t>Trọng tâm</t>
        </is>
      </c>
      <c r="E2" s="364" t="inlineStr">
        <is>
          <t>Paid Media</t>
        </is>
      </c>
      <c r="F2" s="364" t="inlineStr">
        <is>
          <t>KPI</t>
        </is>
      </c>
      <c r="G2" s="364" t="inlineStr">
        <is>
          <t>Checkpoint</t>
        </is>
      </c>
    </row>
    <row r="3" ht="15" customHeight="1" s="248">
      <c r="A3" s="321" t="inlineStr">
        <is>
          <t>26/03–31/03</t>
        </is>
      </c>
      <c r="B3" s="325" t="n">
        <v>0.04</v>
      </c>
      <c r="C3" s="332">
        <f>B3*'1. Input'!B4</f>
        <v/>
      </c>
      <c r="D3" s="321" t="inlineStr">
        <is>
          <t>Setup Birch+GHL+GTM+Pixel+LP</t>
        </is>
      </c>
      <c r="E3" s="332">
        <f>0.02*'1. Input'!B15</f>
        <v/>
      </c>
      <c r="F3" s="321" t="inlineStr">
        <is>
          <t>Tracking live</t>
        </is>
      </c>
      <c r="G3" s="321" t="inlineStr">
        <is>
          <t>Go/No-go 31/03</t>
        </is>
      </c>
    </row>
    <row r="4" ht="15" customHeight="1" s="248">
      <c r="A4" s="323" t="inlineStr">
        <is>
          <t>Tháng 4</t>
        </is>
      </c>
      <c r="B4" s="326" t="n">
        <v>0.14</v>
      </c>
      <c r="C4" s="327">
        <f>B4*'1. Input'!B4</f>
        <v/>
      </c>
      <c r="D4" s="323" t="inlineStr">
        <is>
          <t>Meta+TikTok mở phủ | Webinar #1-2 | Tour #1-3</t>
        </is>
      </c>
      <c r="E4" s="327">
        <f>0.12*'1. Input'!B15</f>
        <v/>
      </c>
      <c r="F4" s="323" t="inlineStr">
        <is>
          <t>1,400 leads/420 tours</t>
        </is>
      </c>
      <c r="G4" s="323" t="inlineStr">
        <is>
          <t>CPL review tuần 2</t>
        </is>
      </c>
    </row>
    <row r="5" ht="15" customHeight="1" s="248">
      <c r="A5" s="321" t="inlineStr">
        <is>
          <t>Tháng 5</t>
        </is>
      </c>
      <c r="B5" s="325" t="n">
        <v>0.22</v>
      </c>
      <c r="C5" s="332">
        <f>B5*'1. Input'!B4</f>
        <v/>
      </c>
      <c r="D5" s="321" t="inlineStr">
        <is>
          <t>Scale paid | Open Day #1 | Zalo broadcast tỉnh</t>
        </is>
      </c>
      <c r="E5" s="332">
        <f>0.24*'1. Input'!B15</f>
        <v/>
      </c>
      <c r="F5" s="321" t="inlineStr">
        <is>
          <t>2,400 leads/720 tours</t>
        </is>
      </c>
      <c r="G5" s="321" t="inlineStr">
        <is>
          <t>Lead→Tour&lt;25%→dừng</t>
        </is>
      </c>
    </row>
    <row r="6" ht="15" customHeight="1" s="248">
      <c r="A6" s="323" t="inlineStr">
        <is>
          <t>Tháng 6</t>
        </is>
      </c>
      <c r="B6" s="326" t="n">
        <v>0.24</v>
      </c>
      <c r="C6" s="327">
        <f>B6*'1. Input'!B4</f>
        <v/>
      </c>
      <c r="D6" s="323" t="inlineStr">
        <is>
          <t>Tour cao điểm | Remarket mạnh | Open Day #2</t>
        </is>
      </c>
      <c r="E6" s="327">
        <f>0.28*'1. Input'!B15</f>
        <v/>
      </c>
      <c r="F6" s="323" t="inlineStr">
        <is>
          <t>2,800 leads/840 tours</t>
        </is>
      </c>
      <c r="G6" s="323" t="inlineStr">
        <is>
          <t>Check 53% target</t>
        </is>
      </c>
    </row>
    <row r="7" ht="15" customHeight="1" s="248">
      <c r="A7" s="321" t="inlineStr">
        <is>
          <t>Tháng 7</t>
        </is>
      </c>
      <c r="B7" s="325" t="n">
        <v>0.22</v>
      </c>
      <c r="C7" s="332">
        <f>B7*'1. Input'!B4</f>
        <v/>
      </c>
      <c r="D7" s="321" t="inlineStr">
        <is>
          <t>Chốt sale | Học bổng cuối | Pipeline GHL</t>
        </is>
      </c>
      <c r="E7" s="332">
        <f>0.24*'1. Input'!B15</f>
        <v/>
      </c>
      <c r="F7" s="321" t="inlineStr">
        <is>
          <t>2,400 leads/720 tours</t>
        </is>
      </c>
      <c r="G7" s="321" t="inlineStr">
        <is>
          <t>&lt;73%→dự phòng</t>
        </is>
      </c>
    </row>
    <row r="8" ht="15" customHeight="1" s="248">
      <c r="A8" s="323" t="inlineStr">
        <is>
          <t>Tháng 8</t>
        </is>
      </c>
      <c r="B8" s="326" t="n">
        <v>0.1</v>
      </c>
      <c r="C8" s="327">
        <f>B8*'1. Input'!B4</f>
        <v/>
      </c>
      <c r="D8" s="323" t="inlineStr">
        <is>
          <t>Vét cuối | Retarget database</t>
        </is>
      </c>
      <c r="E8" s="327">
        <f>0.08*'1. Input'!B15</f>
        <v/>
      </c>
      <c r="F8" s="323" t="inlineStr">
        <is>
          <t>1,200 leads/360 tours</t>
        </is>
      </c>
      <c r="G8" s="323" t="inlineStr">
        <is>
          <t>Gần đạt target</t>
        </is>
      </c>
    </row>
    <row r="9" ht="15" customHeight="1" s="248">
      <c r="A9" s="321" t="inlineStr">
        <is>
          <t>Tháng 9</t>
        </is>
      </c>
      <c r="B9" s="325" t="n">
        <v>0.04</v>
      </c>
      <c r="C9" s="332">
        <f>B9*'1. Input'!B4</f>
        <v/>
      </c>
      <c r="D9" s="321" t="inlineStr">
        <is>
          <t>Late intake | Chuyển trường | Brand defense</t>
        </is>
      </c>
      <c r="E9" s="332">
        <f>0.02*'1. Input'!B15</f>
        <v/>
      </c>
      <c r="F9" s="321" t="inlineStr">
        <is>
          <t>400 leads/120 tours</t>
        </is>
      </c>
      <c r="G9" s="321" t="inlineStr">
        <is>
          <t>Post-mortem</t>
        </is>
      </c>
    </row>
    <row r="10" ht="15" customHeight="1" s="248">
      <c r="A10" s="333" t="inlineStr">
        <is>
          <t>TỔNG</t>
        </is>
      </c>
      <c r="B10" s="334">
        <f>SUM(B3:B9)</f>
        <v/>
      </c>
      <c r="C10" s="335">
        <f>SUM(C3:C9)</f>
        <v/>
      </c>
      <c r="D10" s="333" t="n"/>
      <c r="E10" s="333" t="n"/>
      <c r="F10" s="333" t="n"/>
      <c r="G10" s="333" t="n"/>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607D8B"/>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3"/>
    <col width="42" customWidth="1" style="247" min="4" max="4"/>
    <col width="20" customWidth="1" style="247" min="5" max="7"/>
  </cols>
  <sheetData>
    <row r="1" ht="15" customHeight="1" s="248">
      <c r="A1" s="365" t="inlineStr">
        <is>
          <t>DANH BẠ CƠ SỞ (BỎ PHÚ NHUẬN – CẬP NHẬT ĐỊA GIỚI MỚI)</t>
        </is>
      </c>
    </row>
    <row r="2" ht="15" customHeight="1" s="248">
      <c r="A2" s="366" t="inlineStr">
        <is>
          <t>Khu vực</t>
        </is>
      </c>
      <c r="B2" s="366" t="inlineStr">
        <is>
          <t>Tên trường</t>
        </is>
      </c>
      <c r="C2" s="366" t="inlineStr">
        <is>
          <t>Cấp</t>
        </is>
      </c>
      <c r="D2" s="366" t="inlineStr">
        <is>
          <t>Địa chỉ</t>
        </is>
      </c>
      <c r="E2" s="366" t="inlineStr">
        <is>
          <t>Hotline</t>
        </is>
      </c>
      <c r="F2" s="366" t="inlineStr">
        <is>
          <t>Trạng thái</t>
        </is>
      </c>
      <c r="G2" s="366" t="inlineStr">
        <is>
          <t>Ghi chú</t>
        </is>
      </c>
    </row>
    <row r="3" ht="15" customHeight="1" s="248">
      <c r="A3" s="321" t="inlineStr">
        <is>
          <t>TP.HCM</t>
        </is>
      </c>
      <c r="B3" s="321" t="inlineStr">
        <is>
          <t>Việt Anh Gò Vấp</t>
        </is>
      </c>
      <c r="C3" s="321" t="inlineStr">
        <is>
          <t>TH+THCS+THPT</t>
        </is>
      </c>
      <c r="D3" s="321" t="inlineStr">
        <is>
          <t>160/72 Phan Huy Ích, Gò Vấp</t>
        </is>
      </c>
      <c r="E3" s="321" t="inlineStr">
        <is>
          <t>091 696 1409</t>
        </is>
      </c>
      <c r="F3" s="321" t="inlineStr">
        <is>
          <t>✅</t>
        </is>
      </c>
      <c r="G3" s="321" t="inlineStr">
        <is>
          <t>Cơ sở lớn, 3 cấp</t>
        </is>
      </c>
    </row>
    <row r="4" ht="15" customHeight="1" s="248">
      <c r="A4" s="323" t="inlineStr">
        <is>
          <t>TP.HCM</t>
        </is>
      </c>
      <c r="B4" s="323" t="inlineStr">
        <is>
          <t>Việt Anh Bình Tân</t>
        </is>
      </c>
      <c r="C4" s="323" t="inlineStr">
        <is>
          <t>Tiểu học</t>
        </is>
      </c>
      <c r="D4" s="323" t="inlineStr">
        <is>
          <t>Số 7 đường 38A, Tân Tạo, Bình Tân</t>
        </is>
      </c>
      <c r="E4" s="323" t="inlineStr">
        <is>
          <t>0916 961 409</t>
        </is>
      </c>
      <c r="F4" s="323" t="inlineStr">
        <is>
          <t>✅</t>
        </is>
      </c>
      <c r="G4" s="323" t="inlineStr">
        <is>
          <t>Khu đông dân</t>
        </is>
      </c>
    </row>
    <row r="5" ht="15" customHeight="1" s="248">
      <c r="A5" s="321" t="inlineStr">
        <is>
          <t>TP.HCM</t>
        </is>
      </c>
      <c r="B5" s="321" t="inlineStr">
        <is>
          <t>MN Việt Anh Gò Vấp</t>
        </is>
      </c>
      <c r="C5" s="321" t="inlineStr">
        <is>
          <t>Mầm non</t>
        </is>
      </c>
      <c r="D5" s="321" t="inlineStr">
        <is>
          <t>573 Đ. Lê Đức Thọ, P. An Hội Tây, Gò Vấp</t>
        </is>
      </c>
      <c r="E5" s="321" t="inlineStr">
        <is>
          <t>0916 961 409</t>
        </is>
      </c>
      <c r="F5" s="321" t="inlineStr">
        <is>
          <t>✅</t>
        </is>
      </c>
      <c r="G5" s="321" t="inlineStr">
        <is>
          <t>Flagship MN</t>
        </is>
      </c>
    </row>
    <row r="6" ht="15" customHeight="1" s="248">
      <c r="A6" s="323" t="inlineStr">
        <is>
          <t>Tây Ninh</t>
        </is>
      </c>
      <c r="B6" s="323" t="inlineStr">
        <is>
          <t>MN Nhân Lễ</t>
        </is>
      </c>
      <c r="C6" s="323" t="inlineStr">
        <is>
          <t>Mầm non</t>
        </is>
      </c>
      <c r="D6" s="323" t="inlineStr">
        <is>
          <t>22 Đường D2, KDC Cần Giuộc, Tây Ninh</t>
        </is>
      </c>
      <c r="E6" s="323" t="inlineStr">
        <is>
          <t>0916 961 409</t>
        </is>
      </c>
      <c r="F6" s="323" t="inlineStr">
        <is>
          <t>✅</t>
        </is>
      </c>
      <c r="G6" s="323" t="inlineStr">
        <is>
          <t>Cần Giuộc → Tây Ninh</t>
        </is>
      </c>
    </row>
    <row r="7" ht="15" customHeight="1" s="248">
      <c r="A7" s="321" t="inlineStr">
        <is>
          <t>Tây Ninh</t>
        </is>
      </c>
      <c r="B7" s="321" t="inlineStr">
        <is>
          <t>MN+TH Thái Sơn</t>
        </is>
      </c>
      <c r="C7" s="321" t="inlineStr">
        <is>
          <t>MN+TH</t>
        </is>
      </c>
      <c r="D7" s="321" t="inlineStr">
        <is>
          <t>KDC Thái Sơn, Cần Giuộc, Tây Ninh</t>
        </is>
      </c>
      <c r="E7" s="321" t="inlineStr">
        <is>
          <t>0916 961 409</t>
        </is>
      </c>
      <c r="F7" s="321" t="inlineStr">
        <is>
          <t>✅</t>
        </is>
      </c>
      <c r="G7" s="321" t="inlineStr">
        <is>
          <t>Cần Giuộc → Tây Ninh</t>
        </is>
      </c>
    </row>
    <row r="8" ht="15" customHeight="1" s="248">
      <c r="A8" s="323" t="inlineStr">
        <is>
          <t>An Giang</t>
        </is>
      </c>
      <c r="B8" s="323" t="inlineStr">
        <is>
          <t>MN+TH Mekong Xanh</t>
        </is>
      </c>
      <c r="C8" s="323" t="inlineStr">
        <is>
          <t>MN+TH</t>
        </is>
      </c>
      <c r="D8" s="323" t="inlineStr">
        <is>
          <t>Lô E7, KĐT Tây Bắc, TP. Rạch Giá, An Giang</t>
        </is>
      </c>
      <c r="E8" s="323" t="inlineStr">
        <is>
          <t>0916 961 409</t>
        </is>
      </c>
      <c r="F8" s="323" t="inlineStr">
        <is>
          <t>✅</t>
        </is>
      </c>
      <c r="G8" s="323" t="inlineStr">
        <is>
          <t>Rạch Giá → An Giang</t>
        </is>
      </c>
    </row>
    <row r="10" ht="15" customHeight="1" s="248">
      <c r="A10" s="367" t="inlineStr">
        <is>
          <t>⚠️ Phú Nhuận ĐÃ BỎ (sắp đóng cửa). Ngân sách Phú Nhuận phân bổ lại cho các cơ sở còn lại.</t>
        </is>
      </c>
    </row>
    <row r="11" ht="15" customHeight="1" s="248">
      <c r="A11" s="368" t="inlineStr">
        <is>
          <t>📌 Cần Giuộc → thuộc tỉnh TÂY NINH (trước là Long An). Rạch Giá → thuộc tỉnh AN GIANG (trước là Kiên Giang).</t>
        </is>
      </c>
    </row>
  </sheetData>
  <mergeCells count="3">
    <mergeCell ref="A11:G11"/>
    <mergeCell ref="A1:G1"/>
    <mergeCell ref="A10: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0068FF"/>
    <outlinePr summaryBelow="1" summaryRight="1"/>
    <pageSetUpPr fitToPage="0"/>
  </sheetPr>
  <dimension ref="A1:J8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7"/>
    <col width="24" customWidth="1" style="247" min="8" max="10"/>
  </cols>
  <sheetData>
    <row r="1" ht="15" customHeight="1" s="248">
      <c r="A1" s="369" t="inlineStr">
        <is>
          <t>KẾ HOẠCH ZALO ADS + ZALO OA – NURTURE LOCAL + BROADCAST</t>
        </is>
      </c>
    </row>
    <row r="3" ht="15" customHeight="1" s="248">
      <c r="A3" s="370" t="inlineStr">
        <is>
          <t>A. ZALO ADS CAMPAIGNS</t>
        </is>
      </c>
    </row>
    <row r="4" ht="15" customHeight="1" s="248">
      <c r="A4" s="371" t="inlineStr">
        <is>
          <t>Campaign</t>
        </is>
      </c>
      <c r="B4" s="371" t="inlineStr">
        <is>
          <t>Audience</t>
        </is>
      </c>
      <c r="C4" s="371" t="inlineStr">
        <is>
          <t>Creative</t>
        </is>
      </c>
      <c r="D4" s="371" t="inlineStr">
        <is>
          <t>Budget/tháng</t>
        </is>
      </c>
      <c r="E4" s="371" t="inlineStr">
        <is>
          <t>KPI</t>
        </is>
      </c>
      <c r="F4" s="371" t="inlineStr">
        <is>
          <t>GHL Integration</t>
        </is>
      </c>
      <c r="G4" s="371" t="inlineStr">
        <is>
          <t>GTM</t>
        </is>
      </c>
    </row>
    <row r="5" ht="23.25" customHeight="1" s="248">
      <c r="A5" s="321" t="inlineStr">
        <is>
          <t>Zalo_MN_Local</t>
        </is>
      </c>
      <c r="B5" s="321" t="inlineStr">
        <is>
          <t>Geo Gò Vấp+Tỉnh | Age 25-40 | Interest Parenting</t>
        </is>
      </c>
      <c r="C5" s="321" t="inlineStr">
        <is>
          <t>Image+text: Tour invitation, campus ảnh, ưu đãi</t>
        </is>
      </c>
      <c r="D5" s="321">
        <f>0.07*'1. Input'!B15*0.35/6</f>
        <v/>
      </c>
      <c r="E5" s="321" t="inlineStr">
        <is>
          <t>Open ≥ 40% | CTR ≥ 5%</t>
        </is>
      </c>
      <c r="F5" s="321" t="inlineStr">
        <is>
          <t>Lead → Pipeline MN</t>
        </is>
      </c>
      <c r="G5" s="321" t="inlineStr">
        <is>
          <t>Zalo Pixel via GTM</t>
        </is>
      </c>
    </row>
    <row r="6" ht="23.25" customHeight="1" s="248">
      <c r="A6" s="323" t="inlineStr">
        <is>
          <t>Zalo_TH_Local</t>
        </is>
      </c>
      <c r="B6" s="323" t="inlineStr">
        <is>
          <t>Geo Gò Vấp+BT+Tỉnh | Age 28-45</t>
        </is>
      </c>
      <c r="C6" s="323" t="inlineStr">
        <is>
          <t>Image+text: Tuyển sinh lớp 1, chương trình</t>
        </is>
      </c>
      <c r="D6" s="323">
        <f>0.07*'1. Input'!B15*0.25/6</f>
        <v/>
      </c>
      <c r="E6" s="323" t="inlineStr">
        <is>
          <t>Open ≥ 35% | CTR ≥ 4%</t>
        </is>
      </c>
      <c r="F6" s="323" t="inlineStr">
        <is>
          <t>Lead → Pipeline TH</t>
        </is>
      </c>
      <c r="G6" s="323" t="inlineStr">
        <is>
          <t>Zalo Pixel</t>
        </is>
      </c>
    </row>
    <row r="7" ht="23.25" customHeight="1" s="248">
      <c r="A7" s="321" t="inlineStr">
        <is>
          <t>Zalo_THCS_THPT</t>
        </is>
      </c>
      <c r="B7" s="321" t="inlineStr">
        <is>
          <t>Geo TP.HCM | Age 30-55</t>
        </is>
      </c>
      <c r="C7" s="321" t="inlineStr">
        <is>
          <t>Webinar invite, lộ trình, học bổng</t>
        </is>
      </c>
      <c r="D7" s="321">
        <f>0.07*'1. Input'!B15*0.2/6</f>
        <v/>
      </c>
      <c r="E7" s="321" t="inlineStr">
        <is>
          <t>Open ≥ 35% | Reg ≥ 3%</t>
        </is>
      </c>
      <c r="F7" s="321" t="inlineStr">
        <is>
          <t>Lead → Pipeline THCS/THPT</t>
        </is>
      </c>
      <c r="G7" s="321" t="inlineStr">
        <is>
          <t>Zalo Pixel</t>
        </is>
      </c>
    </row>
    <row r="8" ht="23.25" customHeight="1" s="248">
      <c r="A8" s="323" t="inlineStr">
        <is>
          <t>Zalo_Remarketing</t>
        </is>
      </c>
      <c r="B8" s="323" t="inlineStr">
        <is>
          <t>OA followers + Web visitors</t>
        </is>
      </c>
      <c r="C8" s="323" t="inlineStr">
        <is>
          <t>Tour reminder, ưu đãi cuối, deadline</t>
        </is>
      </c>
      <c r="D8" s="323">
        <f>0.07*'1. Input'!B15*0.2/6</f>
        <v/>
      </c>
      <c r="E8" s="323" t="inlineStr">
        <is>
          <t>Conv ≥ 5%</t>
        </is>
      </c>
      <c r="F8" s="323" t="inlineStr">
        <is>
          <t>Retarget pipeline</t>
        </is>
      </c>
      <c r="G8" s="323" t="inlineStr">
        <is>
          <t>Zalo Pixel</t>
        </is>
      </c>
    </row>
    <row r="10" ht="15" customHeight="1" s="248">
      <c r="A10" s="370" t="inlineStr">
        <is>
          <t>B. ZALO OA SETUP + BROADCAST</t>
        </is>
      </c>
    </row>
    <row r="11" ht="15" customHeight="1" s="248">
      <c r="A11" s="371" t="inlineStr">
        <is>
          <t>Bước</t>
        </is>
      </c>
      <c r="B11" s="371" t="inlineStr">
        <is>
          <t>Hành động</t>
        </is>
      </c>
      <c r="C11" s="371" t="inlineStr">
        <is>
          <t>Chi tiết</t>
        </is>
      </c>
      <c r="D11" s="371" t="inlineStr">
        <is>
          <t>Timeline</t>
        </is>
      </c>
      <c r="E11" s="371" t="inlineStr">
        <is>
          <t>Trạng thái</t>
        </is>
      </c>
    </row>
    <row r="12" ht="15" customHeight="1" s="248">
      <c r="A12" s="321" t="inlineStr">
        <is>
          <t>1</t>
        </is>
      </c>
      <c r="B12" s="321" t="inlineStr">
        <is>
          <t>Tạo/Verify Zalo OA</t>
        </is>
      </c>
      <c r="C12" s="321" t="inlineStr">
        <is>
          <t>1 OA chính cho hệ thống Việt Anh | Verify business</t>
        </is>
      </c>
      <c r="D12" s="321" t="inlineStr">
        <is>
          <t>Ngày 1</t>
        </is>
      </c>
      <c r="E12" s="321" t="inlineStr">
        <is>
          <t>☐</t>
        </is>
      </c>
    </row>
    <row r="13" ht="15" customHeight="1" s="248">
      <c r="A13" s="323" t="inlineStr">
        <is>
          <t>2</t>
        </is>
      </c>
      <c r="B13" s="323" t="inlineStr">
        <is>
          <t>Kết nối GHL</t>
        </is>
      </c>
      <c r="C13" s="323" t="inlineStr">
        <is>
          <t>API Zalo OA → GHL | Auto-reply + Broadcast + Nurture</t>
        </is>
      </c>
      <c r="D13" s="323" t="inlineStr">
        <is>
          <t>Ngày 2</t>
        </is>
      </c>
      <c r="E13" s="323" t="inlineStr">
        <is>
          <t>☐</t>
        </is>
      </c>
    </row>
    <row r="14" ht="23.25" customHeight="1" s="248">
      <c r="A14" s="321" t="inlineStr">
        <is>
          <t>3</t>
        </is>
      </c>
      <c r="B14" s="321" t="inlineStr">
        <is>
          <t>Tạo menu auto-reply</t>
        </is>
      </c>
      <c r="C14" s="321" t="inlineStr">
        <is>
          <t>Menu: Tư vấn MN | TH | THCS | THPT | Học phí | Tour | Hotline</t>
        </is>
      </c>
      <c r="D14" s="321" t="inlineStr">
        <is>
          <t>Ngày 2</t>
        </is>
      </c>
      <c r="E14" s="321" t="inlineStr">
        <is>
          <t>☐</t>
        </is>
      </c>
    </row>
    <row r="15" ht="23.25" customHeight="1" s="248">
      <c r="A15" s="323" t="inlineStr">
        <is>
          <t>4</t>
        </is>
      </c>
      <c r="B15" s="323" t="inlineStr">
        <is>
          <t>Tạo 8 broadcast templates</t>
        </is>
      </c>
      <c r="C15" s="323" t="inlineStr">
        <is>
          <t>Welcome, Tour invite, Tour reminder, Ưu đãi, Webinar, Scholarship, Thank you, Re-engage</t>
        </is>
      </c>
      <c r="D15" s="323" t="inlineStr">
        <is>
          <t>Ngày 3</t>
        </is>
      </c>
      <c r="E15" s="323" t="inlineStr">
        <is>
          <t>☐</t>
        </is>
      </c>
    </row>
    <row r="16" ht="15" customHeight="1" s="248">
      <c r="A16" s="321" t="inlineStr">
        <is>
          <t>5</t>
        </is>
      </c>
      <c r="B16" s="321" t="inlineStr">
        <is>
          <t>Segment followers</t>
        </is>
      </c>
      <c r="C16" s="321" t="inlineStr">
        <is>
          <t>By campus, cấp, trạng thái lead | Auto-tag từ GHL</t>
        </is>
      </c>
      <c r="D16" s="321" t="inlineStr">
        <is>
          <t>Ngày 3</t>
        </is>
      </c>
      <c r="E16" s="321" t="inlineStr">
        <is>
          <t>☐</t>
        </is>
      </c>
    </row>
    <row r="17" ht="23.25" customHeight="1" s="248">
      <c r="A17" s="323" t="inlineStr">
        <is>
          <t>6</t>
        </is>
      </c>
      <c r="B17" s="323" t="inlineStr">
        <is>
          <t>Lịch broadcast tuần</t>
        </is>
      </c>
      <c r="C17" s="323" t="inlineStr">
        <is>
          <t>Thứ 3: Tour invite | Thứ 6: Ưu đãi/content | Trước webinar: Reminder</t>
        </is>
      </c>
      <c r="D17" s="323" t="inlineStr">
        <is>
          <t>Tuần 1</t>
        </is>
      </c>
      <c r="E17" s="323" t="inlineStr">
        <is>
          <t>☐</t>
        </is>
      </c>
    </row>
    <row r="18" ht="23.25" customHeight="1" s="248">
      <c r="A18" s="321" t="inlineStr">
        <is>
          <t>7</t>
        </is>
      </c>
      <c r="B18" s="321" t="inlineStr">
        <is>
          <t>Cài Zalo Pixel qua GTM</t>
        </is>
      </c>
      <c r="C18" s="321" t="inlineStr">
        <is>
          <t>Custom HTML tag trong GTM | Events: PageView, Lead, Form</t>
        </is>
      </c>
      <c r="D18" s="321" t="inlineStr">
        <is>
          <t>Ngày 2</t>
        </is>
      </c>
      <c r="E18" s="321" t="inlineStr">
        <is>
          <t>☐</t>
        </is>
      </c>
    </row>
    <row r="20" ht="15" customHeight="1" s="248">
      <c r="A20" s="253" t="inlineStr">
        <is>
          <t>C. CHIẾN LƯỢC CONTENT ZALO OA – 8 MẪU BROADCAST</t>
        </is>
      </c>
    </row>
    <row r="21" ht="15" customHeight="1" s="248">
      <c r="A21" s="250" t="inlineStr">
        <is>
          <t>#</t>
        </is>
      </c>
      <c r="B21" s="250" t="inlineStr">
        <is>
          <t>Template Name</t>
        </is>
      </c>
      <c r="C21" s="250" t="inlineStr">
        <is>
          <t>Mục đích</t>
        </is>
      </c>
      <c r="D21" s="250" t="inlineStr">
        <is>
          <t>Nội dung mẫu</t>
        </is>
      </c>
      <c r="E21" s="250" t="inlineStr">
        <is>
          <t>CTA</t>
        </is>
      </c>
      <c r="F21" s="250" t="inlineStr">
        <is>
          <t>Segment gửi</t>
        </is>
      </c>
      <c r="G21" s="250" t="inlineStr">
        <is>
          <t>Tần suất</t>
        </is>
      </c>
      <c r="H21" s="250" t="inlineStr">
        <is>
          <t>GHL Trigger</t>
        </is>
      </c>
      <c r="I21" s="250" t="inlineStr">
        <is>
          <t>KPI</t>
        </is>
      </c>
    </row>
    <row r="22" ht="57.45" customHeight="1" s="248">
      <c r="A22" s="251" t="n">
        <v>1</v>
      </c>
      <c r="B22" s="251" t="inlineStr">
        <is>
          <t>Welcome Message</t>
        </is>
      </c>
      <c r="C22" s="251" t="inlineStr">
        <is>
          <t>Chào đón lead mới</t>
        </is>
      </c>
      <c r="D22" s="251" t="inlineStr">
        <is>
          <t>Chào [Tên]! Cảm ơn bạn quan tâm Trường Việt Anh. Chúng tôi có MN, TH, THCS, THPT tại 8 cơ sở. Nhấn menu để tìm hiểu thêm!</t>
        </is>
      </c>
      <c r="E22" s="251" t="inlineStr">
        <is>
          <t>Chọn cấp học quan tâm</t>
        </is>
      </c>
      <c r="F22" s="251" t="inlineStr">
        <is>
          <t>New OA follower</t>
        </is>
      </c>
      <c r="G22" s="251" t="inlineStr">
        <is>
          <t>Auto (khi follow)</t>
        </is>
      </c>
      <c r="H22" s="251" t="inlineStr">
        <is>
          <t>New contact → Welcome seq</t>
        </is>
      </c>
      <c r="I22" s="251" t="inlineStr">
        <is>
          <t>Reply rate ≥ 30%</t>
        </is>
      </c>
    </row>
    <row r="23" ht="46.25" customHeight="1" s="248">
      <c r="A23" s="252" t="n">
        <v>2</v>
      </c>
      <c r="B23" s="252" t="inlineStr">
        <is>
          <t>Tour Invitation</t>
        </is>
      </c>
      <c r="C23" s="252" t="inlineStr">
        <is>
          <t>Mời tham quan trường</t>
        </is>
      </c>
      <c r="D23" s="252" t="inlineStr">
        <is>
          <t>[Tên] ơi, cuối tuần này Việt Anh mở cửa đón PH tham quan. Cơ sở [Campus]: [Địa chỉ]. Đăng ký tour tại đây!</t>
        </is>
      </c>
      <c r="E23" s="252" t="inlineStr">
        <is>
          <t>Đăng ký tour ngay</t>
        </is>
      </c>
      <c r="F23" s="252" t="inlineStr">
        <is>
          <t>Lead chưa book tour</t>
        </is>
      </c>
      <c r="G23" s="252" t="inlineStr">
        <is>
          <t>2 lần/tuần (T3, T6)</t>
        </is>
      </c>
      <c r="H23" s="252" t="inlineStr">
        <is>
          <t>Lead &gt; 48h no tour</t>
        </is>
      </c>
      <c r="I23" s="252" t="inlineStr">
        <is>
          <t>Tour booked rate ≥ 8%</t>
        </is>
      </c>
    </row>
    <row r="24" ht="46.25" customHeight="1" s="248">
      <c r="A24" s="251" t="n">
        <v>3</v>
      </c>
      <c r="B24" s="251" t="inlineStr">
        <is>
          <t>Tour Reminder</t>
        </is>
      </c>
      <c r="C24" s="251" t="inlineStr">
        <is>
          <t>Nhắc lịch tour</t>
        </is>
      </c>
      <c r="D24" s="251" t="inlineStr">
        <is>
          <t>[Tên] ơi, lịch tham quan trường của bạn vào [Ngày] lúc [Giờ] tại [Campus]. Chúng tôi rất mong gặp bạn!</t>
        </is>
      </c>
      <c r="E24" s="251" t="inlineStr">
        <is>
          <t>Xác nhận tham dự</t>
        </is>
      </c>
      <c r="F24" s="251" t="inlineStr">
        <is>
          <t>Lead đã book tour</t>
        </is>
      </c>
      <c r="G24" s="251" t="inlineStr">
        <is>
          <t>Auto (48h + 2h trước)</t>
        </is>
      </c>
      <c r="H24" s="251" t="inlineStr">
        <is>
          <t>Tour booked trigger</t>
        </is>
      </c>
      <c r="I24" s="251" t="inlineStr">
        <is>
          <t>Show-up rate ≥ 70%</t>
        </is>
      </c>
    </row>
    <row r="25" ht="46.25" customHeight="1" s="248">
      <c r="A25" s="252" t="n">
        <v>4</v>
      </c>
      <c r="B25" s="252" t="inlineStr">
        <is>
          <t>Ưu đãi tuyển sinh</t>
        </is>
      </c>
      <c r="C25" s="252" t="inlineStr">
        <is>
          <t>Push ưu đãi/học bổng</t>
        </is>
      </c>
      <c r="D25" s="252" t="inlineStr">
        <is>
          <t>Tin vui! Việt Anh dành ưu đãi [%] cho hồ sơ nộp trước [Deadline]. Áp dụng [Cấp]. Liên hệ ngay!</t>
        </is>
      </c>
      <c r="E25" s="252" t="inlineStr">
        <is>
          <t>Nhận ưu đãi ngay</t>
        </is>
      </c>
      <c r="F25" s="252" t="inlineStr">
        <is>
          <t>Lead qualified chưa enroll</t>
        </is>
      </c>
      <c r="G25" s="252" t="inlineStr">
        <is>
          <t>1-2 lần/tháng</t>
        </is>
      </c>
      <c r="H25" s="252" t="inlineStr">
        <is>
          <t>Manual schedule</t>
        </is>
      </c>
      <c r="I25" s="252" t="inlineStr">
        <is>
          <t>CTR ≥ 5%</t>
        </is>
      </c>
    </row>
    <row r="26" ht="35.05" customHeight="1" s="248">
      <c r="A26" s="251" t="n">
        <v>5</v>
      </c>
      <c r="B26" s="251" t="inlineStr">
        <is>
          <t>Webinar Invitation</t>
        </is>
      </c>
      <c r="C26" s="251" t="inlineStr">
        <is>
          <t>Mời dự hội thảo online</t>
        </is>
      </c>
      <c r="D26" s="251" t="inlineStr">
        <is>
          <t>Hội thảo "[Tên WB]" – [Ngày] lúc [Giờ]. Chủ đề: [Topic]. Đăng ký miễn phí ngay!</t>
        </is>
      </c>
      <c r="E26" s="251" t="inlineStr">
        <is>
          <t>Đăng ký webinar</t>
        </is>
      </c>
      <c r="F26" s="251" t="inlineStr">
        <is>
          <t>Lead theo cấp phù hợp</t>
        </is>
      </c>
      <c r="G26" s="251" t="inlineStr">
        <is>
          <t>Trước WB 7 ngày + 2 ngày</t>
        </is>
      </c>
      <c r="H26" s="251" t="inlineStr">
        <is>
          <t>Manual + GHL</t>
        </is>
      </c>
      <c r="I26" s="251" t="inlineStr">
        <is>
          <t>Reg rate ≥ 5%</t>
        </is>
      </c>
    </row>
    <row r="27" ht="46.25" customHeight="1" s="248">
      <c r="A27" s="252" t="n">
        <v>6</v>
      </c>
      <c r="B27" s="252" t="inlineStr">
        <is>
          <t>Scholarship Alert</t>
        </is>
      </c>
      <c r="C27" s="252" t="inlineStr">
        <is>
          <t>Thông báo học bổng</t>
        </is>
      </c>
      <c r="D27" s="252" t="inlineStr">
        <is>
          <t>Chương trình học bổng [Cấp] 2026 đã mở đăng ký! Giá trị đến [X]%. Deadline: [Ngày]. Đăng ký thi ngay!</t>
        </is>
      </c>
      <c r="E27" s="252" t="inlineStr">
        <is>
          <t>Đăng ký thi HB</t>
        </is>
      </c>
      <c r="F27" s="252" t="inlineStr">
        <is>
          <t>THCS/THPT leads</t>
        </is>
      </c>
      <c r="G27" s="252" t="inlineStr">
        <is>
          <t>1 lần/tháng</t>
        </is>
      </c>
      <c r="H27" s="252" t="inlineStr">
        <is>
          <t>Manual</t>
        </is>
      </c>
      <c r="I27" s="252" t="inlineStr">
        <is>
          <t>Reg rate ≥ 8%</t>
        </is>
      </c>
    </row>
    <row r="28" ht="57.45" customHeight="1" s="248">
      <c r="A28" s="251" t="n">
        <v>7</v>
      </c>
      <c r="B28" s="251" t="inlineStr">
        <is>
          <t>Thank You / Post-tour</t>
        </is>
      </c>
      <c r="C28" s="251" t="inlineStr">
        <is>
          <t>Cảm ơn sau tour</t>
        </is>
      </c>
      <c r="D28" s="251" t="inlineStr">
        <is>
          <t>Cảm ơn [Tên] đã đến tham quan Việt Anh! Hy vọng bạn ấn tượng. Nếu cần thêm thông tin, nhắn ngay cho chúng tôi.</t>
        </is>
      </c>
      <c r="E28" s="251" t="inlineStr">
        <is>
          <t>Nộp hồ sơ ngay</t>
        </is>
      </c>
      <c r="F28" s="251" t="inlineStr">
        <is>
          <t>Lead đã tour</t>
        </is>
      </c>
      <c r="G28" s="251" t="inlineStr">
        <is>
          <t>Auto (2h sau tour)</t>
        </is>
      </c>
      <c r="H28" s="251" t="inlineStr">
        <is>
          <t>Tour completed trigger</t>
        </is>
      </c>
      <c r="I28" s="251" t="inlineStr">
        <is>
          <t>Reply rate ≥ 20%</t>
        </is>
      </c>
    </row>
    <row r="29" ht="46.25" customHeight="1" s="248">
      <c r="A29" s="252" t="n">
        <v>8</v>
      </c>
      <c r="B29" s="252" t="inlineStr">
        <is>
          <t>Re-engage / Win-back</t>
        </is>
      </c>
      <c r="C29" s="252" t="inlineStr">
        <is>
          <t>Kích hoạt lại lead cũ</t>
        </is>
      </c>
      <c r="D29" s="252" t="inlineStr">
        <is>
          <t>[Tên] ơi, Việt Anh vẫn còn chỗ cho [Cấp]. Ưu đãi đặc biệt cho PH quay lại. Hẹn gặp bạn tuần này!</t>
        </is>
      </c>
      <c r="E29" s="252" t="inlineStr">
        <is>
          <t>Đặt lịch lại</t>
        </is>
      </c>
      <c r="F29" s="252" t="inlineStr">
        <is>
          <t>Lead lost &gt; 30 ngày</t>
        </is>
      </c>
      <c r="G29" s="252" t="inlineStr">
        <is>
          <t>1 lần/tháng</t>
        </is>
      </c>
      <c r="H29" s="252" t="inlineStr">
        <is>
          <t>Lost 30d trigger</t>
        </is>
      </c>
      <c r="I29" s="252" t="inlineStr">
        <is>
          <t>Reactivation ≥ 3%</t>
        </is>
      </c>
    </row>
    <row r="32" ht="15" customHeight="1" s="248">
      <c r="A32" s="253" t="inlineStr">
        <is>
          <t>D. LỊCH BROADCAST ZALO OA HÀNG TUẦN</t>
        </is>
      </c>
    </row>
    <row r="33" ht="15" customHeight="1" s="248">
      <c r="A33" s="250" t="inlineStr">
        <is>
          <t>Ngày</t>
        </is>
      </c>
      <c r="B33" s="250" t="inlineStr">
        <is>
          <t>Giờ gửi</t>
        </is>
      </c>
      <c r="C33" s="250" t="inlineStr">
        <is>
          <t>Template</t>
        </is>
      </c>
      <c r="D33" s="250" t="inlineStr">
        <is>
          <t>Segment</t>
        </is>
      </c>
      <c r="E33" s="250" t="inlineStr">
        <is>
          <t>Nội dung tóm tắt</t>
        </is>
      </c>
      <c r="F33" s="250" t="inlineStr">
        <is>
          <t>KPI</t>
        </is>
      </c>
      <c r="G33" s="250" t="inlineStr">
        <is>
          <t>Ghi chú</t>
        </is>
      </c>
    </row>
    <row r="34" ht="23.85" customHeight="1" s="248">
      <c r="A34" s="251" t="inlineStr">
        <is>
          <t>Thứ 3</t>
        </is>
      </c>
      <c r="B34" s="251" t="inlineStr">
        <is>
          <t>10:00</t>
        </is>
      </c>
      <c r="C34" s="251" t="inlineStr">
        <is>
          <t>Tour Invitation</t>
        </is>
      </c>
      <c r="D34" s="251" t="inlineStr">
        <is>
          <t>Lead chưa tour + campus tương ứng</t>
        </is>
      </c>
      <c r="E34" s="251" t="inlineStr">
        <is>
          <t>Mời tour cuối tuần | Cơ sở phù hợp</t>
        </is>
      </c>
      <c r="F34" s="251" t="inlineStr">
        <is>
          <t>Open ≥ 40%, CTR ≥ 5%</t>
        </is>
      </c>
      <c r="G34" s="251" t="inlineStr">
        <is>
          <t>Segment theo campus, cấp</t>
        </is>
      </c>
    </row>
    <row r="35" ht="23.85" customHeight="1" s="248">
      <c r="A35" s="252" t="inlineStr">
        <is>
          <t>Thứ 5</t>
        </is>
      </c>
      <c r="B35" s="252" t="inlineStr">
        <is>
          <t>14:00</t>
        </is>
      </c>
      <c r="C35" s="252" t="inlineStr">
        <is>
          <t>Ưu đãi / Webinar</t>
        </is>
      </c>
      <c r="D35" s="252" t="inlineStr">
        <is>
          <t>Tất cả lead active</t>
        </is>
      </c>
      <c r="E35" s="252" t="inlineStr">
        <is>
          <t>Ưu đãi tuần hoặc reminder webinar</t>
        </is>
      </c>
      <c r="F35" s="252" t="inlineStr">
        <is>
          <t>Open ≥ 35%, CTR ≥ 4%</t>
        </is>
      </c>
      <c r="G35" s="252" t="inlineStr">
        <is>
          <t>Tuần có WB → WB invite</t>
        </is>
      </c>
    </row>
    <row r="36" ht="23.85" customHeight="1" s="248">
      <c r="A36" s="251" t="inlineStr">
        <is>
          <t>Thứ 6</t>
        </is>
      </c>
      <c r="B36" s="251" t="inlineStr">
        <is>
          <t>09:00</t>
        </is>
      </c>
      <c r="C36" s="251" t="inlineStr">
        <is>
          <t>Tour Reminder</t>
        </is>
      </c>
      <c r="D36" s="251" t="inlineStr">
        <is>
          <t>Lead đã book tour T7/CN</t>
        </is>
      </c>
      <c r="E36" s="251" t="inlineStr">
        <is>
          <t>Nhắc tour cuối tuần + địa chỉ + parking</t>
        </is>
      </c>
      <c r="F36" s="251" t="inlineStr">
        <is>
          <t>Open ≥ 60%</t>
        </is>
      </c>
      <c r="G36" s="251" t="inlineStr">
        <is>
          <t>Auto từ GHL</t>
        </is>
      </c>
    </row>
    <row r="37" ht="23.85" customHeight="1" s="248">
      <c r="A37" s="252" t="inlineStr">
        <is>
          <t>Thứ 7</t>
        </is>
      </c>
      <c r="B37" s="252" t="inlineStr">
        <is>
          <t>08:00</t>
        </is>
      </c>
      <c r="C37" s="252" t="inlineStr">
        <is>
          <t>Tour Reminder 2h</t>
        </is>
      </c>
      <c r="D37" s="252" t="inlineStr">
        <is>
          <t>Lead tour hôm nay</t>
        </is>
      </c>
      <c r="E37" s="252" t="inlineStr">
        <is>
          <t>Nhắc tour sáng nay + SĐT liên hệ</t>
        </is>
      </c>
      <c r="F37" s="252" t="inlineStr">
        <is>
          <t>Open ≥ 70%</t>
        </is>
      </c>
      <c r="G37" s="252" t="inlineStr">
        <is>
          <t>Auto từ GHL</t>
        </is>
      </c>
    </row>
    <row r="38" ht="23.85" customHeight="1" s="248">
      <c r="A38" s="251" t="inlineStr">
        <is>
          <t>Cuối tháng</t>
        </is>
      </c>
      <c r="B38" s="251" t="inlineStr">
        <is>
          <t>10:00</t>
        </is>
      </c>
      <c r="C38" s="251" t="inlineStr">
        <is>
          <t>Scholarship / Deadline</t>
        </is>
      </c>
      <c r="D38" s="251" t="inlineStr">
        <is>
          <t>Lead qualified THCS/THPT</t>
        </is>
      </c>
      <c r="E38" s="251" t="inlineStr">
        <is>
          <t>Deadline ưu đãi, học bổng sắp hết</t>
        </is>
      </c>
      <c r="F38" s="251" t="inlineStr">
        <is>
          <t>CTR ≥ 6%</t>
        </is>
      </c>
      <c r="G38" s="251" t="inlineStr">
        <is>
          <t>1 lần/tháng</t>
        </is>
      </c>
    </row>
    <row r="39" ht="23.85" customHeight="1" s="248">
      <c r="A39" s="252" t="inlineStr">
        <is>
          <t>Đầu tháng</t>
        </is>
      </c>
      <c r="B39" s="252" t="inlineStr">
        <is>
          <t>10:00</t>
        </is>
      </c>
      <c r="C39" s="252" t="inlineStr">
        <is>
          <t>Re-engage</t>
        </is>
      </c>
      <c r="D39" s="252" t="inlineStr">
        <is>
          <t>Lost leads &gt; 30 ngày</t>
        </is>
      </c>
      <c r="E39" s="252" t="inlineStr">
        <is>
          <t>Win-back message + ưu đãi quay lại</t>
        </is>
      </c>
      <c r="F39" s="252" t="inlineStr">
        <is>
          <t>Reactivation ≥ 3%</t>
        </is>
      </c>
      <c r="G39" s="252" t="inlineStr">
        <is>
          <t>Monthly, manual approval</t>
        </is>
      </c>
    </row>
    <row r="42" ht="15" customHeight="1" s="248">
      <c r="A42" s="253" t="inlineStr">
        <is>
          <t>E. ZALO ADS – CHI TIẾT AUDIENCE &amp; CREATIVE THEO CHIẾN DỊCH</t>
        </is>
      </c>
    </row>
    <row r="43" ht="15" customHeight="1" s="248">
      <c r="A43" s="250" t="inlineStr">
        <is>
          <t>Campaign</t>
        </is>
      </c>
      <c r="B43" s="250" t="inlineStr">
        <is>
          <t>Audience Size est.</t>
        </is>
      </c>
      <c r="C43" s="250" t="inlineStr">
        <is>
          <t>Detailed Targeting</t>
        </is>
      </c>
      <c r="D43" s="250" t="inlineStr">
        <is>
          <t>Placement</t>
        </is>
      </c>
      <c r="E43" s="250" t="inlineStr">
        <is>
          <t>Creative Type</t>
        </is>
      </c>
      <c r="F43" s="250" t="inlineStr">
        <is>
          <t>Số lượng creative</t>
        </is>
      </c>
      <c r="G43" s="250" t="inlineStr">
        <is>
          <t>A/B Test</t>
        </is>
      </c>
      <c r="H43" s="250" t="inlineStr">
        <is>
          <t>Daily Budget</t>
        </is>
      </c>
      <c r="I43" s="250" t="inlineStr">
        <is>
          <t>Optimization Goal</t>
        </is>
      </c>
      <c r="J43" s="250" t="inlineStr">
        <is>
          <t>Tracking</t>
        </is>
      </c>
    </row>
    <row r="44" ht="46.25" customHeight="1" s="248">
      <c r="A44" s="251" t="inlineStr">
        <is>
          <t>Zalo_MN_Local</t>
        </is>
      </c>
      <c r="B44" s="251" t="inlineStr">
        <is>
          <t>150,000-300,000</t>
        </is>
      </c>
      <c r="C44" s="251" t="inlineStr">
        <is>
          <t>Geo: Gò Vấp 5km + Cần Giuộc + Rạch Giá | Age 25-40 | Female 85% | Interest: Parenting, Baby, Preschool</t>
        </is>
      </c>
      <c r="D44" s="251" t="inlineStr">
        <is>
          <t>Zalo Feed + Article</t>
        </is>
      </c>
      <c r="E44" s="251" t="inlineStr">
        <is>
          <t>Image card + Short text</t>
        </is>
      </c>
      <c r="F44" s="251" t="inlineStr">
        <is>
          <t>5 image + 3 article</t>
        </is>
      </c>
      <c r="G44" s="251" t="inlineStr">
        <is>
          <t>Test 2 headline, 2 image</t>
        </is>
      </c>
      <c r="H44" s="251">
        <f>0.07*8500000000*0.35/6/30</f>
        <v/>
      </c>
      <c r="I44" s="251" t="inlineStr">
        <is>
          <t>Click to OA / Lead form</t>
        </is>
      </c>
      <c r="J44" s="251" t="inlineStr">
        <is>
          <t>Zalo Pixel + UTM → GA4</t>
        </is>
      </c>
    </row>
    <row r="45" ht="35.05" customHeight="1" s="248">
      <c r="A45" s="252" t="inlineStr">
        <is>
          <t>Zalo_TH_Local</t>
        </is>
      </c>
      <c r="B45" s="252" t="inlineStr">
        <is>
          <t>200,000-400,000</t>
        </is>
      </c>
      <c r="C45" s="252" t="inlineStr">
        <is>
          <t>Geo: Gò Vấp + Bình Tân + Tỉnh | Age 28-45 | Parents | Interest: Education, School</t>
        </is>
      </c>
      <c r="D45" s="252" t="inlineStr">
        <is>
          <t>Zalo Feed + Article</t>
        </is>
      </c>
      <c r="E45" s="252" t="inlineStr">
        <is>
          <t>Image card + Carousel</t>
        </is>
      </c>
      <c r="F45" s="252" t="inlineStr">
        <is>
          <t>4 image + 2 carousel</t>
        </is>
      </c>
      <c r="G45" s="252" t="inlineStr">
        <is>
          <t>Test headline + CTA</t>
        </is>
      </c>
      <c r="H45" s="252">
        <f>0.07*8500000000*0.25/6/30</f>
        <v/>
      </c>
      <c r="I45" s="252" t="inlineStr">
        <is>
          <t>Click to OA / Lead form</t>
        </is>
      </c>
      <c r="J45" s="252" t="inlineStr">
        <is>
          <t>Zalo Pixel + UTM → GA4</t>
        </is>
      </c>
    </row>
    <row r="46" ht="35.05" customHeight="1" s="248">
      <c r="A46" s="251" t="inlineStr">
        <is>
          <t>Zalo_THCS_THPT</t>
        </is>
      </c>
      <c r="B46" s="251" t="inlineStr">
        <is>
          <t>300,000-500,000</t>
        </is>
      </c>
      <c r="C46" s="251" t="inlineStr">
        <is>
          <t>Geo: TP.HCM rộng | Age 30-55 | Interest: Education, University prep, Scholarship</t>
        </is>
      </c>
      <c r="D46" s="251" t="inlineStr">
        <is>
          <t>Zalo Feed + Article + Banner</t>
        </is>
      </c>
      <c r="E46" s="251" t="inlineStr">
        <is>
          <t>Image + Video teaser 15s</t>
        </is>
      </c>
      <c r="F46" s="251" t="inlineStr">
        <is>
          <t>4 image + 2 video + 2 article</t>
        </is>
      </c>
      <c r="G46" s="251" t="inlineStr">
        <is>
          <t>Test video vs image</t>
        </is>
      </c>
      <c r="H46" s="251">
        <f>0.07*8500000000*0.2/6/30</f>
        <v/>
      </c>
      <c r="I46" s="251" t="inlineStr">
        <is>
          <t>Lead form / Webinar reg</t>
        </is>
      </c>
      <c r="J46" s="251" t="inlineStr">
        <is>
          <t>Zalo Pixel + UTM → GA4</t>
        </is>
      </c>
    </row>
    <row r="47" ht="35.05" customHeight="1" s="248">
      <c r="A47" s="252" t="inlineStr">
        <is>
          <t>Zalo_Remarketing</t>
        </is>
      </c>
      <c r="B47" s="252" t="inlineStr">
        <is>
          <t>50,000-100,000</t>
        </is>
      </c>
      <c r="C47" s="252" t="inlineStr">
        <is>
          <t>OA followers + Website pixel visitors | All ages | Exclude enrolled</t>
        </is>
      </c>
      <c r="D47" s="252" t="inlineStr">
        <is>
          <t>Zalo Feed + Push notification</t>
        </is>
      </c>
      <c r="E47" s="252" t="inlineStr">
        <is>
          <t>Countdown + Ưu đãi + Tour reminder</t>
        </is>
      </c>
      <c r="F47" s="252" t="inlineStr">
        <is>
          <t>3 countdown + 2 offer</t>
        </is>
      </c>
      <c r="G47" s="252" t="inlineStr">
        <is>
          <t>Test urgency vs benefit</t>
        </is>
      </c>
      <c r="H47" s="252">
        <f>0.07*8500000000*0.2/6/30</f>
        <v/>
      </c>
      <c r="I47" s="252" t="inlineStr">
        <is>
          <t>Conversion / Tour booked</t>
        </is>
      </c>
      <c r="J47" s="252" t="inlineStr">
        <is>
          <t>Zalo Pixel + GHL sync</t>
        </is>
      </c>
    </row>
    <row r="50" ht="15" customHeight="1" s="248">
      <c r="A50" s="253" t="inlineStr">
        <is>
          <t>F. ZALO OA AUTO-REPLY MENU CHI TIẾT</t>
        </is>
      </c>
    </row>
    <row r="51" ht="15" customHeight="1" s="248">
      <c r="A51" s="250" t="inlineStr">
        <is>
          <t>Menu Level 1</t>
        </is>
      </c>
      <c r="B51" s="250" t="inlineStr">
        <is>
          <t>Menu Level 2</t>
        </is>
      </c>
      <c r="C51" s="250" t="inlineStr">
        <is>
          <t>Auto-reply Content</t>
        </is>
      </c>
      <c r="D51" s="250" t="inlineStr">
        <is>
          <t>GHL Action</t>
        </is>
      </c>
      <c r="E51" s="250" t="inlineStr">
        <is>
          <t>Next Step</t>
        </is>
      </c>
    </row>
    <row r="52" ht="57.45" customHeight="1" s="248">
      <c r="A52" s="251" t="inlineStr">
        <is>
          <t>📚 Tư vấn Mầm non</t>
        </is>
      </c>
      <c r="B52" s="251" t="inlineStr">
        <is>
          <t>-</t>
        </is>
      </c>
      <c r="C52" s="251" t="inlineStr">
        <is>
          <t>Cảm ơn bạn! MN Việt Anh có 4 cơ sở: GV, Nhân Lễ, Thái Sơn, Mekong Xanh. Bạn muốn tìm hiểu cơ sở nào?</t>
        </is>
      </c>
      <c r="D52" s="251" t="inlineStr">
        <is>
          <t>Tag: grade_mn + Assign sales</t>
        </is>
      </c>
      <c r="E52" s="251" t="inlineStr">
        <is>
          <t>Chọn cơ sở → Info + Book tour</t>
        </is>
      </c>
    </row>
    <row r="53" ht="46.25" customHeight="1" s="248">
      <c r="A53" s="252" t="inlineStr">
        <is>
          <t>📖 Tư vấn Tiểu học</t>
        </is>
      </c>
      <c r="B53" s="252" t="inlineStr">
        <is>
          <t>-</t>
        </is>
      </c>
      <c r="C53" s="252" t="inlineStr">
        <is>
          <t>TH Việt Anh có tại: Gò Vấp, Bình Tân, Thái Sơn, Mekong Xanh. Song ngữ từ lớp 1. Bạn quan tâm cơ sở nào?</t>
        </is>
      </c>
      <c r="D53" s="252" t="inlineStr">
        <is>
          <t>Tag: grade_th + Assign sales</t>
        </is>
      </c>
      <c r="E53" s="252" t="inlineStr">
        <is>
          <t>Chọn cơ sở → Info + Book tour</t>
        </is>
      </c>
    </row>
    <row r="54" ht="46.25" customHeight="1" s="248">
      <c r="A54" s="251" t="inlineStr">
        <is>
          <t>🎓 Tư vấn THCS</t>
        </is>
      </c>
      <c r="B54" s="251" t="inlineStr">
        <is>
          <t>-</t>
        </is>
      </c>
      <c r="C54" s="251" t="inlineStr">
        <is>
          <t>THCS Việt Anh tại Gò Vấp. Lộ trình 6→12 liên cấp, GV chủ nhiệm theo sát. Để lại SĐT để được tư vấn chi tiết!</t>
        </is>
      </c>
      <c r="D54" s="251" t="inlineStr">
        <is>
          <t>Tag: grade_thcs + Create contact</t>
        </is>
      </c>
      <c r="E54" s="251" t="inlineStr">
        <is>
          <t>Sales gọi lại &lt; 5 phút</t>
        </is>
      </c>
    </row>
    <row r="55" ht="46.25" customHeight="1" s="248">
      <c r="A55" s="252" t="inlineStr">
        <is>
          <t>🏫 Tư vấn THPT</t>
        </is>
      </c>
      <c r="B55" s="252" t="inlineStr">
        <is>
          <t>-</t>
        </is>
      </c>
      <c r="C55" s="252" t="inlineStr">
        <is>
          <t>THPT Việt Anh Gò Vấp. Học bổng đến 100%, đầu ra ĐH top. Để lại SĐT hoặc nhấn "Đăng ký thi học bổng"!</t>
        </is>
      </c>
      <c r="D55" s="252" t="inlineStr">
        <is>
          <t>Tag: grade_thpt + Create contact</t>
        </is>
      </c>
      <c r="E55" s="252" t="inlineStr">
        <is>
          <t>Sales gọi + Gửi brochure</t>
        </is>
      </c>
    </row>
    <row r="56" ht="46.25" customHeight="1" s="248">
      <c r="A56" s="251" t="inlineStr">
        <is>
          <t>💰 Học phí</t>
        </is>
      </c>
      <c r="B56" s="251" t="inlineStr">
        <is>
          <t>-</t>
        </is>
      </c>
      <c r="C56" s="251" t="inlineStr">
        <is>
          <t>Học phí Việt Anh dao động theo cấp và cơ sở. Nhấn cấp học để xem chi tiết hoặc liên hệ hotline 0916 961 409.</t>
        </is>
      </c>
      <c r="D56" s="251" t="inlineStr">
        <is>
          <t>Tag: fee_inquiry + Hot lead</t>
        </is>
      </c>
      <c r="E56" s="251" t="inlineStr">
        <is>
          <t>Gửi bảng phí → Book tour</t>
        </is>
      </c>
    </row>
    <row r="57" ht="35.05" customHeight="1" s="248">
      <c r="A57" s="252" t="inlineStr">
        <is>
          <t>📅 Đặt lịch Tour</t>
        </is>
      </c>
      <c r="B57" s="252" t="inlineStr">
        <is>
          <t>-</t>
        </is>
      </c>
      <c r="C57" s="252" t="inlineStr">
        <is>
          <t>Tuyệt vời! Chọn cơ sở và thời gian phù hợp. Chúng tôi sẽ xác nhận ngay!</t>
        </is>
      </c>
      <c r="D57" s="252" t="inlineStr">
        <is>
          <t>Create appointment in GHL</t>
        </is>
      </c>
      <c r="E57" s="252" t="inlineStr">
        <is>
          <t>Confirm SMS + Zalo 2h trước</t>
        </is>
      </c>
    </row>
    <row r="58" ht="35.05" customHeight="1" s="248">
      <c r="A58" s="251" t="inlineStr">
        <is>
          <t>📞 Gọi Hotline</t>
        </is>
      </c>
      <c r="B58" s="251" t="inlineStr">
        <is>
          <t>-</t>
        </is>
      </c>
      <c r="C58" s="251" t="inlineStr">
        <is>
          <t>Hotline: 0916 961 409 (tất cả cơ sở). Giờ tư vấn: 7:30-17:30 T2-T7, 8:00-12:00 CN.</t>
        </is>
      </c>
      <c r="D58" s="251" t="inlineStr">
        <is>
          <t>Log call_intent</t>
        </is>
      </c>
      <c r="E58" s="251" t="inlineStr">
        <is>
          <t>Track click_call</t>
        </is>
      </c>
    </row>
    <row r="59" ht="35.05" customHeight="1" s="248">
      <c r="A59" s="252" t="inlineStr">
        <is>
          <t>🎯 Hội thảo/Webinar</t>
        </is>
      </c>
      <c r="B59" s="252" t="inlineStr">
        <is>
          <t>-</t>
        </is>
      </c>
      <c r="C59" s="252" t="inlineStr">
        <is>
          <t>Hội thảo miễn phí sắp tới: [Tên WB] ngày [Date]. Đăng ký ngay!</t>
        </is>
      </c>
      <c r="D59" s="252" t="inlineStr">
        <is>
          <t>Tag: webinar_interest</t>
        </is>
      </c>
      <c r="E59" s="252" t="inlineStr">
        <is>
          <t>Gửi link đăng ký WB</t>
        </is>
      </c>
    </row>
    <row r="62">
      <c r="A62" s="534" t="inlineStr">
        <is>
          <t>ZALO ADS CAMPAIGNS THEO PHỄU</t>
        </is>
      </c>
      <c r="B62" s="535" t="n"/>
      <c r="C62" s="535" t="n"/>
      <c r="D62" s="535" t="n"/>
      <c r="E62" s="535" t="n"/>
      <c r="F62" s="535" t="n"/>
      <c r="G62" s="535" t="n"/>
      <c r="H62" s="536" t="n"/>
    </row>
    <row r="63">
      <c r="A63" s="495" t="inlineStr">
        <is>
          <t>Loại Ads</t>
        </is>
      </c>
      <c r="B63" s="495" t="inlineStr">
        <is>
          <t>Cấp Học</t>
        </is>
      </c>
      <c r="C63" s="495" t="inlineStr">
        <is>
          <t>Tiêu Đề Article</t>
        </is>
      </c>
      <c r="D63" s="495" t="inlineStr">
        <is>
          <t>Thumbnail URL</t>
        </is>
      </c>
      <c r="E63" s="495" t="inlineStr">
        <is>
          <t>Target Audience</t>
        </is>
      </c>
      <c r="F63" s="495" t="inlineStr">
        <is>
          <t>Landing Page</t>
        </is>
      </c>
      <c r="G63" s="495" t="inlineStr">
        <is>
          <t>Budget/Tháng</t>
        </is>
      </c>
      <c r="H63" s="495" t="inlineStr">
        <is>
          <t>Ghi Chú</t>
        </is>
      </c>
    </row>
    <row r="64">
      <c r="A64" s="507" t="inlineStr">
        <is>
          <t>Zalo Article Ads</t>
        </is>
      </c>
      <c r="B64" s="507" t="inlineStr">
        <is>
          <t>Mầm Non</t>
        </is>
      </c>
      <c r="C64" s="507" t="inlineStr">
        <is>
          <t>Tại sao chọn trường Mầm Non Trường Việt Anh?</t>
        </is>
      </c>
      <c r="D64" s="507" t="inlineStr">
        <is>
          <t>https://example.com/zalo-MN.jpg</t>
        </is>
      </c>
      <c r="E64" s="507" t="inlineStr">
        <is>
          <t>Phụ huynh có con MN, tuổi 3-18, tại Tp.HCM</t>
        </is>
      </c>
      <c r="F64" s="507" t="inlineStr">
        <is>
          <t>forms.truongvietanh.com/zalo-mn</t>
        </is>
      </c>
      <c r="G64" s="507" t="inlineStr">
        <is>
          <t>2,000,000 VND</t>
        </is>
      </c>
      <c r="H64" s="507" t="inlineStr">
        <is>
          <t>Focus: Mầm Non</t>
        </is>
      </c>
    </row>
    <row r="65">
      <c r="A65" s="507" t="inlineStr">
        <is>
          <t>Zalo Article Ads</t>
        </is>
      </c>
      <c r="B65" s="507" t="inlineStr">
        <is>
          <t>Tiểu Học</t>
        </is>
      </c>
      <c r="C65" s="507" t="inlineStr">
        <is>
          <t>Tại sao chọn trường Tiểu Học Trường Việt Anh?</t>
        </is>
      </c>
      <c r="D65" s="507" t="inlineStr">
        <is>
          <t>https://example.com/zalo-TH.jpg</t>
        </is>
      </c>
      <c r="E65" s="507" t="inlineStr">
        <is>
          <t>Phụ huynh có con TH, tuổi 3-18, tại Tp.HCM</t>
        </is>
      </c>
      <c r="F65" s="507" t="inlineStr">
        <is>
          <t>forms.truongvietanh.com/zalo-th</t>
        </is>
      </c>
      <c r="G65" s="507" t="inlineStr">
        <is>
          <t>2,000,000 VND</t>
        </is>
      </c>
      <c r="H65" s="507" t="inlineStr">
        <is>
          <t>Focus: Tiểu Học</t>
        </is>
      </c>
    </row>
    <row r="66">
      <c r="A66" s="507" t="inlineStr">
        <is>
          <t>Zalo Article Ads</t>
        </is>
      </c>
      <c r="B66" s="507" t="inlineStr">
        <is>
          <t>THCS</t>
        </is>
      </c>
      <c r="C66" s="507" t="inlineStr">
        <is>
          <t>Tại sao chọn trường THCS Trường Việt Anh?</t>
        </is>
      </c>
      <c r="D66" s="507" t="inlineStr">
        <is>
          <t>https://example.com/zalo-THCS.jpg</t>
        </is>
      </c>
      <c r="E66" s="507" t="inlineStr">
        <is>
          <t>Phụ huynh có con THCS, tuổi 3-18, tại Tp.HCM</t>
        </is>
      </c>
      <c r="F66" s="507" t="inlineStr">
        <is>
          <t>forms.truongvietanh.com/zalo-thcs</t>
        </is>
      </c>
      <c r="G66" s="507" t="inlineStr">
        <is>
          <t>2,000,000 VND</t>
        </is>
      </c>
      <c r="H66" s="507" t="inlineStr">
        <is>
          <t>Focus: THCS</t>
        </is>
      </c>
    </row>
    <row r="67">
      <c r="A67" s="507" t="inlineStr">
        <is>
          <t>Zalo Article Ads</t>
        </is>
      </c>
      <c r="B67" s="507" t="inlineStr">
        <is>
          <t>THPT</t>
        </is>
      </c>
      <c r="C67" s="507" t="inlineStr">
        <is>
          <t>Tại sao chọn trường THPT Trường Việt Anh?</t>
        </is>
      </c>
      <c r="D67" s="507" t="inlineStr">
        <is>
          <t>https://example.com/zalo-THPT.jpg</t>
        </is>
      </c>
      <c r="E67" s="507" t="inlineStr">
        <is>
          <t>Phụ huynh có con THPT, tuổi 3-18, tại Tp.HCM</t>
        </is>
      </c>
      <c r="F67" s="507" t="inlineStr">
        <is>
          <t>forms.truongvietanh.com/zalo-thpt</t>
        </is>
      </c>
      <c r="G67" s="507" t="inlineStr">
        <is>
          <t>2,000,000 VND</t>
        </is>
      </c>
      <c r="H67" s="507" t="inlineStr">
        <is>
          <t>Focus: THPT</t>
        </is>
      </c>
    </row>
    <row r="68">
      <c r="A68" s="507" t="inlineStr">
        <is>
          <t>Zalo OA Message Ads</t>
        </is>
      </c>
      <c r="B68" s="507" t="inlineStr">
        <is>
          <t>All</t>
        </is>
      </c>
      <c r="C68" s="507" t="inlineStr">
        <is>
          <t>Mở khóa học online miễn phí</t>
        </is>
      </c>
      <c r="D68" s="507" t="inlineStr">
        <is>
          <t>https://example.com/webinar.jpg</t>
        </is>
      </c>
      <c r="E68" s="507" t="inlineStr">
        <is>
          <t>Phụ huynh toàn quốc</t>
        </is>
      </c>
      <c r="F68" s="507" t="inlineStr">
        <is>
          <t>forms.truongvietanh.com/zalo-webinar</t>
        </is>
      </c>
      <c r="G68" s="507" t="inlineStr">
        <is>
          <t>1,500,000 VND</t>
        </is>
      </c>
      <c r="H68" s="507" t="inlineStr">
        <is>
          <t>Broadcast template</t>
        </is>
      </c>
    </row>
    <row r="69">
      <c r="A69" s="507" t="inlineStr">
        <is>
          <t>Zalo Display Ads</t>
        </is>
      </c>
      <c r="B69" s="507" t="inlineStr">
        <is>
          <t>Segment 1</t>
        </is>
      </c>
      <c r="C69" s="507" t="inlineStr">
        <is>
          <t>Khám phá môi trường học tập quốc tế</t>
        </is>
      </c>
      <c r="D69" s="507" t="inlineStr">
        <is>
          <t>https://example.com/display-1.jpg</t>
        </is>
      </c>
      <c r="E69" s="507" t="inlineStr">
        <is>
          <t>Audience segment 1</t>
        </is>
      </c>
      <c r="F69" s="507" t="inlineStr">
        <is>
          <t>forms.truongvietanh.com/zalo-display-1</t>
        </is>
      </c>
      <c r="G69" s="507" t="inlineStr">
        <is>
          <t>800,000 VND</t>
        </is>
      </c>
      <c r="H69" s="507" t="inlineStr">
        <is>
          <t>Week 1</t>
        </is>
      </c>
    </row>
    <row r="70">
      <c r="A70" s="507" t="inlineStr">
        <is>
          <t>Zalo Display Ads</t>
        </is>
      </c>
      <c r="B70" s="507" t="inlineStr">
        <is>
          <t>Segment 2</t>
        </is>
      </c>
      <c r="C70" s="507" t="inlineStr">
        <is>
          <t>Khám phá môi trường học tập quốc tế</t>
        </is>
      </c>
      <c r="D70" s="507" t="inlineStr">
        <is>
          <t>https://example.com/display-2.jpg</t>
        </is>
      </c>
      <c r="E70" s="507" t="inlineStr">
        <is>
          <t>Audience segment 2</t>
        </is>
      </c>
      <c r="F70" s="507" t="inlineStr">
        <is>
          <t>forms.truongvietanh.com/zalo-display-2</t>
        </is>
      </c>
      <c r="G70" s="507" t="inlineStr">
        <is>
          <t>800,000 VND</t>
        </is>
      </c>
      <c r="H70" s="507" t="inlineStr">
        <is>
          <t>Week 2</t>
        </is>
      </c>
    </row>
    <row r="71">
      <c r="A71" s="507" t="inlineStr">
        <is>
          <t>Zalo Display Ads</t>
        </is>
      </c>
      <c r="B71" s="507" t="inlineStr">
        <is>
          <t>Segment 3</t>
        </is>
      </c>
      <c r="C71" s="507" t="inlineStr">
        <is>
          <t>Khám phá môi trường học tập quốc tế</t>
        </is>
      </c>
      <c r="D71" s="507" t="inlineStr">
        <is>
          <t>https://example.com/display-3.jpg</t>
        </is>
      </c>
      <c r="E71" s="507" t="inlineStr">
        <is>
          <t>Audience segment 3</t>
        </is>
      </c>
      <c r="F71" s="507" t="inlineStr">
        <is>
          <t>forms.truongvietanh.com/zalo-display-3</t>
        </is>
      </c>
      <c r="G71" s="507" t="inlineStr">
        <is>
          <t>800,000 VND</t>
        </is>
      </c>
      <c r="H71" s="507" t="inlineStr">
        <is>
          <t>Week 3</t>
        </is>
      </c>
    </row>
    <row r="72">
      <c r="A72" s="507" t="inlineStr">
        <is>
          <t>Zalo Display Ads</t>
        </is>
      </c>
      <c r="B72" s="507" t="inlineStr">
        <is>
          <t>Segment 4</t>
        </is>
      </c>
      <c r="C72" s="507" t="inlineStr">
        <is>
          <t>Khám phá môi trường học tập quốc tế</t>
        </is>
      </c>
      <c r="D72" s="507" t="inlineStr">
        <is>
          <t>https://example.com/display-4.jpg</t>
        </is>
      </c>
      <c r="E72" s="507" t="inlineStr">
        <is>
          <t>Audience segment 4</t>
        </is>
      </c>
      <c r="F72" s="507" t="inlineStr">
        <is>
          <t>forms.truongvietanh.com/zalo-display-4</t>
        </is>
      </c>
      <c r="G72" s="507" t="inlineStr">
        <is>
          <t>800,000 VND</t>
        </is>
      </c>
      <c r="H72" s="507" t="inlineStr">
        <is>
          <t>Week 4</t>
        </is>
      </c>
    </row>
    <row r="73">
      <c r="A73" s="507" t="inlineStr">
        <is>
          <t>Zalo Display Ads</t>
        </is>
      </c>
      <c r="B73" s="507" t="inlineStr">
        <is>
          <t>Segment 5</t>
        </is>
      </c>
      <c r="C73" s="507" t="inlineStr">
        <is>
          <t>Khám phá môi trường học tập quốc tế</t>
        </is>
      </c>
      <c r="D73" s="507" t="inlineStr">
        <is>
          <t>https://example.com/display-5.jpg</t>
        </is>
      </c>
      <c r="E73" s="507" t="inlineStr">
        <is>
          <t>Audience segment 5</t>
        </is>
      </c>
      <c r="F73" s="507" t="inlineStr">
        <is>
          <t>forms.truongvietanh.com/zalo-display-5</t>
        </is>
      </c>
      <c r="G73" s="507" t="inlineStr">
        <is>
          <t>800,000 VND</t>
        </is>
      </c>
      <c r="H73" s="507" t="inlineStr">
        <is>
          <t>Week 5</t>
        </is>
      </c>
    </row>
    <row r="74">
      <c r="A74" s="507" t="inlineStr">
        <is>
          <t>Zalo Display Ads</t>
        </is>
      </c>
      <c r="B74" s="507" t="inlineStr">
        <is>
          <t>Segment 6</t>
        </is>
      </c>
      <c r="C74" s="507" t="inlineStr">
        <is>
          <t>Khám phá môi trường học tập quốc tế</t>
        </is>
      </c>
      <c r="D74" s="507" t="inlineStr">
        <is>
          <t>https://example.com/display-6.jpg</t>
        </is>
      </c>
      <c r="E74" s="507" t="inlineStr">
        <is>
          <t>Audience segment 6</t>
        </is>
      </c>
      <c r="F74" s="507" t="inlineStr">
        <is>
          <t>forms.truongvietanh.com/zalo-display-6</t>
        </is>
      </c>
      <c r="G74" s="507" t="inlineStr">
        <is>
          <t>800,000 VND</t>
        </is>
      </c>
      <c r="H74" s="507" t="inlineStr">
        <is>
          <t>Week 6</t>
        </is>
      </c>
    </row>
    <row r="75">
      <c r="A75" s="507" t="inlineStr">
        <is>
          <t>Zalo Display Ads</t>
        </is>
      </c>
      <c r="B75" s="507" t="inlineStr">
        <is>
          <t>Segment 7</t>
        </is>
      </c>
      <c r="C75" s="507" t="inlineStr">
        <is>
          <t>Khám phá môi trường học tập quốc tế</t>
        </is>
      </c>
      <c r="D75" s="507" t="inlineStr">
        <is>
          <t>https://example.com/display-7.jpg</t>
        </is>
      </c>
      <c r="E75" s="507" t="inlineStr">
        <is>
          <t>Audience segment 7</t>
        </is>
      </c>
      <c r="F75" s="507" t="inlineStr">
        <is>
          <t>forms.truongvietanh.com/zalo-display-7</t>
        </is>
      </c>
      <c r="G75" s="507" t="inlineStr">
        <is>
          <t>800,000 VND</t>
        </is>
      </c>
      <c r="H75" s="507" t="inlineStr">
        <is>
          <t>Week 7</t>
        </is>
      </c>
    </row>
    <row r="76">
      <c r="A76" s="507" t="inlineStr">
        <is>
          <t>Zalo Display Ads</t>
        </is>
      </c>
      <c r="B76" s="507" t="inlineStr">
        <is>
          <t>Segment 8</t>
        </is>
      </c>
      <c r="C76" s="507" t="inlineStr">
        <is>
          <t>Khám phá môi trường học tập quốc tế</t>
        </is>
      </c>
      <c r="D76" s="507" t="inlineStr">
        <is>
          <t>https://example.com/display-8.jpg</t>
        </is>
      </c>
      <c r="E76" s="507" t="inlineStr">
        <is>
          <t>Audience segment 8</t>
        </is>
      </c>
      <c r="F76" s="507" t="inlineStr">
        <is>
          <t>forms.truongvietanh.com/zalo-display-8</t>
        </is>
      </c>
      <c r="G76" s="507" t="inlineStr">
        <is>
          <t>800,000 VND</t>
        </is>
      </c>
      <c r="H76" s="507" t="inlineStr">
        <is>
          <t>Week 8</t>
        </is>
      </c>
    </row>
    <row r="78">
      <c r="A78" s="534" t="inlineStr">
        <is>
          <t>ZALO OA AUTOMATION WORKFLOWS</t>
        </is>
      </c>
      <c r="B78" s="535" t="n"/>
      <c r="C78" s="535" t="n"/>
      <c r="D78" s="535" t="n"/>
      <c r="E78" s="535" t="n"/>
      <c r="F78" s="535" t="n"/>
      <c r="G78" s="535" t="n"/>
      <c r="H78" s="536" t="n"/>
    </row>
    <row r="79">
      <c r="A79" s="495" t="inlineStr">
        <is>
          <t>Tên Workflow</t>
        </is>
      </c>
      <c r="B79" s="495" t="inlineStr">
        <is>
          <t>Trigger</t>
        </is>
      </c>
      <c r="C79" s="495" t="inlineStr">
        <is>
          <t>Số Message</t>
        </is>
      </c>
      <c r="D79" s="495" t="inlineStr">
        <is>
          <t>Timing</t>
        </is>
      </c>
      <c r="E79" s="495" t="inlineStr">
        <is>
          <t>CTA Button</t>
        </is>
      </c>
      <c r="F79" s="495" t="inlineStr">
        <is>
          <t>Landing Page</t>
        </is>
      </c>
      <c r="G79" s="495" t="inlineStr">
        <is>
          <t>Target KPI</t>
        </is>
      </c>
      <c r="H79" s="495" t="inlineStr">
        <is>
          <t>Status</t>
        </is>
      </c>
    </row>
    <row r="80">
      <c r="A80" s="507" t="inlineStr">
        <is>
          <t>Welcome Follower</t>
        </is>
      </c>
      <c r="B80" s="507" t="inlineStr">
        <is>
          <t>User follow OA</t>
        </is>
      </c>
      <c r="C80" s="507" t="n">
        <v>3</v>
      </c>
      <c r="D80" s="507" t="inlineStr">
        <is>
          <t>Immediate + 1h + 24h</t>
        </is>
      </c>
      <c r="E80" s="507" t="inlineStr">
        <is>
          <t>Xem thêm</t>
        </is>
      </c>
      <c r="F80" s="507" t="inlineStr">
        <is>
          <t>forms.truongvietanh.com/zalo-welcome</t>
        </is>
      </c>
      <c r="G80" s="507" t="inlineStr">
        <is>
          <t>Engagement 80%</t>
        </is>
      </c>
      <c r="H80" s="507" t="inlineStr">
        <is>
          <t>Active</t>
        </is>
      </c>
    </row>
    <row r="81">
      <c r="A81" s="507" t="inlineStr">
        <is>
          <t>Nurture Sequence</t>
        </is>
      </c>
      <c r="B81" s="507" t="inlineStr">
        <is>
          <t>Viewed article</t>
        </is>
      </c>
      <c r="C81" s="507" t="n">
        <v>5</v>
      </c>
      <c r="D81" s="507" t="inlineStr">
        <is>
          <t>Day 0,1,2,3,7</t>
        </is>
      </c>
      <c r="E81" s="507" t="inlineStr">
        <is>
          <t>Đăng ký tour</t>
        </is>
      </c>
      <c r="F81" s="507" t="inlineStr">
        <is>
          <t>forms.truongvietanh.com/zalo-tour</t>
        </is>
      </c>
      <c r="G81" s="507" t="inlineStr">
        <is>
          <t>Tour signup 30%</t>
        </is>
      </c>
      <c r="H81" s="507" t="inlineStr">
        <is>
          <t>Active</t>
        </is>
      </c>
    </row>
    <row r="82">
      <c r="A82" s="507" t="inlineStr">
        <is>
          <t>Tour Reminder</t>
        </is>
      </c>
      <c r="B82" s="507" t="inlineStr">
        <is>
          <t>Registered tour</t>
        </is>
      </c>
      <c r="C82" s="507" t="n">
        <v>2</v>
      </c>
      <c r="D82" s="507" t="inlineStr">
        <is>
          <t>7 days, 1 day before</t>
        </is>
      </c>
      <c r="E82" s="507" t="inlineStr">
        <is>
          <t>Nhắc nhở</t>
        </is>
      </c>
      <c r="F82" s="507" t="inlineStr">
        <is>
          <t>forms.truongvietanh.com/zalo-reminder</t>
        </is>
      </c>
      <c r="G82" s="507" t="inlineStr">
        <is>
          <t>Attendance 90%</t>
        </is>
      </c>
      <c r="H82" s="507" t="inlineStr">
        <is>
          <t>Active</t>
        </is>
      </c>
    </row>
    <row r="83">
      <c r="A83" s="507" t="inlineStr">
        <is>
          <t>Post-Tour Follow-up</t>
        </is>
      </c>
      <c r="B83" s="507" t="inlineStr">
        <is>
          <t>Tour completed</t>
        </is>
      </c>
      <c r="C83" s="507" t="n">
        <v>3</v>
      </c>
      <c r="D83" s="507" t="inlineStr">
        <is>
          <t>Immediate + 24h + 72h</t>
        </is>
      </c>
      <c r="E83" s="507" t="inlineStr">
        <is>
          <t>Ghi danh</t>
        </is>
      </c>
      <c r="F83" s="507" t="inlineStr">
        <is>
          <t>forms.truongvietanh.com/zalo-enroll</t>
        </is>
      </c>
      <c r="G83" s="507" t="inlineStr">
        <is>
          <t>Conversion 25%</t>
        </is>
      </c>
      <c r="H83" s="507" t="inlineStr">
        <is>
          <t>Active</t>
        </is>
      </c>
    </row>
    <row r="84">
      <c r="A84" s="507" t="inlineStr">
        <is>
          <t>Webinar Series</t>
        </is>
      </c>
      <c r="B84" s="507" t="inlineStr">
        <is>
          <t>Webinar signup</t>
        </is>
      </c>
      <c r="C84" s="507" t="n">
        <v>4</v>
      </c>
      <c r="D84" s="507" t="inlineStr">
        <is>
          <t>Day 1,3,5,7 before</t>
        </is>
      </c>
      <c r="E84" s="507" t="inlineStr">
        <is>
          <t>Tham dự</t>
        </is>
      </c>
      <c r="F84" s="507" t="inlineStr">
        <is>
          <t>forms.truongvietanh.com/zalo-webinar</t>
        </is>
      </c>
      <c r="G84" s="507" t="inlineStr">
        <is>
          <t>Attendance 70%</t>
        </is>
      </c>
      <c r="H84" s="507" t="inlineStr">
        <is>
          <t>Active</t>
        </is>
      </c>
    </row>
    <row r="85">
      <c r="A85" s="507" t="inlineStr">
        <is>
          <t>Scholarship Info</t>
        </is>
      </c>
      <c r="B85" s="507" t="inlineStr">
        <is>
          <t>Inquiry received</t>
        </is>
      </c>
      <c r="C85" s="507" t="n">
        <v>2</v>
      </c>
      <c r="D85" s="507" t="inlineStr">
        <is>
          <t>Immediate + 48h</t>
        </is>
      </c>
      <c r="E85" s="507" t="inlineStr">
        <is>
          <t>Chi tiết HT</t>
        </is>
      </c>
      <c r="F85" s="507" t="inlineStr">
        <is>
          <t>forms.truongvietanh.com/zalo-scholarship</t>
        </is>
      </c>
      <c r="G85" s="507" t="inlineStr">
        <is>
          <t>Inquiry-&gt;Lead 40%</t>
        </is>
      </c>
      <c r="H85" s="507" t="inlineStr">
        <is>
          <t>Active</t>
        </is>
      </c>
    </row>
    <row r="86">
      <c r="A86" s="507" t="inlineStr">
        <is>
          <t>Re-engagement</t>
        </is>
      </c>
      <c r="B86" s="507" t="inlineStr">
        <is>
          <t>No action 14 days</t>
        </is>
      </c>
      <c r="C86" s="507" t="n">
        <v>2</v>
      </c>
      <c r="D86" s="507" t="inlineStr">
        <is>
          <t>Day 14, 21</t>
        </is>
      </c>
      <c r="E86" s="507" t="inlineStr">
        <is>
          <t>Quay lại</t>
        </is>
      </c>
      <c r="F86" s="507" t="inlineStr">
        <is>
          <t>forms.truongvietanh.com/zalo-comeback</t>
        </is>
      </c>
      <c r="G86" s="507" t="inlineStr">
        <is>
          <t>Re-engagement 15%</t>
        </is>
      </c>
      <c r="H86" s="507" t="inlineStr">
        <is>
          <t>Paused</t>
        </is>
      </c>
    </row>
    <row r="87">
      <c r="A87" s="507" t="inlineStr">
        <is>
          <t>Birthday Message</t>
        </is>
      </c>
      <c r="B87" s="507" t="inlineStr">
        <is>
          <t>Birthday date</t>
        </is>
      </c>
      <c r="C87" s="507" t="n">
        <v>1</v>
      </c>
      <c r="D87" s="507" t="inlineStr">
        <is>
          <t>Birthday morning</t>
        </is>
      </c>
      <c r="E87" s="507" t="inlineStr">
        <is>
          <t>Quà tặng</t>
        </is>
      </c>
      <c r="F87" s="507" t="inlineStr">
        <is>
          <t>forms.truongvietanh.com/zalo-birthday</t>
        </is>
      </c>
      <c r="G87" s="507" t="inlineStr">
        <is>
          <t>Open rate 50%</t>
        </is>
      </c>
      <c r="H87" s="507" t="inlineStr">
        <is>
          <t>Active</t>
        </is>
      </c>
    </row>
    <row r="88">
      <c r="A88" s="507" t="inlineStr">
        <is>
          <t>Referral Program</t>
        </is>
      </c>
      <c r="B88" s="507" t="inlineStr">
        <is>
          <t>Made referral</t>
        </is>
      </c>
      <c r="C88" s="507" t="n">
        <v>3</v>
      </c>
      <c r="D88" s="507" t="inlineStr">
        <is>
          <t>Immediate + 7d + 30d</t>
        </is>
      </c>
      <c r="E88" s="507" t="inlineStr">
        <is>
          <t>Giới thiệu</t>
        </is>
      </c>
      <c r="F88" s="507" t="inlineStr">
        <is>
          <t>forms.truongvietanh.com/zalo-refer</t>
        </is>
      </c>
      <c r="G88" s="507" t="inlineStr">
        <is>
          <t>Referral conversion 20%</t>
        </is>
      </c>
      <c r="H88" s="507" t="inlineStr">
        <is>
          <t>Active</t>
        </is>
      </c>
    </row>
    <row r="89">
      <c r="A89" s="507" t="inlineStr">
        <is>
          <t>Khai Giảng Alert</t>
        </is>
      </c>
      <c r="B89" s="507" t="inlineStr">
        <is>
          <t>User inactive</t>
        </is>
      </c>
      <c r="C89" s="507" t="n">
        <v>2</v>
      </c>
      <c r="D89" s="507" t="inlineStr">
        <is>
          <t>Week before khai giảng</t>
        </is>
      </c>
      <c r="E89" s="507" t="inlineStr">
        <is>
          <t>Nộp hồ sơ</t>
        </is>
      </c>
      <c r="F89" s="507" t="inlineStr">
        <is>
          <t>forms.truongvietanh.com/zalo-enroll</t>
        </is>
      </c>
      <c r="G89" s="507" t="inlineStr">
        <is>
          <t>Last-minute signup 10%</t>
        </is>
      </c>
      <c r="H89" s="507" t="inlineStr">
        <is>
          <t>Active</t>
        </is>
      </c>
    </row>
  </sheetData>
  <mergeCells count="5">
    <mergeCell ref="A62:H62"/>
    <mergeCell ref="A78:H78"/>
    <mergeCell ref="A1:G1"/>
    <mergeCell ref="A3:G3"/>
    <mergeCell ref="A10: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FF5722"/>
    <outlinePr summaryBelow="1" summaryRight="1"/>
    <pageSetUpPr fitToPage="0"/>
  </sheetPr>
  <dimension ref="A1:H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47" min="1" max="3"/>
    <col width="25" customWidth="1" style="247" min="4" max="4"/>
    <col width="42" customWidth="1" style="247" min="5" max="5"/>
    <col width="32" customWidth="1" style="247" min="6" max="6"/>
    <col width="28" customWidth="1" style="247" min="7" max="7"/>
    <col width="18" customWidth="1" style="247" min="8" max="8"/>
  </cols>
  <sheetData>
    <row r="1" ht="15" customHeight="1" s="248">
      <c r="A1" s="372" t="inlineStr">
        <is>
          <t>KẾ HOẠCH TÁC CHIẾN TUẦN 1-28 (03-09/2026)</t>
        </is>
      </c>
    </row>
    <row r="2" ht="15" customHeight="1" s="248">
      <c r="A2" s="373" t="inlineStr">
        <is>
          <t>Tuần</t>
        </is>
      </c>
      <c r="B2" s="373" t="inlineStr">
        <is>
          <t>Ngày</t>
        </is>
      </c>
      <c r="C2" s="373" t="inlineStr">
        <is>
          <t>Giai đoạn</t>
        </is>
      </c>
      <c r="D2" s="373" t="inlineStr">
        <is>
          <t>Mục tiêu tuần</t>
        </is>
      </c>
      <c r="E2" s="373" t="inlineStr">
        <is>
          <t>Marketing Action</t>
        </is>
      </c>
      <c r="F2" s="373" t="inlineStr">
        <is>
          <t>Sales Action</t>
        </is>
      </c>
      <c r="G2" s="373" t="inlineStr">
        <is>
          <t>Campus Action</t>
        </is>
      </c>
      <c r="H2" s="373" t="inlineStr">
        <is>
          <t>Trạng thái</t>
        </is>
      </c>
    </row>
    <row r="3" ht="15" customHeight="1" s="248">
      <c r="A3" s="321" t="n">
        <v>1</v>
      </c>
      <c r="B3" s="321" t="inlineStr">
        <is>
          <t>26/03-01/04</t>
        </is>
      </c>
      <c r="C3" s="321" t="inlineStr">
        <is>
          <t>Setup</t>
        </is>
      </c>
      <c r="D3" s="321" t="inlineStr">
        <is>
          <t>Dựng nền tảng</t>
        </is>
      </c>
      <c r="E3" s="321" t="inlineStr">
        <is>
          <t>Setup GTM+Pixel+GHL+Birch+LP</t>
        </is>
      </c>
      <c r="F3" s="321" t="inlineStr">
        <is>
          <t>Chốt SLA+script+CRM tags</t>
        </is>
      </c>
      <c r="G3" s="321" t="inlineStr">
        <is>
          <t>Hotline+GMB+Tour slots</t>
        </is>
      </c>
      <c r="H3" s="321" t="inlineStr">
        <is>
          <t>☐</t>
        </is>
      </c>
    </row>
    <row r="4" ht="15" customHeight="1" s="248">
      <c r="A4" s="323" t="n">
        <v>2</v>
      </c>
      <c r="B4" s="323" t="inlineStr">
        <is>
          <t>02-08/04</t>
        </is>
      </c>
      <c r="C4" s="323" t="inlineStr">
        <is>
          <t>Setup</t>
        </is>
      </c>
      <c r="D4" s="323" t="inlineStr">
        <is>
          <t>Chuẩn hóa LP+Forms</t>
        </is>
      </c>
      <c r="E4" s="323" t="inlineStr">
        <is>
          <t>Test LP 6 cơ sở + Forms → GHL</t>
        </is>
      </c>
      <c r="F4" s="323" t="inlineStr">
        <is>
          <t>Test nhận lead+gọi lại</t>
        </is>
      </c>
      <c r="G4" s="323" t="inlineStr">
        <is>
          <t>Chụp ảnh+video bổ sung</t>
        </is>
      </c>
      <c r="H4" s="323" t="inlineStr">
        <is>
          <t>☐</t>
        </is>
      </c>
    </row>
    <row r="5" ht="15" customHeight="1" s="248">
      <c r="A5" s="321" t="n">
        <v>3</v>
      </c>
      <c r="B5" s="321" t="inlineStr">
        <is>
          <t>09-15/04</t>
        </is>
      </c>
      <c r="C5" s="321" t="inlineStr">
        <is>
          <t>Pilot</t>
        </is>
      </c>
      <c r="D5" s="321" t="inlineStr">
        <is>
          <t>Pilot campaign đợt 1</t>
        </is>
      </c>
      <c r="E5" s="321" t="inlineStr">
        <is>
          <t>Bật Brand+Generic+HighIntent | 2 RSA/adgroup</t>
        </is>
      </c>
      <c r="F5" s="321" t="inlineStr">
        <is>
          <t>Gọi 100% lead &lt;5 phút</t>
        </is>
      </c>
      <c r="G5" s="321" t="inlineStr">
        <is>
          <t>Tour slots ít nhất 2/tuần</t>
        </is>
      </c>
      <c r="H5" s="321" t="inlineStr">
        <is>
          <t>☐</t>
        </is>
      </c>
    </row>
    <row r="6" ht="15" customHeight="1" s="248">
      <c r="A6" s="323" t="n">
        <v>4</v>
      </c>
      <c r="B6" s="323" t="inlineStr">
        <is>
          <t>16-22/04</t>
        </is>
      </c>
      <c r="C6" s="323" t="inlineStr">
        <is>
          <t>Pilot</t>
        </is>
      </c>
      <c r="D6" s="323" t="inlineStr">
        <is>
          <t>Đánh giá pilot</t>
        </is>
      </c>
      <c r="E6" s="323" t="inlineStr">
        <is>
          <t>Rà search terms+pause yếu+keep tốt</t>
        </is>
      </c>
      <c r="F6" s="323" t="inlineStr">
        <is>
          <t>QA 20 cuộc gọi đầu</t>
        </is>
      </c>
      <c r="G6" s="323" t="inlineStr">
        <is>
          <t>Đánh giá 5 tour đầu</t>
        </is>
      </c>
      <c r="H6" s="323" t="inlineStr">
        <is>
          <t>☐</t>
        </is>
      </c>
    </row>
    <row r="7" ht="15" customHeight="1" s="248">
      <c r="A7" s="321" t="n">
        <v>5</v>
      </c>
      <c r="B7" s="321" t="inlineStr">
        <is>
          <t>23-29/04</t>
        </is>
      </c>
      <c r="C7" s="321" t="inlineStr">
        <is>
          <t>Scale 1</t>
        </is>
      </c>
      <c r="D7" s="321" t="inlineStr">
        <is>
          <t>Scale sau pilot</t>
        </is>
      </c>
      <c r="E7" s="321" t="inlineStr">
        <is>
          <t>Tăng budget campaigns thắng+mở thêm cơ sở</t>
        </is>
      </c>
      <c r="F7" s="321" t="inlineStr">
        <is>
          <t>4 touchpoints/lead 3 ngày</t>
        </is>
      </c>
      <c r="G7" s="321" t="inlineStr">
        <is>
          <t>Open campus cuối tuần</t>
        </is>
      </c>
      <c r="H7" s="321" t="inlineStr">
        <is>
          <t>☐</t>
        </is>
      </c>
    </row>
    <row r="8" ht="15" customHeight="1" s="248">
      <c r="A8" s="323" t="n">
        <v>6</v>
      </c>
      <c r="B8" s="323" t="inlineStr">
        <is>
          <t>30/04-06/05</t>
        </is>
      </c>
      <c r="C8" s="323" t="inlineStr">
        <is>
          <t>Scale 1</t>
        </is>
      </c>
      <c r="D8" s="323" t="inlineStr">
        <is>
          <t>Mở webinar</t>
        </is>
      </c>
      <c r="E8" s="323" t="inlineStr">
        <is>
          <t>LP webinar THCS+THPT+Search webinar ads</t>
        </is>
      </c>
      <c r="F8" s="323" t="inlineStr">
        <is>
          <t>Script gọi webinar lead</t>
        </is>
      </c>
      <c r="G8" s="323" t="inlineStr">
        <is>
          <t>Diễn giả+slide+CTA</t>
        </is>
      </c>
      <c r="H8" s="323" t="inlineStr">
        <is>
          <t>☐</t>
        </is>
      </c>
    </row>
    <row r="9" ht="15" customHeight="1" s="248">
      <c r="A9" s="321" t="n">
        <v>7</v>
      </c>
      <c r="B9" s="321" t="inlineStr">
        <is>
          <t>07-13/05</t>
        </is>
      </c>
      <c r="C9" s="321" t="inlineStr">
        <is>
          <t>Scale 1</t>
        </is>
      </c>
      <c r="D9" s="321" t="inlineStr">
        <is>
          <t>Tối ưu quality</t>
        </is>
      </c>
      <c r="E9" s="321" t="inlineStr">
        <is>
          <t>Tách HI/webinar/brand+bidding optimize</t>
        </is>
      </c>
      <c r="F9" s="321" t="inlineStr">
        <is>
          <t>Rà Lead→Tour by counselor</t>
        </is>
      </c>
      <c r="G9" s="321" t="inlineStr">
        <is>
          <t>Show-up rate report</t>
        </is>
      </c>
      <c r="H9" s="321" t="inlineStr">
        <is>
          <t>☐</t>
        </is>
      </c>
    </row>
    <row r="10" ht="15" customHeight="1" s="248">
      <c r="A10" s="323" t="n">
        <v>8</v>
      </c>
      <c r="B10" s="323" t="inlineStr">
        <is>
          <t>14-20/05</t>
        </is>
      </c>
      <c r="C10" s="323" t="inlineStr">
        <is>
          <t>Scale 1</t>
        </is>
      </c>
      <c r="D10" s="323" t="inlineStr">
        <is>
          <t>Mở competitor</t>
        </is>
      </c>
      <c r="E10" s="323" t="inlineStr">
        <is>
          <t>Competitor THCS+THPT GV+LP compare</t>
        </is>
      </c>
      <c r="F10" s="323" t="inlineStr">
        <is>
          <t>Script xử lý so sánh</t>
        </is>
      </c>
      <c r="G10" s="323" t="inlineStr">
        <is>
          <t>Bảng so sánh mềm</t>
        </is>
      </c>
      <c r="H10" s="323" t="inlineStr">
        <is>
          <t>☐</t>
        </is>
      </c>
    </row>
    <row r="11" ht="15" customHeight="1" s="248">
      <c r="A11" s="321" t="n">
        <v>9</v>
      </c>
      <c r="B11" s="321" t="inlineStr">
        <is>
          <t>21-27/05</t>
        </is>
      </c>
      <c r="C11" s="321" t="inlineStr">
        <is>
          <t>Scale 1</t>
        </is>
      </c>
      <c r="D11" s="321" t="inlineStr">
        <is>
          <t>Khóa baseline T4-5</t>
        </is>
      </c>
      <c r="E11" s="321" t="inlineStr">
        <is>
          <t>Tổng hợp CPL/campus/quality | Plan T6</t>
        </is>
      </c>
      <c r="F11" s="321" t="inlineStr">
        <is>
          <t>Top 5 lost reasons</t>
        </is>
      </c>
      <c r="G11" s="321" t="inlineStr">
        <is>
          <t>Best practice tour</t>
        </is>
      </c>
      <c r="H11" s="321" t="inlineStr">
        <is>
          <t>☐</t>
        </is>
      </c>
    </row>
    <row r="12" ht="15" customHeight="1" s="248">
      <c r="A12" s="323" t="n">
        <v>10</v>
      </c>
      <c r="B12" s="323" t="inlineStr">
        <is>
          <t>28/05-03/06</t>
        </is>
      </c>
      <c r="C12" s="323" t="inlineStr">
        <is>
          <t>Scale 2</t>
        </is>
      </c>
      <c r="D12" s="323" t="inlineStr">
        <is>
          <t>Scale mạnh T6</t>
        </is>
      </c>
      <c r="E12" s="323" t="inlineStr">
        <is>
          <t>Tăng NS THCS+THPT GV+brand defense</t>
        </is>
      </c>
      <c r="F12" s="323" t="inlineStr">
        <is>
          <t>Ưu tiên lead Google</t>
        </is>
      </c>
      <c r="G12" s="323" t="inlineStr">
        <is>
          <t>Tăng tour slots</t>
        </is>
      </c>
      <c r="H12" s="323" t="inlineStr">
        <is>
          <t>☐</t>
        </is>
      </c>
    </row>
    <row r="13" ht="15" customHeight="1" s="248">
      <c r="A13" s="321" t="n">
        <v>11</v>
      </c>
      <c r="B13" s="321" t="inlineStr">
        <is>
          <t>04-10/06</t>
        </is>
      </c>
      <c r="C13" s="321" t="inlineStr">
        <is>
          <t>Scale 2</t>
        </is>
      </c>
      <c r="D13" s="321" t="inlineStr">
        <is>
          <t>YouTube+DG</t>
        </is>
      </c>
      <c r="E13" s="321" t="inlineStr">
        <is>
          <t>Video testi THCS/THPT+YouTube retarget</t>
        </is>
      </c>
      <c r="F13" s="321" t="inlineStr">
        <is>
          <t>Tag video-engaged lead</t>
        </is>
      </c>
      <c r="G13" s="321" t="inlineStr">
        <is>
          <t>Quay thêm testimonial</t>
        </is>
      </c>
      <c r="H13" s="321" t="inlineStr">
        <is>
          <t>☐</t>
        </is>
      </c>
    </row>
    <row r="14" ht="15" customHeight="1" s="248">
      <c r="A14" s="323" t="n">
        <v>12</v>
      </c>
      <c r="B14" s="323" t="inlineStr">
        <is>
          <t>11-17/06</t>
        </is>
      </c>
      <c r="C14" s="323" t="inlineStr">
        <is>
          <t>Scale 2</t>
        </is>
      </c>
      <c r="D14" s="323" t="inlineStr">
        <is>
          <t>Test PMax</t>
        </is>
      </c>
      <c r="E14" s="323" t="inlineStr">
        <is>
          <t>PMax test 2% | Track riêng</t>
        </is>
      </c>
      <c r="F14" s="323" t="inlineStr">
        <is>
          <t>Source PMax riêng</t>
        </is>
      </c>
      <c r="G14" s="323" t="inlineStr">
        <is>
          <t>Giữ nguyên quy trình</t>
        </is>
      </c>
      <c r="H14" s="323" t="inlineStr">
        <is>
          <t>☐</t>
        </is>
      </c>
    </row>
    <row r="15" ht="15" customHeight="1" s="248">
      <c r="A15" s="321" t="n">
        <v>13</v>
      </c>
      <c r="B15" s="321" t="inlineStr">
        <is>
          <t>18-24/06</t>
        </is>
      </c>
      <c r="C15" s="321" t="inlineStr">
        <is>
          <t>Scale 2</t>
        </is>
      </c>
      <c r="D15" s="321" t="inlineStr">
        <is>
          <t>Chuyển cấp push</t>
        </is>
      </c>
      <c r="E15" s="321" t="inlineStr">
        <is>
          <t>Campaign lớp 1/6/10 tập trung</t>
        </is>
      </c>
      <c r="F15" s="321" t="inlineStr">
        <is>
          <t>Script riêng per grade</t>
        </is>
      </c>
      <c r="G15" s="321" t="inlineStr">
        <is>
          <t>Tài liệu theo cấp</t>
        </is>
      </c>
      <c r="H15" s="321" t="inlineStr">
        <is>
          <t>☐</t>
        </is>
      </c>
    </row>
    <row r="16" ht="15" customHeight="1" s="248">
      <c r="A16" s="323" t="n">
        <v>14</v>
      </c>
      <c r="B16" s="323" t="inlineStr">
        <is>
          <t>25/06-01/07</t>
        </is>
      </c>
      <c r="C16" s="323" t="inlineStr">
        <is>
          <t>Scale 2</t>
        </is>
      </c>
      <c r="D16" s="323" t="inlineStr">
        <is>
          <t>LP optimization</t>
        </is>
      </c>
      <c r="E16" s="323" t="inlineStr">
        <is>
          <t>Heatmap+CVR+A/B hero section</t>
        </is>
      </c>
      <c r="F16" s="323" t="inlineStr">
        <is>
          <t>Cập nhật FAQ mới</t>
        </is>
      </c>
      <c r="G16" s="323" t="inlineStr">
        <is>
          <t>Ảnh hoạt động mới</t>
        </is>
      </c>
      <c r="H16" s="323" t="inlineStr">
        <is>
          <t>☐</t>
        </is>
      </c>
    </row>
    <row r="17" ht="15" customHeight="1" s="248">
      <c r="A17" s="321" t="n">
        <v>15</v>
      </c>
      <c r="B17" s="321" t="inlineStr">
        <is>
          <t>02-08/07</t>
        </is>
      </c>
      <c r="C17" s="321" t="inlineStr">
        <is>
          <t>Peak</t>
        </is>
      </c>
      <c r="D17" s="321" t="inlineStr">
        <is>
          <t>Webinar chốt</t>
        </is>
      </c>
      <c r="E17" s="321" t="inlineStr">
        <is>
          <t>Webinar THCS+THPT | Search+YT+retarget</t>
        </is>
      </c>
      <c r="F17" s="321" t="inlineStr">
        <is>
          <t>Gọi 24h sau webinar</t>
        </is>
      </c>
      <c r="G17" s="321" t="inlineStr">
        <is>
          <t>Campus head webinar</t>
        </is>
      </c>
      <c r="H17" s="321" t="inlineStr">
        <is>
          <t>☐</t>
        </is>
      </c>
    </row>
    <row r="18" ht="15" customHeight="1" s="248">
      <c r="A18" s="323" t="n">
        <v>16</v>
      </c>
      <c r="B18" s="323" t="inlineStr">
        <is>
          <t>09-15/07</t>
        </is>
      </c>
      <c r="C18" s="323" t="inlineStr">
        <is>
          <t>Peak</t>
        </is>
      </c>
      <c r="D18" s="323" t="inlineStr">
        <is>
          <t>Cost/tour focus</t>
        </is>
      </c>
      <c r="E18" s="323" t="inlineStr">
        <is>
          <t>Pause CPL đẹp nhưng tour xấu | Scale tour tốt</t>
        </is>
      </c>
      <c r="F18" s="323" t="inlineStr">
        <is>
          <t>Coaching counselor yếu</t>
        </is>
      </c>
      <c r="G18" s="323" t="inlineStr">
        <is>
          <t>Tour→hồ sơ by campus</t>
        </is>
      </c>
      <c r="H18" s="323" t="inlineStr">
        <is>
          <t>☐</t>
        </is>
      </c>
    </row>
    <row r="19" ht="15" customHeight="1" s="248">
      <c r="A19" s="321" t="n">
        <v>17</v>
      </c>
      <c r="B19" s="321" t="inlineStr">
        <is>
          <t>16-22/07</t>
        </is>
      </c>
      <c r="C19" s="321" t="inlineStr">
        <is>
          <t>Peak</t>
        </is>
      </c>
      <c r="D19" s="321" t="inlineStr">
        <is>
          <t>Lock winners</t>
        </is>
      </c>
      <c r="E19" s="321" t="inlineStr">
        <is>
          <t>Top 10 KW+Top 5 LP+Top 3 video | Brand defense</t>
        </is>
      </c>
      <c r="F19" s="321" t="inlineStr">
        <is>
          <t>Chốt objection script</t>
        </is>
      </c>
      <c r="G19" s="321" t="inlineStr">
        <is>
          <t>Kiểm tra capacity tour</t>
        </is>
      </c>
      <c r="H19" s="321" t="inlineStr">
        <is>
          <t>☐</t>
        </is>
      </c>
    </row>
    <row r="20" ht="15" customHeight="1" s="248">
      <c r="A20" s="323" t="n">
        <v>18</v>
      </c>
      <c r="B20" s="323" t="inlineStr">
        <is>
          <t>23-29/07</t>
        </is>
      </c>
      <c r="C20" s="323" t="inlineStr">
        <is>
          <t>Chốt</t>
        </is>
      </c>
      <c r="D20" s="323" t="inlineStr">
        <is>
          <t>Chốt mạnh nhất</t>
        </is>
      </c>
      <c r="E20" s="323" t="inlineStr">
        <is>
          <t>HI+brand+retarget đẩy mạnh | Ưu đãi cuối</t>
        </is>
      </c>
      <c r="F20" s="323" t="inlineStr">
        <is>
          <t>Lead nóng xử lý 30 phút</t>
        </is>
      </c>
      <c r="G20" s="323" t="inlineStr">
        <is>
          <t>Tour đều đặn, sẵn sàng</t>
        </is>
      </c>
      <c r="H20" s="323" t="inlineStr">
        <is>
          <t>☐</t>
        </is>
      </c>
    </row>
    <row r="21" ht="15" customHeight="1" s="248">
      <c r="A21" s="321" t="n">
        <v>19</v>
      </c>
      <c r="B21" s="321" t="inlineStr">
        <is>
          <t>30/07-05/08</t>
        </is>
      </c>
      <c r="C21" s="321" t="inlineStr">
        <is>
          <t>Chốt</t>
        </is>
      </c>
      <c r="D21" s="321" t="inlineStr">
        <is>
          <t>Tăng show-up</t>
        </is>
      </c>
      <c r="E21" s="321" t="inlineStr">
        <is>
          <t>RMKT booked chưa đến+reminder asset</t>
        </is>
      </c>
      <c r="F21" s="321" t="inlineStr">
        <is>
          <t>Nhắc 24h+2h | Xử lý no-show</t>
        </is>
      </c>
      <c r="G21" s="321" t="inlineStr">
        <is>
          <t>Đón khách đúng giờ</t>
        </is>
      </c>
      <c r="H21" s="321" t="inlineStr">
        <is>
          <t>☐</t>
        </is>
      </c>
    </row>
    <row r="22" ht="15" customHeight="1" s="248">
      <c r="A22" s="323" t="n">
        <v>20</v>
      </c>
      <c r="B22" s="323" t="inlineStr">
        <is>
          <t>06-12/08</t>
        </is>
      </c>
      <c r="C22" s="323" t="inlineStr">
        <is>
          <t>Chốt</t>
        </is>
      </c>
      <c r="D22" s="323" t="inlineStr">
        <is>
          <t>Tour→hồ sơ</t>
        </is>
      </c>
      <c r="E22" s="323" t="inlineStr">
        <is>
          <t>LP ưu đãi cuối+RMKT đã tour chưa chốt</t>
        </is>
      </c>
      <c r="F22" s="323" t="inlineStr">
        <is>
          <t>Follow-up 3-5-7 ngày sau tour</t>
        </is>
      </c>
      <c r="G22" s="323" t="inlineStr">
        <is>
          <t>Tài liệu follow-up chuẩn</t>
        </is>
      </c>
      <c r="H22" s="323" t="inlineStr">
        <is>
          <t>☐</t>
        </is>
      </c>
    </row>
    <row r="23" ht="15" customHeight="1" s="248">
      <c r="A23" s="321" t="n">
        <v>21</v>
      </c>
      <c r="B23" s="321" t="inlineStr">
        <is>
          <t>13-19/08</t>
        </is>
      </c>
      <c r="C23" s="321" t="inlineStr">
        <is>
          <t>Chốt</t>
        </is>
      </c>
      <c r="D23" s="321" t="inlineStr">
        <is>
          <t>Brand defense</t>
        </is>
      </c>
      <c r="E23" s="321" t="inlineStr">
        <is>
          <t>Tăng brand impression share+monitor competitor</t>
        </is>
      </c>
      <c r="F23" s="321" t="inlineStr">
        <is>
          <t>Ưu tiên brand leads</t>
        </is>
      </c>
      <c r="G23" s="321" t="inlineStr">
        <is>
          <t>Hotline+map 100% chính xác</t>
        </is>
      </c>
      <c r="H23" s="321" t="inlineStr">
        <is>
          <t>☐</t>
        </is>
      </c>
    </row>
    <row r="24" ht="15" customHeight="1" s="248">
      <c r="A24" s="323" t="n">
        <v>22</v>
      </c>
      <c r="B24" s="323" t="inlineStr">
        <is>
          <t>20-26/08</t>
        </is>
      </c>
      <c r="C24" s="323" t="inlineStr">
        <is>
          <t>Chốt</t>
        </is>
      </c>
      <c r="D24" s="323" t="inlineStr">
        <is>
          <t>Campus gap fill</t>
        </is>
      </c>
      <c r="E24" s="323" t="inlineStr">
        <is>
          <t>Dồn NS theo campus hụt+cắt campus đủ</t>
        </is>
      </c>
      <c r="F24" s="323" t="inlineStr">
        <is>
          <t>Ưu tiên cơ sở hụt target</t>
        </is>
      </c>
      <c r="G24" s="323" t="inlineStr">
        <is>
          <t>Tăng tour cơ sở hụt</t>
        </is>
      </c>
      <c r="H24" s="323" t="inlineStr">
        <is>
          <t>☐</t>
        </is>
      </c>
    </row>
    <row r="25" ht="15" customHeight="1" s="248">
      <c r="A25" s="321" t="n">
        <v>23</v>
      </c>
      <c r="B25" s="321" t="inlineStr">
        <is>
          <t>27/08-02/09</t>
        </is>
      </c>
      <c r="C25" s="321" t="inlineStr">
        <is>
          <t>Vét</t>
        </is>
      </c>
      <c r="D25" s="321" t="inlineStr">
        <is>
          <t>Khóa T8</t>
        </is>
      </c>
      <c r="E25" s="321" t="inlineStr">
        <is>
          <t>Rà HI+brand+RMKT nóng | Tắt display lạnh</t>
        </is>
      </c>
      <c r="F25" s="321" t="inlineStr">
        <is>
          <t>Gọi lại all lead nóng chưa chốt</t>
        </is>
      </c>
      <c r="G25" s="321" t="inlineStr">
        <is>
          <t>Danh sách chỗ trống</t>
        </is>
      </c>
      <c r="H25" s="321" t="inlineStr">
        <is>
          <t>☐</t>
        </is>
      </c>
    </row>
    <row r="26" ht="23.25" customHeight="1" s="248">
      <c r="A26" s="323" t="n">
        <v>24</v>
      </c>
      <c r="B26" s="323" t="inlineStr">
        <is>
          <t>03-09/09</t>
        </is>
      </c>
      <c r="C26" s="323" t="inlineStr">
        <is>
          <t>Late</t>
        </is>
      </c>
      <c r="D26" s="323" t="inlineStr">
        <is>
          <t>Late intake</t>
        </is>
      </c>
      <c r="E26" s="323" t="inlineStr">
        <is>
          <t>Search 'chuyển trường'+'còn nhận hồ sơ' | Brand on</t>
        </is>
      </c>
      <c r="F26" s="323" t="inlineStr">
        <is>
          <t>Script chuyển trường</t>
        </is>
      </c>
      <c r="G26" s="323" t="inlineStr">
        <is>
          <t>Xử lý hồ sơ gấp</t>
        </is>
      </c>
      <c r="H26" s="323" t="inlineStr">
        <is>
          <t>☐</t>
        </is>
      </c>
    </row>
    <row r="27" ht="15" customHeight="1" s="248">
      <c r="A27" s="321" t="n">
        <v>25</v>
      </c>
      <c r="B27" s="321" t="inlineStr">
        <is>
          <t>10-16/09</t>
        </is>
      </c>
      <c r="C27" s="321" t="inlineStr">
        <is>
          <t>Late</t>
        </is>
      </c>
      <c r="D27" s="321" t="inlineStr">
        <is>
          <t>Reactivation</t>
        </is>
      </c>
      <c r="E27" s="321" t="inlineStr">
        <is>
          <t>RMKT 30-60d+DG nhẹ audience cũ</t>
        </is>
      </c>
      <c r="F27" s="321" t="inlineStr">
        <is>
          <t>Gọi lại lead tour chưa chốt</t>
        </is>
      </c>
      <c r="G27" s="321" t="inlineStr">
        <is>
          <t>Mời PH quay lại campus</t>
        </is>
      </c>
      <c r="H27" s="321" t="inlineStr">
        <is>
          <t>☐</t>
        </is>
      </c>
    </row>
    <row r="28" ht="15" customHeight="1" s="248">
      <c r="A28" s="323" t="n">
        <v>26</v>
      </c>
      <c r="B28" s="323" t="inlineStr">
        <is>
          <t>17-23/09</t>
        </is>
      </c>
      <c r="C28" s="323" t="inlineStr">
        <is>
          <t>Late</t>
        </is>
      </c>
      <c r="D28" s="323" t="inlineStr">
        <is>
          <t>Optimize cuối</t>
        </is>
      </c>
      <c r="E28" s="323" t="inlineStr">
        <is>
          <t>Cắt lãng phí+giữ brand+HI+reactivation</t>
        </is>
      </c>
      <c r="F28" s="323" t="inlineStr">
        <is>
          <t>Tập trung lead cao nhất</t>
        </is>
      </c>
      <c r="G28" s="323" t="inlineStr">
        <is>
          <t>Real-time số chỗ</t>
        </is>
      </c>
      <c r="H28" s="323" t="inlineStr">
        <is>
          <t>☐</t>
        </is>
      </c>
    </row>
    <row r="29" ht="15" customHeight="1" s="248">
      <c r="A29" s="321" t="n">
        <v>27</v>
      </c>
      <c r="B29" s="321" t="inlineStr">
        <is>
          <t>24-28/09</t>
        </is>
      </c>
      <c r="C29" s="321" t="inlineStr">
        <is>
          <t>Close</t>
        </is>
      </c>
      <c r="D29" s="321" t="inlineStr">
        <is>
          <t>Chốt nốt</t>
        </is>
      </c>
      <c r="E29" s="321" t="inlineStr">
        <is>
          <t>RMKT form/phí/hotline | 'Còn nhận hồ sơ'</t>
        </is>
      </c>
      <c r="F29" s="321" t="inlineStr">
        <is>
          <t>Gọi all pending | Chốt giấy tờ</t>
        </is>
      </c>
      <c r="G29" s="321" t="inlineStr">
        <is>
          <t>Hỗ trợ hồ sơ nhanh</t>
        </is>
      </c>
      <c r="H29" s="321" t="inlineStr">
        <is>
          <t>☐</t>
        </is>
      </c>
    </row>
    <row r="30" ht="23.25" customHeight="1" s="248">
      <c r="A30" s="323" t="n">
        <v>28</v>
      </c>
      <c r="B30" s="323" t="inlineStr">
        <is>
          <t>29-30/09</t>
        </is>
      </c>
      <c r="C30" s="323" t="inlineStr">
        <is>
          <t>Close</t>
        </is>
      </c>
      <c r="D30" s="323" t="inlineStr">
        <is>
          <t>Đóng mùa</t>
        </is>
      </c>
      <c r="E30" s="323" t="inlineStr">
        <is>
          <t>Tổng kết: spend/leads/tours/enrollments/CAC | Playbook</t>
        </is>
      </c>
      <c r="F30" s="323" t="inlineStr">
        <is>
          <t>Tổng kết per counselor | Lost reasons</t>
        </is>
      </c>
      <c r="G30" s="323" t="inlineStr">
        <is>
          <t>Tổng kết tour+testimonial mới</t>
        </is>
      </c>
      <c r="H30" s="323" t="inlineStr">
        <is>
          <t>☐</t>
        </is>
      </c>
    </row>
    <row r="33">
      <c r="A33" s="534" t="inlineStr">
        <is>
          <t>BATTLEPLAN MẪU — TUẦN PEAK (T6/2026)</t>
        </is>
      </c>
      <c r="B33" s="535" t="n"/>
      <c r="C33" s="535" t="n"/>
      <c r="D33" s="535" t="n"/>
      <c r="E33" s="535" t="n"/>
      <c r="F33" s="535" t="n"/>
      <c r="G33" s="536" t="n"/>
    </row>
    <row r="34">
      <c r="A34" s="495" t="inlineStr">
        <is>
          <t>Ngày</t>
        </is>
      </c>
      <c r="B34" s="495" t="inlineStr">
        <is>
          <t>Giờ</t>
        </is>
      </c>
      <c r="C34" s="495" t="inlineStr">
        <is>
          <t>Task</t>
        </is>
      </c>
      <c r="D34" s="495" t="inlineStr">
        <is>
          <t>Người Phụ Trách</t>
        </is>
      </c>
      <c r="E34" s="495" t="inlineStr">
        <is>
          <t>Kênh</t>
        </is>
      </c>
      <c r="F34" s="495" t="inlineStr">
        <is>
          <t>Mục Tiêu</t>
        </is>
      </c>
      <c r="G34" s="495" t="inlineStr">
        <is>
          <t>Output/KPI</t>
        </is>
      </c>
    </row>
    <row r="35">
      <c r="A35" s="507" t="inlineStr">
        <is>
          <t>Thứ 2</t>
        </is>
      </c>
      <c r="B35" s="507" t="inlineStr">
        <is>
          <t>08:00</t>
        </is>
      </c>
      <c r="C35" s="507" t="inlineStr">
        <is>
          <t>Weekly kickoff + Ads performance review</t>
        </is>
      </c>
      <c r="D35" s="507" t="inlineStr">
        <is>
          <t>Marketing Lead</t>
        </is>
      </c>
      <c r="E35" s="507" t="inlineStr">
        <is>
          <t>Team meeting</t>
        </is>
      </c>
      <c r="F35" s="507" t="inlineStr">
        <is>
          <t>Review ROI từ tuần trước</t>
        </is>
      </c>
      <c r="G35" s="507" t="inlineStr">
        <is>
          <t>Action items list</t>
        </is>
      </c>
    </row>
    <row r="36">
      <c r="A36" s="507" t="inlineStr">
        <is>
          <t>Thứ 2</t>
        </is>
      </c>
      <c r="B36" s="507" t="inlineStr">
        <is>
          <t>10:00</t>
        </is>
      </c>
      <c r="C36" s="507" t="inlineStr">
        <is>
          <t>Content calendar planning + Design briefing</t>
        </is>
      </c>
      <c r="D36" s="507" t="inlineStr">
        <is>
          <t>Content Manager + Designer</t>
        </is>
      </c>
      <c r="E36" s="507" t="inlineStr">
        <is>
          <t>Internal</t>
        </is>
      </c>
      <c r="F36" s="507" t="inlineStr">
        <is>
          <t>Lên kế hoạch content tuần</t>
        </is>
      </c>
      <c r="G36" s="507" t="inlineStr">
        <is>
          <t>7 content pieces planned</t>
        </is>
      </c>
    </row>
    <row r="37">
      <c r="A37" s="507" t="inlineStr">
        <is>
          <t>Thứ 2</t>
        </is>
      </c>
      <c r="B37" s="507" t="inlineStr">
        <is>
          <t>14:00</t>
        </is>
      </c>
      <c r="C37" s="507" t="inlineStr">
        <is>
          <t>Ads optimization + Budget allocation</t>
        </is>
      </c>
      <c r="D37" s="507" t="inlineStr">
        <is>
          <t>PPC Specialist</t>
        </is>
      </c>
      <c r="E37" s="507" t="inlineStr">
        <is>
          <t>All ads channels</t>
        </is>
      </c>
      <c r="F37" s="507" t="inlineStr">
        <is>
          <t>Tối ưu ROAS</t>
        </is>
      </c>
      <c r="G37" s="507" t="inlineStr">
        <is>
          <t>Budget split confirmed</t>
        </is>
      </c>
    </row>
    <row r="38">
      <c r="A38" s="507" t="inlineStr">
        <is>
          <t>Thứ 3</t>
        </is>
      </c>
      <c r="B38" s="507" t="inlineStr">
        <is>
          <t>08:30</t>
        </is>
      </c>
      <c r="C38" s="507" t="inlineStr">
        <is>
          <t>Video production: Student testimonials</t>
        </is>
      </c>
      <c r="D38" s="507" t="inlineStr">
        <is>
          <t>Video Producer</t>
        </is>
      </c>
      <c r="E38" s="507" t="inlineStr">
        <is>
          <t>TikTok + Instagram</t>
        </is>
      </c>
      <c r="F38" s="507" t="inlineStr">
        <is>
          <t>3 video assets</t>
        </is>
      </c>
      <c r="G38" s="507" t="inlineStr">
        <is>
          <t>3 videos edited</t>
        </is>
      </c>
    </row>
    <row r="39">
      <c r="A39" s="507" t="inlineStr">
        <is>
          <t>Thứ 3</t>
        </is>
      </c>
      <c r="B39" s="507" t="inlineStr">
        <is>
          <t>13:00</t>
        </is>
      </c>
      <c r="C39" s="507" t="inlineStr">
        <is>
          <t>Livestream: Campus tour showcase</t>
        </is>
      </c>
      <c r="D39" s="507" t="inlineStr">
        <is>
          <t>Social Media Manager</t>
        </is>
      </c>
      <c r="E39" s="507" t="inlineStr">
        <is>
          <t>Facebook Live + Instagram Live</t>
        </is>
      </c>
      <c r="F39" s="507" t="inlineStr">
        <is>
          <t>500+ live viewers</t>
        </is>
      </c>
      <c r="G39" s="507" t="inlineStr">
        <is>
          <t>Engagement rate 8%+</t>
        </is>
      </c>
    </row>
    <row r="40">
      <c r="A40" s="507" t="inlineStr">
        <is>
          <t>Thứ 3</t>
        </is>
      </c>
      <c r="B40" s="507" t="inlineStr">
        <is>
          <t>16:00</t>
        </is>
      </c>
      <c r="C40" s="507" t="inlineStr">
        <is>
          <t>Email campaign: Enrollment reminder</t>
        </is>
      </c>
      <c r="D40" s="507" t="inlineStr">
        <is>
          <t>Email Specialist</t>
        </is>
      </c>
      <c r="E40" s="507" t="inlineStr">
        <is>
          <t>Email marketing</t>
        </is>
      </c>
      <c r="F40" s="507" t="inlineStr">
        <is>
          <t>Send to 10k leads</t>
        </is>
      </c>
      <c r="G40" s="507" t="inlineStr">
        <is>
          <t>Open rate 35%+</t>
        </is>
      </c>
    </row>
    <row r="41">
      <c r="A41" s="507" t="inlineStr">
        <is>
          <t>Thứ 4</t>
        </is>
      </c>
      <c r="B41" s="507" t="inlineStr">
        <is>
          <t>08:00</t>
        </is>
      </c>
      <c r="C41" s="507" t="inlineStr">
        <is>
          <t>Midweek performance check-in</t>
        </is>
      </c>
      <c r="D41" s="507" t="inlineStr">
        <is>
          <t>Analytics Manager</t>
        </is>
      </c>
      <c r="E41" s="507" t="inlineStr">
        <is>
          <t>All channels</t>
        </is>
      </c>
      <c r="F41" s="507" t="inlineStr">
        <is>
          <t>Verify KPI progress</t>
        </is>
      </c>
      <c r="G41" s="507" t="inlineStr">
        <is>
          <t>Dashboard updated</t>
        </is>
      </c>
    </row>
    <row r="42">
      <c r="A42" s="507" t="inlineStr">
        <is>
          <t>Thứ 4</t>
        </is>
      </c>
      <c r="B42" s="507" t="inlineStr">
        <is>
          <t>10:00</t>
        </is>
      </c>
      <c r="C42" s="507" t="inlineStr">
        <is>
          <t>New creative development</t>
        </is>
      </c>
      <c r="D42" s="507" t="inlineStr">
        <is>
          <t>Designer + Copywriter</t>
        </is>
      </c>
      <c r="E42" s="507" t="inlineStr">
        <is>
          <t>Ads creative</t>
        </is>
      </c>
      <c r="F42" s="507" t="inlineStr">
        <is>
          <t>5 new ad creatives</t>
        </is>
      </c>
      <c r="G42" s="507" t="inlineStr">
        <is>
          <t>A/B test ready</t>
        </is>
      </c>
    </row>
    <row r="43">
      <c r="A43" s="507" t="inlineStr">
        <is>
          <t>Thứ 4</t>
        </is>
      </c>
      <c r="B43" s="507" t="inlineStr">
        <is>
          <t>15:00</t>
        </is>
      </c>
      <c r="C43" s="507" t="inlineStr">
        <is>
          <t>Zalo OA: Nurture broadcast</t>
        </is>
      </c>
      <c r="D43" s="507" t="inlineStr">
        <is>
          <t>Zalo Specialist</t>
        </is>
      </c>
      <c r="E43" s="507" t="inlineStr">
        <is>
          <t>Zalo OA</t>
        </is>
      </c>
      <c r="F43" s="507" t="inlineStr">
        <is>
          <t>Send to 5k followers</t>
        </is>
      </c>
      <c r="G43" s="507" t="inlineStr">
        <is>
          <t>Click rate 12%+</t>
        </is>
      </c>
    </row>
    <row r="44">
      <c r="A44" s="507" t="inlineStr">
        <is>
          <t>Thứ 5</t>
        </is>
      </c>
      <c r="B44" s="507" t="inlineStr">
        <is>
          <t>09:00</t>
        </is>
      </c>
      <c r="C44" s="507" t="inlineStr">
        <is>
          <t>Community engagement: Comments &amp; DMs</t>
        </is>
      </c>
      <c r="D44" s="507" t="inlineStr">
        <is>
          <t>Social Media Manager</t>
        </is>
      </c>
      <c r="E44" s="507" t="inlineStr">
        <is>
          <t>Facebook + Instagram + Zalo</t>
        </is>
      </c>
      <c r="F44" s="507" t="inlineStr">
        <is>
          <t>100% response rate</t>
        </is>
      </c>
      <c r="G44" s="507" t="inlineStr">
        <is>
          <t>Reply time &lt;1hr</t>
        </is>
      </c>
    </row>
    <row r="45">
      <c r="A45" s="507" t="inlineStr">
        <is>
          <t>Thứ 5</t>
        </is>
      </c>
      <c r="B45" s="507" t="inlineStr">
        <is>
          <t>14:00</t>
        </is>
      </c>
      <c r="C45" s="507" t="inlineStr">
        <is>
          <t>Webinar preparation: Tech &amp; content check</t>
        </is>
      </c>
      <c r="D45" s="507" t="inlineStr">
        <is>
          <t>Webinar Manager</t>
        </is>
      </c>
      <c r="E45" s="507" t="inlineStr">
        <is>
          <t>Zoom/GoToWebinar</t>
        </is>
      </c>
      <c r="F45" s="507" t="inlineStr">
        <is>
          <t>Ready for Friday webinar</t>
        </is>
      </c>
      <c r="G45" s="507" t="inlineStr">
        <is>
          <t>Dry-run completed</t>
        </is>
      </c>
    </row>
    <row r="46">
      <c r="A46" s="507" t="inlineStr">
        <is>
          <t>Thứ 6</t>
        </is>
      </c>
      <c r="B46" s="507" t="inlineStr">
        <is>
          <t>08:00</t>
        </is>
      </c>
      <c r="C46" s="507" t="inlineStr">
        <is>
          <t>Weekly analytics deep-dive</t>
        </is>
      </c>
      <c r="D46" s="507" t="inlineStr">
        <is>
          <t>Analytics Manager</t>
        </is>
      </c>
      <c r="E46" s="507" t="inlineStr">
        <is>
          <t>All channels</t>
        </is>
      </c>
      <c r="F46" s="507" t="inlineStr">
        <is>
          <t>Analyze conversion funnel</t>
        </is>
      </c>
      <c r="G46" s="507" t="inlineStr">
        <is>
          <t>Report ready for Monday</t>
        </is>
      </c>
    </row>
    <row r="47">
      <c r="A47" s="507" t="inlineStr">
        <is>
          <t>Thứ 6</t>
        </is>
      </c>
      <c r="B47" s="507" t="inlineStr">
        <is>
          <t>11:00</t>
        </is>
      </c>
      <c r="C47" s="507" t="inlineStr">
        <is>
          <t>Webinar: Live event + Q&amp;A</t>
        </is>
      </c>
      <c r="D47" s="507" t="inlineStr">
        <is>
          <t>Webinar Host + Support team</t>
        </is>
      </c>
      <c r="E47" s="507" t="inlineStr">
        <is>
          <t>Zoom/Email</t>
        </is>
      </c>
      <c r="F47" s="507" t="inlineStr">
        <is>
          <t>200+ registrants</t>
        </is>
      </c>
      <c r="G47" s="507" t="inlineStr">
        <is>
          <t>Attendance 85%+</t>
        </is>
      </c>
    </row>
    <row r="48">
      <c r="A48" s="507" t="inlineStr">
        <is>
          <t>Thứ 6</t>
        </is>
      </c>
      <c r="B48" s="507" t="inlineStr">
        <is>
          <t>16:00</t>
        </is>
      </c>
      <c r="C48" s="507" t="inlineStr">
        <is>
          <t>Weekend content scheduling</t>
        </is>
      </c>
      <c r="D48" s="507" t="inlineStr">
        <is>
          <t>Social Media Manager</t>
        </is>
      </c>
      <c r="E48" s="507" t="inlineStr">
        <is>
          <t>TikTok + Instagram</t>
        </is>
      </c>
      <c r="F48" s="507" t="inlineStr">
        <is>
          <t>Schedule weekend posts</t>
        </is>
      </c>
      <c r="G48" s="507" t="inlineStr">
        <is>
          <t>10 posts scheduled</t>
        </is>
      </c>
    </row>
    <row r="49">
      <c r="A49" s="507" t="inlineStr">
        <is>
          <t>Thứ 7</t>
        </is>
      </c>
      <c r="B49" s="507" t="inlineStr">
        <is>
          <t>09:00</t>
        </is>
      </c>
      <c r="C49" s="507" t="inlineStr">
        <is>
          <t>Open Day support: Live social media</t>
        </is>
      </c>
      <c r="D49" s="507" t="inlineStr">
        <is>
          <t>Social Media Manager + Influencer</t>
        </is>
      </c>
      <c r="E49" s="507" t="inlineStr">
        <is>
          <t>Instagram Stories + TikTok Live</t>
        </is>
      </c>
      <c r="F49" s="507" t="inlineStr">
        <is>
          <t>Real-time engagement</t>
        </is>
      </c>
      <c r="G49" s="507" t="inlineStr">
        <is>
          <t>1000+ live viewers</t>
        </is>
      </c>
    </row>
    <row r="50">
      <c r="A50" s="507" t="inlineStr">
        <is>
          <t>Thứ 7</t>
        </is>
      </c>
      <c r="B50" s="507" t="inlineStr">
        <is>
          <t>13:00</t>
        </is>
      </c>
      <c r="C50" s="507" t="inlineStr">
        <is>
          <t>TikTok Live: Q&amp;A with students</t>
        </is>
      </c>
      <c r="D50" s="507" t="inlineStr">
        <is>
          <t>Content Creator</t>
        </is>
      </c>
      <c r="E50" s="507" t="inlineStr">
        <is>
          <t>TikTok</t>
        </is>
      </c>
      <c r="F50" s="507" t="inlineStr">
        <is>
          <t>Engagement + Lead capture</t>
        </is>
      </c>
      <c r="G50" s="507" t="inlineStr">
        <is>
          <t>500+ comments</t>
        </is>
      </c>
    </row>
    <row r="51">
      <c r="A51" s="507" t="inlineStr">
        <is>
          <t>Chủ Nhật</t>
        </is>
      </c>
      <c r="B51" s="507" t="inlineStr">
        <is>
          <t>10:00</t>
        </is>
      </c>
      <c r="C51" s="507" t="inlineStr">
        <is>
          <t>Next week planning: Review learnings</t>
        </is>
      </c>
      <c r="D51" s="507" t="inlineStr">
        <is>
          <t>Full marketing team</t>
        </is>
      </c>
      <c r="E51" s="507" t="inlineStr">
        <is>
          <t>Team meeting</t>
        </is>
      </c>
      <c r="F51" s="507" t="inlineStr">
        <is>
          <t>Plan adjustments for next week</t>
        </is>
      </c>
      <c r="G51" s="507" t="inlineStr">
        <is>
          <t>Next week calendar locked</t>
        </is>
      </c>
    </row>
    <row r="52">
      <c r="A52" s="507" t="inlineStr">
        <is>
          <t>Chủ Nhật</t>
        </is>
      </c>
      <c r="B52" s="507" t="inlineStr">
        <is>
          <t>14:00</t>
        </is>
      </c>
      <c r="C52" s="507" t="inlineStr">
        <is>
          <t>Content prep: Design &amp; copy review</t>
        </is>
      </c>
      <c r="D52" s="507" t="inlineStr">
        <is>
          <t>Designer + Copywriter</t>
        </is>
      </c>
      <c r="E52" s="507" t="inlineStr">
        <is>
          <t>Internal</t>
        </is>
      </c>
      <c r="F52" s="507" t="inlineStr">
        <is>
          <t>Ready for Monday posting</t>
        </is>
      </c>
      <c r="G52" s="507" t="inlineStr">
        <is>
          <t>20 content pieces ready</t>
        </is>
      </c>
    </row>
  </sheetData>
  <mergeCells count="2">
    <mergeCell ref="A33:G33"/>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B1:N5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8" customWidth="1" style="247" min="2" max="2"/>
    <col width="12" customWidth="1" style="247" min="3" max="13"/>
    <col width="3" customWidth="1" style="247" min="14" max="14"/>
  </cols>
  <sheetData>
    <row r="1" ht="36" customHeight="1" s="248">
      <c r="B1" s="374" t="inlineStr">
        <is>
          <t>📈 KPI WEEKLY TRACKER – 3 ĐỘI (Marketing | Tuyển Sinh | Ban Cơ Sở)</t>
        </is>
      </c>
    </row>
    <row r="2" ht="30" customHeight="1" s="248">
      <c r="B2" s="375" t="inlineStr">
        <is>
          <t>Hướng dẫn: Nhập dữ liệu thực tế vào cột "Thực tế" mỗi tuần. Cột "Vs Target" tự tính. Tô màu xanh=đạt, vàng=cần theo dõi, đỏ=cần can thiệp.</t>
        </is>
      </c>
    </row>
    <row r="3" ht="36" customHeight="1" s="248">
      <c r="B3" s="376" t="inlineStr">
        <is>
          <t>KPI / Chỉ số</t>
        </is>
      </c>
      <c r="C3" s="376" t="inlineStr">
        <is>
          <t>Tuần 1
26/03</t>
        </is>
      </c>
      <c r="D3" s="376" t="inlineStr">
        <is>
          <t>Tuần 2
02/04</t>
        </is>
      </c>
      <c r="E3" s="376" t="inlineStr">
        <is>
          <t>Tuần 3
09/04</t>
        </is>
      </c>
      <c r="F3" s="376" t="inlineStr">
        <is>
          <t>Tuần 4
16/04</t>
        </is>
      </c>
      <c r="G3" s="376" t="inlineStr">
        <is>
          <t>Tuần 5
23/04</t>
        </is>
      </c>
      <c r="H3" s="376" t="inlineStr">
        <is>
          <t>Tuần 6
30/04</t>
        </is>
      </c>
      <c r="I3" s="376" t="inlineStr">
        <is>
          <t>MTD Tích lũy</t>
        </is>
      </c>
      <c r="J3" s="376" t="inlineStr">
        <is>
          <t>Target</t>
        </is>
      </c>
      <c r="K3" s="376" t="inlineStr">
        <is>
          <t>Vs Target</t>
        </is>
      </c>
      <c r="L3" s="376" t="inlineStr">
        <is>
          <t>% đạt</t>
        </is>
      </c>
      <c r="M3" s="376" t="inlineStr">
        <is>
          <t>Cảnh báo</t>
        </is>
      </c>
    </row>
    <row r="4" ht="24" customHeight="1" s="248">
      <c r="B4" s="377" t="inlineStr">
        <is>
          <t>🎯 MARKETING – GOOGLE ADS</t>
        </is>
      </c>
    </row>
    <row r="5" ht="18" customHeight="1" s="248">
      <c r="B5" s="378" t="inlineStr">
        <is>
          <t>Spend Google (đ)</t>
        </is>
      </c>
      <c r="C5" s="379" t="n">
        <v>0</v>
      </c>
      <c r="D5" s="379" t="n">
        <v>0</v>
      </c>
      <c r="E5" s="379" t="n">
        <v>0</v>
      </c>
      <c r="F5" s="379" t="n">
        <v>0</v>
      </c>
      <c r="G5" s="379" t="n">
        <v>0</v>
      </c>
      <c r="H5" s="379" t="n">
        <v>0</v>
      </c>
      <c r="I5" s="380">
        <f>SUM(C5:H5)</f>
        <v/>
      </c>
      <c r="J5" s="381" t="n">
        <v>0</v>
      </c>
      <c r="K5" s="382">
        <f>IF(J5&gt;0,I5/J5,0)</f>
        <v/>
      </c>
      <c r="L5" s="382">
        <f>IF(J5&gt;0,I5/J5,"N/A")</f>
        <v/>
      </c>
      <c r="M5" s="383" t="inlineStr">
        <is>
          <t>-</t>
        </is>
      </c>
      <c r="N5" s="258" t="n"/>
    </row>
    <row r="6" ht="18" customHeight="1" s="248">
      <c r="B6" s="378" t="inlineStr">
        <is>
          <t>Impressions</t>
        </is>
      </c>
      <c r="C6" s="379" t="n">
        <v>0</v>
      </c>
      <c r="D6" s="379" t="n">
        <v>0</v>
      </c>
      <c r="E6" s="379" t="n">
        <v>0</v>
      </c>
      <c r="F6" s="379" t="n">
        <v>0</v>
      </c>
      <c r="G6" s="379" t="n">
        <v>0</v>
      </c>
      <c r="H6" s="379" t="n">
        <v>0</v>
      </c>
      <c r="I6" s="380">
        <f>SUM(C6:H6)</f>
        <v/>
      </c>
      <c r="J6" s="381" t="n">
        <v>0</v>
      </c>
      <c r="K6" s="382">
        <f>IF(J6&gt;0,I6/J6,0)</f>
        <v/>
      </c>
      <c r="L6" s="382">
        <f>IF(J6&gt;0,I6/J6,"N/A")</f>
        <v/>
      </c>
      <c r="M6" s="383" t="inlineStr">
        <is>
          <t>-</t>
        </is>
      </c>
      <c r="N6" s="258" t="n"/>
    </row>
    <row r="7" ht="18" customHeight="1" s="248">
      <c r="B7" s="378" t="inlineStr">
        <is>
          <t>Clicks</t>
        </is>
      </c>
      <c r="C7" s="379" t="n">
        <v>0</v>
      </c>
      <c r="D7" s="379" t="n">
        <v>0</v>
      </c>
      <c r="E7" s="379" t="n">
        <v>0</v>
      </c>
      <c r="F7" s="379" t="n">
        <v>0</v>
      </c>
      <c r="G7" s="379" t="n">
        <v>0</v>
      </c>
      <c r="H7" s="379" t="n">
        <v>0</v>
      </c>
      <c r="I7" s="380">
        <f>SUM(C7:H7)</f>
        <v/>
      </c>
      <c r="J7" s="381" t="n">
        <v>0</v>
      </c>
      <c r="K7" s="382">
        <f>IF(J7&gt;0,I7/J7,0)</f>
        <v/>
      </c>
      <c r="L7" s="382">
        <f>IF(J7&gt;0,I7/J7,"N/A")</f>
        <v/>
      </c>
      <c r="M7" s="383" t="inlineStr">
        <is>
          <t>-</t>
        </is>
      </c>
      <c r="N7" s="258" t="n"/>
    </row>
    <row r="8" ht="18" customHeight="1" s="248">
      <c r="B8" s="378" t="inlineStr">
        <is>
          <t>CTR (%)</t>
        </is>
      </c>
      <c r="C8" s="384" t="n">
        <v>0</v>
      </c>
      <c r="D8" s="384" t="n">
        <v>0</v>
      </c>
      <c r="E8" s="384" t="n">
        <v>0</v>
      </c>
      <c r="F8" s="384" t="n">
        <v>0</v>
      </c>
      <c r="G8" s="384" t="n">
        <v>0</v>
      </c>
      <c r="H8" s="384" t="n">
        <v>0</v>
      </c>
      <c r="I8" s="385">
        <f>SUM(C8:H8)</f>
        <v/>
      </c>
      <c r="J8" s="386" t="n">
        <v>0.06</v>
      </c>
      <c r="K8" s="382">
        <f>IF(J8&gt;0,I8/J8,0)</f>
        <v/>
      </c>
      <c r="L8" s="382">
        <f>IF(J8&gt;0,I8/J8,"N/A")</f>
        <v/>
      </c>
      <c r="M8" s="387" t="inlineStr">
        <is>
          <t>Ngưỡng: 0.05</t>
        </is>
      </c>
      <c r="N8" s="258" t="n"/>
    </row>
    <row r="9" ht="18" customHeight="1" s="248">
      <c r="B9" s="378" t="inlineStr">
        <is>
          <t>CPC trung bình (đ)</t>
        </is>
      </c>
      <c r="C9" s="379" t="n">
        <v>0</v>
      </c>
      <c r="D9" s="379" t="n">
        <v>0</v>
      </c>
      <c r="E9" s="379" t="n">
        <v>0</v>
      </c>
      <c r="F9" s="379" t="n">
        <v>0</v>
      </c>
      <c r="G9" s="379" t="n">
        <v>0</v>
      </c>
      <c r="H9" s="379" t="n">
        <v>0</v>
      </c>
      <c r="I9" s="380">
        <f>SUM(C9:H9)</f>
        <v/>
      </c>
      <c r="J9" s="381" t="n">
        <v>0</v>
      </c>
      <c r="K9" s="382">
        <f>IF(J9&gt;0,I9/J9,0)</f>
        <v/>
      </c>
      <c r="L9" s="382">
        <f>IF(J9&gt;0,I9/J9,"N/A")</f>
        <v/>
      </c>
      <c r="M9" s="383" t="inlineStr">
        <is>
          <t>-</t>
        </is>
      </c>
      <c r="N9" s="258" t="n"/>
    </row>
    <row r="10" ht="18" customHeight="1" s="248">
      <c r="B10" s="378" t="inlineStr">
        <is>
          <t>Leads (Google)</t>
        </is>
      </c>
      <c r="C10" s="379" t="n">
        <v>0</v>
      </c>
      <c r="D10" s="379" t="n">
        <v>0</v>
      </c>
      <c r="E10" s="379" t="n">
        <v>0</v>
      </c>
      <c r="F10" s="379" t="n">
        <v>0</v>
      </c>
      <c r="G10" s="379" t="n">
        <v>0</v>
      </c>
      <c r="H10" s="379" t="n">
        <v>0</v>
      </c>
      <c r="I10" s="380">
        <f>SUM(C10:H10)</f>
        <v/>
      </c>
      <c r="J10" s="381" t="n">
        <v>0</v>
      </c>
      <c r="K10" s="382">
        <f>IF(J10&gt;0,I10/J10,0)</f>
        <v/>
      </c>
      <c r="L10" s="382">
        <f>IF(J10&gt;0,I10/J10,"N/A")</f>
        <v/>
      </c>
      <c r="M10" s="383" t="inlineStr">
        <is>
          <t>-</t>
        </is>
      </c>
      <c r="N10" s="258" t="n"/>
    </row>
    <row r="11" ht="18" customHeight="1" s="248">
      <c r="B11" s="378" t="inlineStr">
        <is>
          <t>Qualified Leads (Google)</t>
        </is>
      </c>
      <c r="C11" s="379" t="n">
        <v>0</v>
      </c>
      <c r="D11" s="379" t="n">
        <v>0</v>
      </c>
      <c r="E11" s="379" t="n">
        <v>0</v>
      </c>
      <c r="F11" s="379" t="n">
        <v>0</v>
      </c>
      <c r="G11" s="379" t="n">
        <v>0</v>
      </c>
      <c r="H11" s="379" t="n">
        <v>0</v>
      </c>
      <c r="I11" s="380">
        <f>SUM(C11:H11)</f>
        <v/>
      </c>
      <c r="J11" s="381" t="n">
        <v>0</v>
      </c>
      <c r="K11" s="382">
        <f>IF(J11&gt;0,I11/J11,0)</f>
        <v/>
      </c>
      <c r="L11" s="382">
        <f>IF(J11&gt;0,I11/J11,"N/A")</f>
        <v/>
      </c>
      <c r="M11" s="383" t="inlineStr">
        <is>
          <t>-</t>
        </is>
      </c>
      <c r="N11" s="258" t="n"/>
    </row>
    <row r="12" ht="18" customHeight="1" s="248">
      <c r="B12" s="378" t="inlineStr">
        <is>
          <t>CPL Google (đ)</t>
        </is>
      </c>
      <c r="C12" s="379" t="n">
        <v>0</v>
      </c>
      <c r="D12" s="379" t="n">
        <v>0</v>
      </c>
      <c r="E12" s="379" t="n">
        <v>0</v>
      </c>
      <c r="F12" s="379" t="n">
        <v>0</v>
      </c>
      <c r="G12" s="379" t="n">
        <v>0</v>
      </c>
      <c r="H12" s="379" t="n">
        <v>0</v>
      </c>
      <c r="I12" s="380">
        <f>SUM(C12:H12)</f>
        <v/>
      </c>
      <c r="J12" s="381" t="n">
        <v>180000</v>
      </c>
      <c r="K12" s="382">
        <f>IF(J12&gt;0,I12/J12,0)</f>
        <v/>
      </c>
      <c r="L12" s="382">
        <f>IF(J12&gt;0,I12/J12,"N/A")</f>
        <v/>
      </c>
      <c r="M12" s="387" t="inlineStr">
        <is>
          <t>Ngưỡng: 220000</t>
        </is>
      </c>
      <c r="N12" s="258" t="n"/>
    </row>
    <row r="13" ht="18" customHeight="1" s="248">
      <c r="B13" s="378" t="inlineStr">
        <is>
          <t>Qualified Rate</t>
        </is>
      </c>
      <c r="C13" s="384" t="n">
        <v>0</v>
      </c>
      <c r="D13" s="384" t="n">
        <v>0</v>
      </c>
      <c r="E13" s="384" t="n">
        <v>0</v>
      </c>
      <c r="F13" s="384" t="n">
        <v>0</v>
      </c>
      <c r="G13" s="384" t="n">
        <v>0</v>
      </c>
      <c r="H13" s="384" t="n">
        <v>0</v>
      </c>
      <c r="I13" s="385">
        <f>SUM(C13:H13)</f>
        <v/>
      </c>
      <c r="J13" s="386" t="n">
        <v>0.5</v>
      </c>
      <c r="K13" s="382">
        <f>IF(J13&gt;0,I13/J13,0)</f>
        <v/>
      </c>
      <c r="L13" s="382">
        <f>IF(J13&gt;0,I13/J13,"N/A")</f>
        <v/>
      </c>
      <c r="M13" s="387" t="inlineStr">
        <is>
          <t>Ngưỡng: 0.4</t>
        </is>
      </c>
      <c r="N13" s="258" t="n"/>
    </row>
    <row r="14" ht="18" customHeight="1" s="248">
      <c r="B14" s="378" t="inlineStr">
        <is>
          <t>Booked Tours (Google)</t>
        </is>
      </c>
      <c r="C14" s="379" t="n">
        <v>0</v>
      </c>
      <c r="D14" s="379" t="n">
        <v>0</v>
      </c>
      <c r="E14" s="379" t="n">
        <v>0</v>
      </c>
      <c r="F14" s="379" t="n">
        <v>0</v>
      </c>
      <c r="G14" s="379" t="n">
        <v>0</v>
      </c>
      <c r="H14" s="379" t="n">
        <v>0</v>
      </c>
      <c r="I14" s="380">
        <f>SUM(C14:H14)</f>
        <v/>
      </c>
      <c r="J14" s="381" t="n">
        <v>0</v>
      </c>
      <c r="K14" s="382">
        <f>IF(J14&gt;0,I14/J14,0)</f>
        <v/>
      </c>
      <c r="L14" s="382">
        <f>IF(J14&gt;0,I14/J14,"N/A")</f>
        <v/>
      </c>
      <c r="M14" s="383" t="inlineStr">
        <is>
          <t>-</t>
        </is>
      </c>
      <c r="N14" s="258" t="n"/>
    </row>
    <row r="15" ht="18" customHeight="1" s="248">
      <c r="B15" s="378" t="inlineStr">
        <is>
          <t>Cost / Booked Tour</t>
        </is>
      </c>
      <c r="C15" s="379" t="n">
        <v>0</v>
      </c>
      <c r="D15" s="379" t="n">
        <v>0</v>
      </c>
      <c r="E15" s="379" t="n">
        <v>0</v>
      </c>
      <c r="F15" s="379" t="n">
        <v>0</v>
      </c>
      <c r="G15" s="379" t="n">
        <v>0</v>
      </c>
      <c r="H15" s="379" t="n">
        <v>0</v>
      </c>
      <c r="I15" s="380">
        <f>SUM(C15:H15)</f>
        <v/>
      </c>
      <c r="J15" s="381" t="n">
        <v>0</v>
      </c>
      <c r="K15" s="382">
        <f>IF(J15&gt;0,I15/J15,0)</f>
        <v/>
      </c>
      <c r="L15" s="382">
        <f>IF(J15&gt;0,I15/J15,"N/A")</f>
        <v/>
      </c>
      <c r="M15" s="383" t="inlineStr">
        <is>
          <t>-</t>
        </is>
      </c>
      <c r="N15" s="258" t="n"/>
    </row>
    <row r="17" ht="24" customHeight="1" s="248">
      <c r="B17" s="388" t="inlineStr">
        <is>
          <t>🎯 MARKETING – META ADS</t>
        </is>
      </c>
    </row>
    <row r="18" ht="18" customHeight="1" s="248">
      <c r="B18" s="378" t="inlineStr">
        <is>
          <t>Spend Meta (đ)</t>
        </is>
      </c>
      <c r="C18" s="379" t="n">
        <v>0</v>
      </c>
      <c r="D18" s="379" t="n">
        <v>0</v>
      </c>
      <c r="E18" s="379" t="n">
        <v>0</v>
      </c>
      <c r="F18" s="379" t="n">
        <v>0</v>
      </c>
      <c r="G18" s="379" t="n">
        <v>0</v>
      </c>
      <c r="H18" s="379" t="n">
        <v>0</v>
      </c>
      <c r="I18" s="380">
        <f>SUM(C18:H18)</f>
        <v/>
      </c>
      <c r="J18" s="381" t="n">
        <v>0</v>
      </c>
      <c r="K18" s="382">
        <f>IF(J18&gt;0,I18/J18,0)</f>
        <v/>
      </c>
      <c r="L18" s="382">
        <f>IF(J18&gt;0,I18/J18,"N/A")</f>
        <v/>
      </c>
      <c r="M18" s="383" t="inlineStr">
        <is>
          <t>-</t>
        </is>
      </c>
      <c r="N18" s="258" t="n"/>
    </row>
    <row r="19" ht="18" customHeight="1" s="248">
      <c r="B19" s="378" t="inlineStr">
        <is>
          <t>Reach / Impressions</t>
        </is>
      </c>
      <c r="C19" s="379" t="n">
        <v>0</v>
      </c>
      <c r="D19" s="379" t="n">
        <v>0</v>
      </c>
      <c r="E19" s="379" t="n">
        <v>0</v>
      </c>
      <c r="F19" s="379" t="n">
        <v>0</v>
      </c>
      <c r="G19" s="379" t="n">
        <v>0</v>
      </c>
      <c r="H19" s="379" t="n">
        <v>0</v>
      </c>
      <c r="I19" s="380">
        <f>SUM(C19:H19)</f>
        <v/>
      </c>
      <c r="J19" s="381" t="n">
        <v>0</v>
      </c>
      <c r="K19" s="382">
        <f>IF(J19&gt;0,I19/J19,0)</f>
        <v/>
      </c>
      <c r="L19" s="382">
        <f>IF(J19&gt;0,I19/J19,"N/A")</f>
        <v/>
      </c>
      <c r="M19" s="383" t="inlineStr">
        <is>
          <t>-</t>
        </is>
      </c>
      <c r="N19" s="258" t="n"/>
    </row>
    <row r="20" ht="18" customHeight="1" s="248">
      <c r="B20" s="378" t="inlineStr">
        <is>
          <t>CPM (đ)</t>
        </is>
      </c>
      <c r="C20" s="379" t="n">
        <v>0</v>
      </c>
      <c r="D20" s="379" t="n">
        <v>0</v>
      </c>
      <c r="E20" s="379" t="n">
        <v>0</v>
      </c>
      <c r="F20" s="379" t="n">
        <v>0</v>
      </c>
      <c r="G20" s="379" t="n">
        <v>0</v>
      </c>
      <c r="H20" s="379" t="n">
        <v>0</v>
      </c>
      <c r="I20" s="380">
        <f>SUM(C20:H20)</f>
        <v/>
      </c>
      <c r="J20" s="381" t="n">
        <v>0</v>
      </c>
      <c r="K20" s="382">
        <f>IF(J20&gt;0,I20/J20,0)</f>
        <v/>
      </c>
      <c r="L20" s="382">
        <f>IF(J20&gt;0,I20/J20,"N/A")</f>
        <v/>
      </c>
      <c r="M20" s="383" t="inlineStr">
        <is>
          <t>-</t>
        </is>
      </c>
      <c r="N20" s="258" t="n"/>
    </row>
    <row r="21" ht="18" customHeight="1" s="248">
      <c r="B21" s="378" t="inlineStr">
        <is>
          <t>CTR Meta (%)</t>
        </is>
      </c>
      <c r="C21" s="384" t="n">
        <v>0</v>
      </c>
      <c r="D21" s="384" t="n">
        <v>0</v>
      </c>
      <c r="E21" s="384" t="n">
        <v>0</v>
      </c>
      <c r="F21" s="384" t="n">
        <v>0</v>
      </c>
      <c r="G21" s="384" t="n">
        <v>0</v>
      </c>
      <c r="H21" s="384" t="n">
        <v>0</v>
      </c>
      <c r="I21" s="385">
        <f>SUM(C21:H21)</f>
        <v/>
      </c>
      <c r="J21" s="386" t="n">
        <v>0.015</v>
      </c>
      <c r="K21" s="382">
        <f>IF(J21&gt;0,I21/J21,0)</f>
        <v/>
      </c>
      <c r="L21" s="382">
        <f>IF(J21&gt;0,I21/J21,"N/A")</f>
        <v/>
      </c>
      <c r="M21" s="387" t="inlineStr">
        <is>
          <t>Ngưỡng: 0.01</t>
        </is>
      </c>
      <c r="N21" s="258" t="n"/>
    </row>
    <row r="22" ht="18" customHeight="1" s="248">
      <c r="B22" s="378" t="inlineStr">
        <is>
          <t>Leads (Meta)</t>
        </is>
      </c>
      <c r="C22" s="379" t="n">
        <v>0</v>
      </c>
      <c r="D22" s="379" t="n">
        <v>0</v>
      </c>
      <c r="E22" s="379" t="n">
        <v>0</v>
      </c>
      <c r="F22" s="379" t="n">
        <v>0</v>
      </c>
      <c r="G22" s="379" t="n">
        <v>0</v>
      </c>
      <c r="H22" s="379" t="n">
        <v>0</v>
      </c>
      <c r="I22" s="380">
        <f>SUM(C22:H22)</f>
        <v/>
      </c>
      <c r="J22" s="381" t="n">
        <v>0</v>
      </c>
      <c r="K22" s="382">
        <f>IF(J22&gt;0,I22/J22,0)</f>
        <v/>
      </c>
      <c r="L22" s="382">
        <f>IF(J22&gt;0,I22/J22,"N/A")</f>
        <v/>
      </c>
      <c r="M22" s="383" t="inlineStr">
        <is>
          <t>-</t>
        </is>
      </c>
      <c r="N22" s="258" t="n"/>
    </row>
    <row r="23" ht="18" customHeight="1" s="248">
      <c r="B23" s="378" t="inlineStr">
        <is>
          <t>CPL Meta (đ)</t>
        </is>
      </c>
      <c r="C23" s="379" t="n">
        <v>0</v>
      </c>
      <c r="D23" s="379" t="n">
        <v>0</v>
      </c>
      <c r="E23" s="379" t="n">
        <v>0</v>
      </c>
      <c r="F23" s="379" t="n">
        <v>0</v>
      </c>
      <c r="G23" s="379" t="n">
        <v>0</v>
      </c>
      <c r="H23" s="379" t="n">
        <v>0</v>
      </c>
      <c r="I23" s="380">
        <f>SUM(C23:H23)</f>
        <v/>
      </c>
      <c r="J23" s="381" t="n">
        <v>120000</v>
      </c>
      <c r="K23" s="382">
        <f>IF(J23&gt;0,I23/J23,0)</f>
        <v/>
      </c>
      <c r="L23" s="382">
        <f>IF(J23&gt;0,I23/J23,"N/A")</f>
        <v/>
      </c>
      <c r="M23" s="387" t="inlineStr">
        <is>
          <t>Ngưỡng: 180000</t>
        </is>
      </c>
      <c r="N23" s="258" t="n"/>
    </row>
    <row r="24" ht="18" customHeight="1" s="248">
      <c r="B24" s="378" t="inlineStr">
        <is>
          <t>Qualified Rate Meta</t>
        </is>
      </c>
      <c r="C24" s="384" t="n">
        <v>0</v>
      </c>
      <c r="D24" s="384" t="n">
        <v>0</v>
      </c>
      <c r="E24" s="384" t="n">
        <v>0</v>
      </c>
      <c r="F24" s="384" t="n">
        <v>0</v>
      </c>
      <c r="G24" s="384" t="n">
        <v>0</v>
      </c>
      <c r="H24" s="384" t="n">
        <v>0</v>
      </c>
      <c r="I24" s="385">
        <f>SUM(C24:H24)</f>
        <v/>
      </c>
      <c r="J24" s="386" t="n">
        <v>0.45</v>
      </c>
      <c r="K24" s="382">
        <f>IF(J24&gt;0,I24/J24,0)</f>
        <v/>
      </c>
      <c r="L24" s="382">
        <f>IF(J24&gt;0,I24/J24,"N/A")</f>
        <v/>
      </c>
      <c r="M24" s="387" t="inlineStr">
        <is>
          <t>Ngưỡng: 0.35</t>
        </is>
      </c>
      <c r="N24" s="258" t="n"/>
    </row>
    <row r="25" ht="18" customHeight="1" s="248">
      <c r="B25" s="378" t="inlineStr">
        <is>
          <t>Booked Tours (Meta)</t>
        </is>
      </c>
      <c r="C25" s="379" t="n">
        <v>0</v>
      </c>
      <c r="D25" s="379" t="n">
        <v>0</v>
      </c>
      <c r="E25" s="379" t="n">
        <v>0</v>
      </c>
      <c r="F25" s="379" t="n">
        <v>0</v>
      </c>
      <c r="G25" s="379" t="n">
        <v>0</v>
      </c>
      <c r="H25" s="379" t="n">
        <v>0</v>
      </c>
      <c r="I25" s="380">
        <f>SUM(C25:H25)</f>
        <v/>
      </c>
      <c r="J25" s="381" t="n">
        <v>0</v>
      </c>
      <c r="K25" s="382">
        <f>IF(J25&gt;0,I25/J25,0)</f>
        <v/>
      </c>
      <c r="L25" s="382">
        <f>IF(J25&gt;0,I25/J25,"N/A")</f>
        <v/>
      </c>
      <c r="M25" s="383" t="inlineStr">
        <is>
          <t>-</t>
        </is>
      </c>
      <c r="N25" s="258" t="n"/>
    </row>
    <row r="27" ht="24" customHeight="1" s="248">
      <c r="B27" s="389" t="inlineStr">
        <is>
          <t>🎯 MARKETING – TIKTOK / ZALO</t>
        </is>
      </c>
    </row>
    <row r="28" ht="18" customHeight="1" s="248">
      <c r="B28" s="378" t="inlineStr">
        <is>
          <t>Spend TikTok (đ)</t>
        </is>
      </c>
      <c r="C28" s="379" t="n">
        <v>0</v>
      </c>
      <c r="D28" s="379" t="n">
        <v>0</v>
      </c>
      <c r="E28" s="379" t="n">
        <v>0</v>
      </c>
      <c r="F28" s="379" t="n">
        <v>0</v>
      </c>
      <c r="G28" s="379" t="n">
        <v>0</v>
      </c>
      <c r="H28" s="379" t="n">
        <v>0</v>
      </c>
      <c r="I28" s="380">
        <f>SUM(C28:H28)</f>
        <v/>
      </c>
      <c r="J28" s="381" t="n">
        <v>0</v>
      </c>
      <c r="K28" s="382">
        <f>IF(J28&gt;0,I28/J28,0)</f>
        <v/>
      </c>
      <c r="L28" s="382">
        <f>IF(J28&gt;0,I28/J28,"N/A")</f>
        <v/>
      </c>
      <c r="M28" s="383" t="inlineStr">
        <is>
          <t>-</t>
        </is>
      </c>
      <c r="N28" s="258" t="n"/>
    </row>
    <row r="29" ht="18" customHeight="1" s="248">
      <c r="B29" s="378" t="inlineStr">
        <is>
          <t>Views / CPV</t>
        </is>
      </c>
      <c r="C29" s="379" t="n">
        <v>0</v>
      </c>
      <c r="D29" s="379" t="n">
        <v>0</v>
      </c>
      <c r="E29" s="379" t="n">
        <v>0</v>
      </c>
      <c r="F29" s="379" t="n">
        <v>0</v>
      </c>
      <c r="G29" s="379" t="n">
        <v>0</v>
      </c>
      <c r="H29" s="379" t="n">
        <v>0</v>
      </c>
      <c r="I29" s="380">
        <f>SUM(C29:H29)</f>
        <v/>
      </c>
      <c r="J29" s="381" t="n">
        <v>0</v>
      </c>
      <c r="K29" s="382">
        <f>IF(J29&gt;0,I29/J29,0)</f>
        <v/>
      </c>
      <c r="L29" s="382">
        <f>IF(J29&gt;0,I29/J29,"N/A")</f>
        <v/>
      </c>
      <c r="M29" s="383" t="inlineStr">
        <is>
          <t>-</t>
        </is>
      </c>
      <c r="N29" s="258" t="n"/>
    </row>
    <row r="30" ht="18" customHeight="1" s="248">
      <c r="B30" s="378" t="inlineStr">
        <is>
          <t>Leads TikTok</t>
        </is>
      </c>
      <c r="C30" s="379" t="n">
        <v>0</v>
      </c>
      <c r="D30" s="379" t="n">
        <v>0</v>
      </c>
      <c r="E30" s="379" t="n">
        <v>0</v>
      </c>
      <c r="F30" s="379" t="n">
        <v>0</v>
      </c>
      <c r="G30" s="379" t="n">
        <v>0</v>
      </c>
      <c r="H30" s="379" t="n">
        <v>0</v>
      </c>
      <c r="I30" s="380">
        <f>SUM(C30:H30)</f>
        <v/>
      </c>
      <c r="J30" s="381" t="n">
        <v>0</v>
      </c>
      <c r="K30" s="382">
        <f>IF(J30&gt;0,I30/J30,0)</f>
        <v/>
      </c>
      <c r="L30" s="382">
        <f>IF(J30&gt;0,I30/J30,"N/A")</f>
        <v/>
      </c>
      <c r="M30" s="383" t="inlineStr">
        <is>
          <t>-</t>
        </is>
      </c>
      <c r="N30" s="258" t="n"/>
    </row>
    <row r="31" ht="18" customHeight="1" s="248">
      <c r="B31" s="378" t="inlineStr">
        <is>
          <t>CPL TikTok (đ)</t>
        </is>
      </c>
      <c r="C31" s="379" t="n">
        <v>0</v>
      </c>
      <c r="D31" s="379" t="n">
        <v>0</v>
      </c>
      <c r="E31" s="379" t="n">
        <v>0</v>
      </c>
      <c r="F31" s="379" t="n">
        <v>0</v>
      </c>
      <c r="G31" s="379" t="n">
        <v>0</v>
      </c>
      <c r="H31" s="379" t="n">
        <v>0</v>
      </c>
      <c r="I31" s="380">
        <f>SUM(C31:H31)</f>
        <v/>
      </c>
      <c r="J31" s="381" t="n">
        <v>90000</v>
      </c>
      <c r="K31" s="382">
        <f>IF(J31&gt;0,I31/J31,0)</f>
        <v/>
      </c>
      <c r="L31" s="382">
        <f>IF(J31&gt;0,I31/J31,"N/A")</f>
        <v/>
      </c>
      <c r="M31" s="387" t="inlineStr">
        <is>
          <t>Ngưỡng: 130000</t>
        </is>
      </c>
      <c r="N31" s="258" t="n"/>
    </row>
    <row r="32" ht="18" customHeight="1" s="248">
      <c r="B32" s="378" t="inlineStr">
        <is>
          <t>Spend Zalo (đ)</t>
        </is>
      </c>
      <c r="C32" s="379" t="n">
        <v>0</v>
      </c>
      <c r="D32" s="379" t="n">
        <v>0</v>
      </c>
      <c r="E32" s="379" t="n">
        <v>0</v>
      </c>
      <c r="F32" s="379" t="n">
        <v>0</v>
      </c>
      <c r="G32" s="379" t="n">
        <v>0</v>
      </c>
      <c r="H32" s="379" t="n">
        <v>0</v>
      </c>
      <c r="I32" s="380">
        <f>SUM(C32:H32)</f>
        <v/>
      </c>
      <c r="J32" s="381" t="n">
        <v>0</v>
      </c>
      <c r="K32" s="382">
        <f>IF(J32&gt;0,I32/J32,0)</f>
        <v/>
      </c>
      <c r="L32" s="382">
        <f>IF(J32&gt;0,I32/J32,"N/A")</f>
        <v/>
      </c>
      <c r="M32" s="383" t="inlineStr">
        <is>
          <t>-</t>
        </is>
      </c>
      <c r="N32" s="258" t="n"/>
    </row>
    <row r="33" ht="18" customHeight="1" s="248">
      <c r="B33" s="378" t="inlineStr">
        <is>
          <t>Leads Zalo</t>
        </is>
      </c>
      <c r="C33" s="379" t="n">
        <v>0</v>
      </c>
      <c r="D33" s="379" t="n">
        <v>0</v>
      </c>
      <c r="E33" s="379" t="n">
        <v>0</v>
      </c>
      <c r="F33" s="379" t="n">
        <v>0</v>
      </c>
      <c r="G33" s="379" t="n">
        <v>0</v>
      </c>
      <c r="H33" s="379" t="n">
        <v>0</v>
      </c>
      <c r="I33" s="380">
        <f>SUM(C33:H33)</f>
        <v/>
      </c>
      <c r="J33" s="381" t="n">
        <v>0</v>
      </c>
      <c r="K33" s="382">
        <f>IF(J33&gt;0,I33/J33,0)</f>
        <v/>
      </c>
      <c r="L33" s="382">
        <f>IF(J33&gt;0,I33/J33,"N/A")</f>
        <v/>
      </c>
      <c r="M33" s="383" t="inlineStr">
        <is>
          <t>-</t>
        </is>
      </c>
      <c r="N33" s="258" t="n"/>
    </row>
    <row r="34" ht="18" customHeight="1" s="248">
      <c r="B34" s="378" t="inlineStr">
        <is>
          <t>CPL Zalo (đ)</t>
        </is>
      </c>
      <c r="C34" s="379" t="n">
        <v>0</v>
      </c>
      <c r="D34" s="379" t="n">
        <v>0</v>
      </c>
      <c r="E34" s="379" t="n">
        <v>0</v>
      </c>
      <c r="F34" s="379" t="n">
        <v>0</v>
      </c>
      <c r="G34" s="379" t="n">
        <v>0</v>
      </c>
      <c r="H34" s="379" t="n">
        <v>0</v>
      </c>
      <c r="I34" s="380">
        <f>SUM(C34:H34)</f>
        <v/>
      </c>
      <c r="J34" s="381" t="n">
        <v>80000</v>
      </c>
      <c r="K34" s="382">
        <f>IF(J34&gt;0,I34/J34,0)</f>
        <v/>
      </c>
      <c r="L34" s="382">
        <f>IF(J34&gt;0,I34/J34,"N/A")</f>
        <v/>
      </c>
      <c r="M34" s="387" t="inlineStr">
        <is>
          <t>Ngưỡng: 120000</t>
        </is>
      </c>
      <c r="N34" s="258" t="n"/>
    </row>
    <row r="36" ht="24" customHeight="1" s="248">
      <c r="B36" s="390" t="inlineStr">
        <is>
          <t>🏃 TUYỂN SINH – PIPELINE</t>
        </is>
      </c>
    </row>
    <row r="37" ht="18" customHeight="1" s="248">
      <c r="B37" s="378" t="inlineStr">
        <is>
          <t>Leads mới (tất cả kênh)</t>
        </is>
      </c>
      <c r="C37" s="379" t="n">
        <v>0</v>
      </c>
      <c r="D37" s="379" t="n">
        <v>0</v>
      </c>
      <c r="E37" s="379" t="n">
        <v>0</v>
      </c>
      <c r="F37" s="379" t="n">
        <v>0</v>
      </c>
      <c r="G37" s="379" t="n">
        <v>0</v>
      </c>
      <c r="H37" s="379" t="n">
        <v>0</v>
      </c>
      <c r="I37" s="380">
        <f>SUM(C37:H37)</f>
        <v/>
      </c>
      <c r="J37" s="381" t="n">
        <v>0</v>
      </c>
      <c r="K37" s="382">
        <f>IF(J37&gt;0,I37/J37,0)</f>
        <v/>
      </c>
      <c r="L37" s="382">
        <f>IF(J37&gt;0,I37/J37,"N/A")</f>
        <v/>
      </c>
      <c r="M37" s="383" t="inlineStr">
        <is>
          <t>-</t>
        </is>
      </c>
      <c r="N37" s="258" t="n"/>
    </row>
    <row r="38" ht="18" customHeight="1" s="248">
      <c r="B38" s="378" t="inlineStr">
        <is>
          <t>Leads đã gọi</t>
        </is>
      </c>
      <c r="C38" s="379" t="n">
        <v>0</v>
      </c>
      <c r="D38" s="379" t="n">
        <v>0</v>
      </c>
      <c r="E38" s="379" t="n">
        <v>0</v>
      </c>
      <c r="F38" s="379" t="n">
        <v>0</v>
      </c>
      <c r="G38" s="379" t="n">
        <v>0</v>
      </c>
      <c r="H38" s="379" t="n">
        <v>0</v>
      </c>
      <c r="I38" s="380">
        <f>SUM(C38:H38)</f>
        <v/>
      </c>
      <c r="J38" s="381" t="n">
        <v>0</v>
      </c>
      <c r="K38" s="382">
        <f>IF(J38&gt;0,I38/J38,0)</f>
        <v/>
      </c>
      <c r="L38" s="382">
        <f>IF(J38&gt;0,I38/J38,"N/A")</f>
        <v/>
      </c>
      <c r="M38" s="383" t="inlineStr">
        <is>
          <t>-</t>
        </is>
      </c>
      <c r="N38" s="258" t="n"/>
    </row>
    <row r="39" ht="18" customHeight="1" s="248">
      <c r="B39" s="378" t="inlineStr">
        <is>
          <t>Response &lt; 5 phút (%)</t>
        </is>
      </c>
      <c r="C39" s="384" t="n">
        <v>0</v>
      </c>
      <c r="D39" s="384" t="n">
        <v>0</v>
      </c>
      <c r="E39" s="384" t="n">
        <v>0</v>
      </c>
      <c r="F39" s="384" t="n">
        <v>0</v>
      </c>
      <c r="G39" s="384" t="n">
        <v>0</v>
      </c>
      <c r="H39" s="384" t="n">
        <v>0</v>
      </c>
      <c r="I39" s="385">
        <f>SUM(C39:H39)</f>
        <v/>
      </c>
      <c r="J39" s="386" t="n">
        <v>0.85</v>
      </c>
      <c r="K39" s="382">
        <f>IF(J39&gt;0,I39/J39,0)</f>
        <v/>
      </c>
      <c r="L39" s="382">
        <f>IF(J39&gt;0,I39/J39,"N/A")</f>
        <v/>
      </c>
      <c r="M39" s="387" t="inlineStr">
        <is>
          <t>Ngưỡng: 0.7</t>
        </is>
      </c>
      <c r="N39" s="258" t="n"/>
    </row>
    <row r="40" ht="18" customHeight="1" s="248">
      <c r="B40" s="378" t="inlineStr">
        <is>
          <t>Tỷ lệ bắt máy (%)</t>
        </is>
      </c>
      <c r="C40" s="384" t="n">
        <v>0</v>
      </c>
      <c r="D40" s="384" t="n">
        <v>0</v>
      </c>
      <c r="E40" s="384" t="n">
        <v>0</v>
      </c>
      <c r="F40" s="384" t="n">
        <v>0</v>
      </c>
      <c r="G40" s="384" t="n">
        <v>0</v>
      </c>
      <c r="H40" s="384" t="n">
        <v>0</v>
      </c>
      <c r="I40" s="385">
        <f>SUM(C40:H40)</f>
        <v/>
      </c>
      <c r="J40" s="386" t="n">
        <v>0.45</v>
      </c>
      <c r="K40" s="382">
        <f>IF(J40&gt;0,I40/J40,0)</f>
        <v/>
      </c>
      <c r="L40" s="382">
        <f>IF(J40&gt;0,I40/J40,"N/A")</f>
        <v/>
      </c>
      <c r="M40" s="387" t="inlineStr">
        <is>
          <t>Ngưỡng: 0.35</t>
        </is>
      </c>
      <c r="N40" s="258" t="n"/>
    </row>
    <row r="41" ht="18" customHeight="1" s="248">
      <c r="B41" s="378" t="inlineStr">
        <is>
          <t>Lịch tour đặt (Booked)</t>
        </is>
      </c>
      <c r="C41" s="379" t="n">
        <v>0</v>
      </c>
      <c r="D41" s="379" t="n">
        <v>0</v>
      </c>
      <c r="E41" s="379" t="n">
        <v>0</v>
      </c>
      <c r="F41" s="379" t="n">
        <v>0</v>
      </c>
      <c r="G41" s="379" t="n">
        <v>0</v>
      </c>
      <c r="H41" s="379" t="n">
        <v>0</v>
      </c>
      <c r="I41" s="380">
        <f>SUM(C41:H41)</f>
        <v/>
      </c>
      <c r="J41" s="381" t="n">
        <v>0</v>
      </c>
      <c r="K41" s="382">
        <f>IF(J41&gt;0,I41/J41,0)</f>
        <v/>
      </c>
      <c r="L41" s="382">
        <f>IF(J41&gt;0,I41/J41,"N/A")</f>
        <v/>
      </c>
      <c r="M41" s="383" t="inlineStr">
        <is>
          <t>-</t>
        </is>
      </c>
      <c r="N41" s="258" t="n"/>
    </row>
    <row r="42" ht="18" customHeight="1" s="248">
      <c r="B42" s="378" t="inlineStr">
        <is>
          <t>Lead → Tour rate (%)</t>
        </is>
      </c>
      <c r="C42" s="384" t="n">
        <v>0</v>
      </c>
      <c r="D42" s="384" t="n">
        <v>0</v>
      </c>
      <c r="E42" s="384" t="n">
        <v>0</v>
      </c>
      <c r="F42" s="384" t="n">
        <v>0</v>
      </c>
      <c r="G42" s="384" t="n">
        <v>0</v>
      </c>
      <c r="H42" s="384" t="n">
        <v>0</v>
      </c>
      <c r="I42" s="385">
        <f>SUM(C42:H42)</f>
        <v/>
      </c>
      <c r="J42" s="386" t="n">
        <v>0.3</v>
      </c>
      <c r="K42" s="382">
        <f>IF(J42&gt;0,I42/J42,0)</f>
        <v/>
      </c>
      <c r="L42" s="382">
        <f>IF(J42&gt;0,I42/J42,"N/A")</f>
        <v/>
      </c>
      <c r="M42" s="387" t="inlineStr">
        <is>
          <t>Ngưỡng: 0.2</t>
        </is>
      </c>
      <c r="N42" s="258" t="n"/>
    </row>
    <row r="43" ht="18" customHeight="1" s="248">
      <c r="B43" s="378" t="inlineStr">
        <is>
          <t>Tour Attended (Show-up)</t>
        </is>
      </c>
      <c r="C43" s="379" t="n">
        <v>0</v>
      </c>
      <c r="D43" s="379" t="n">
        <v>0</v>
      </c>
      <c r="E43" s="379" t="n">
        <v>0</v>
      </c>
      <c r="F43" s="379" t="n">
        <v>0</v>
      </c>
      <c r="G43" s="379" t="n">
        <v>0</v>
      </c>
      <c r="H43" s="379" t="n">
        <v>0</v>
      </c>
      <c r="I43" s="380">
        <f>SUM(C43:H43)</f>
        <v/>
      </c>
      <c r="J43" s="381" t="n">
        <v>0</v>
      </c>
      <c r="K43" s="382">
        <f>IF(J43&gt;0,I43/J43,0)</f>
        <v/>
      </c>
      <c r="L43" s="382">
        <f>IF(J43&gt;0,I43/J43,"N/A")</f>
        <v/>
      </c>
      <c r="M43" s="383" t="inlineStr">
        <is>
          <t>-</t>
        </is>
      </c>
      <c r="N43" s="258" t="n"/>
    </row>
    <row r="44" ht="18" customHeight="1" s="248">
      <c r="B44" s="378" t="inlineStr">
        <is>
          <t>Show-up rate (%)</t>
        </is>
      </c>
      <c r="C44" s="384" t="n">
        <v>0</v>
      </c>
      <c r="D44" s="384" t="n">
        <v>0</v>
      </c>
      <c r="E44" s="384" t="n">
        <v>0</v>
      </c>
      <c r="F44" s="384" t="n">
        <v>0</v>
      </c>
      <c r="G44" s="384" t="n">
        <v>0</v>
      </c>
      <c r="H44" s="384" t="n">
        <v>0</v>
      </c>
      <c r="I44" s="385">
        <f>SUM(C44:H44)</f>
        <v/>
      </c>
      <c r="J44" s="386" t="n">
        <v>0.65</v>
      </c>
      <c r="K44" s="382">
        <f>IF(J44&gt;0,I44/J44,0)</f>
        <v/>
      </c>
      <c r="L44" s="382">
        <f>IF(J44&gt;0,I44/J44,"N/A")</f>
        <v/>
      </c>
      <c r="M44" s="387" t="inlineStr">
        <is>
          <t>Ngưỡng: 0.5</t>
        </is>
      </c>
      <c r="N44" s="258" t="n"/>
    </row>
    <row r="45" ht="18" customHeight="1" s="248">
      <c r="B45" s="378" t="inlineStr">
        <is>
          <t>Hồ sơ / Đăng ký</t>
        </is>
      </c>
      <c r="C45" s="379" t="n">
        <v>0</v>
      </c>
      <c r="D45" s="379" t="n">
        <v>0</v>
      </c>
      <c r="E45" s="379" t="n">
        <v>0</v>
      </c>
      <c r="F45" s="379" t="n">
        <v>0</v>
      </c>
      <c r="G45" s="379" t="n">
        <v>0</v>
      </c>
      <c r="H45" s="379" t="n">
        <v>0</v>
      </c>
      <c r="I45" s="380">
        <f>SUM(C45:H45)</f>
        <v/>
      </c>
      <c r="J45" s="381" t="n">
        <v>0</v>
      </c>
      <c r="K45" s="382">
        <f>IF(J45&gt;0,I45/J45,0)</f>
        <v/>
      </c>
      <c r="L45" s="382">
        <f>IF(J45&gt;0,I45/J45,"N/A")</f>
        <v/>
      </c>
      <c r="M45" s="383" t="inlineStr">
        <is>
          <t>-</t>
        </is>
      </c>
      <c r="N45" s="258" t="n"/>
    </row>
    <row r="46" ht="18" customHeight="1" s="248">
      <c r="B46" s="378" t="inlineStr">
        <is>
          <t>Deposits / Đặt cọc</t>
        </is>
      </c>
      <c r="C46" s="379" t="n">
        <v>0</v>
      </c>
      <c r="D46" s="379" t="n">
        <v>0</v>
      </c>
      <c r="E46" s="379" t="n">
        <v>0</v>
      </c>
      <c r="F46" s="379" t="n">
        <v>0</v>
      </c>
      <c r="G46" s="379" t="n">
        <v>0</v>
      </c>
      <c r="H46" s="379" t="n">
        <v>0</v>
      </c>
      <c r="I46" s="380">
        <f>SUM(C46:H46)</f>
        <v/>
      </c>
      <c r="J46" s="381" t="n">
        <v>0</v>
      </c>
      <c r="K46" s="382">
        <f>IF(J46&gt;0,I46/J46,0)</f>
        <v/>
      </c>
      <c r="L46" s="382">
        <f>IF(J46&gt;0,I46/J46,"N/A")</f>
        <v/>
      </c>
      <c r="M46" s="383" t="inlineStr">
        <is>
          <t>-</t>
        </is>
      </c>
      <c r="N46" s="258" t="n"/>
    </row>
    <row r="47" ht="18" customHeight="1" s="248">
      <c r="B47" s="378" t="inlineStr">
        <is>
          <t>Nhập học (Enrollment)</t>
        </is>
      </c>
      <c r="C47" s="379" t="n">
        <v>0</v>
      </c>
      <c r="D47" s="379" t="n">
        <v>0</v>
      </c>
      <c r="E47" s="379" t="n">
        <v>0</v>
      </c>
      <c r="F47" s="379" t="n">
        <v>0</v>
      </c>
      <c r="G47" s="379" t="n">
        <v>0</v>
      </c>
      <c r="H47" s="379" t="n">
        <v>0</v>
      </c>
      <c r="I47" s="380">
        <f>SUM(C47:H47)</f>
        <v/>
      </c>
      <c r="J47" s="381" t="n">
        <v>0</v>
      </c>
      <c r="K47" s="382">
        <f>IF(J47&gt;0,I47/J47,0)</f>
        <v/>
      </c>
      <c r="L47" s="382">
        <f>IF(J47&gt;0,I47/J47,"N/A")</f>
        <v/>
      </c>
      <c r="M47" s="383" t="inlineStr">
        <is>
          <t>-</t>
        </is>
      </c>
      <c r="N47" s="258" t="n"/>
    </row>
    <row r="48" ht="18" customHeight="1" s="248">
      <c r="B48" s="378" t="inlineStr">
        <is>
          <t>Tour → Enroll rate (%)</t>
        </is>
      </c>
      <c r="C48" s="384" t="n">
        <v>0</v>
      </c>
      <c r="D48" s="384" t="n">
        <v>0</v>
      </c>
      <c r="E48" s="384" t="n">
        <v>0</v>
      </c>
      <c r="F48" s="384" t="n">
        <v>0</v>
      </c>
      <c r="G48" s="384" t="n">
        <v>0</v>
      </c>
      <c r="H48" s="384" t="n">
        <v>0</v>
      </c>
      <c r="I48" s="385">
        <f>SUM(C48:H48)</f>
        <v/>
      </c>
      <c r="J48" s="386" t="n">
        <v>0.35</v>
      </c>
      <c r="K48" s="382">
        <f>IF(J48&gt;0,I48/J48,0)</f>
        <v/>
      </c>
      <c r="L48" s="382">
        <f>IF(J48&gt;0,I48/J48,"N/A")</f>
        <v/>
      </c>
      <c r="M48" s="387" t="inlineStr">
        <is>
          <t>Ngưỡng: 0.25</t>
        </is>
      </c>
      <c r="N48" s="258" t="n"/>
    </row>
    <row r="50" ht="24" customHeight="1" s="248">
      <c r="B50" s="391" t="inlineStr">
        <is>
          <t>🏫 BAN CƠ SỞ – CAMPUS OPS</t>
        </is>
      </c>
    </row>
    <row r="51" ht="18" customHeight="1" s="248">
      <c r="B51" s="378" t="inlineStr">
        <is>
          <t>Hotline uptime (%)</t>
        </is>
      </c>
      <c r="C51" s="392" t="n">
        <v>0</v>
      </c>
      <c r="D51" s="392" t="n">
        <v>0</v>
      </c>
      <c r="E51" s="392" t="n">
        <v>0</v>
      </c>
      <c r="F51" s="392" t="n">
        <v>0</v>
      </c>
      <c r="G51" s="392" t="n">
        <v>0</v>
      </c>
      <c r="H51" s="392" t="n">
        <v>0</v>
      </c>
      <c r="I51" s="393">
        <f>SUM(C51:H51)</f>
        <v/>
      </c>
      <c r="J51" s="394" t="n">
        <v>1</v>
      </c>
      <c r="K51" s="382">
        <f>IF(J51&gt;0,I51/J51,0)</f>
        <v/>
      </c>
      <c r="L51" s="382">
        <f>IF(J51&gt;0,I51/J51,"N/A")</f>
        <v/>
      </c>
      <c r="M51" s="387" t="inlineStr">
        <is>
          <t>Ngưỡng: 0.95</t>
        </is>
      </c>
      <c r="N51" s="258" t="n"/>
    </row>
    <row r="52" ht="18" customHeight="1" s="248">
      <c r="B52" s="378" t="inlineStr">
        <is>
          <t>GMB views</t>
        </is>
      </c>
      <c r="C52" s="379" t="n">
        <v>0</v>
      </c>
      <c r="D52" s="379" t="n">
        <v>0</v>
      </c>
      <c r="E52" s="379" t="n">
        <v>0</v>
      </c>
      <c r="F52" s="379" t="n">
        <v>0</v>
      </c>
      <c r="G52" s="379" t="n">
        <v>0</v>
      </c>
      <c r="H52" s="379" t="n">
        <v>0</v>
      </c>
      <c r="I52" s="380">
        <f>SUM(C52:H52)</f>
        <v/>
      </c>
      <c r="J52" s="381" t="n">
        <v>0</v>
      </c>
      <c r="K52" s="382">
        <f>IF(J52&gt;0,I52/J52,0)</f>
        <v/>
      </c>
      <c r="L52" s="382">
        <f>IF(J52&gt;0,I52/J52,"N/A")</f>
        <v/>
      </c>
      <c r="M52" s="383" t="inlineStr">
        <is>
          <t>-</t>
        </is>
      </c>
      <c r="N52" s="258" t="n"/>
    </row>
    <row r="53" ht="18" customHeight="1" s="248">
      <c r="B53" s="378" t="inlineStr">
        <is>
          <t>Tour slots tổng</t>
        </is>
      </c>
      <c r="C53" s="379" t="n">
        <v>0</v>
      </c>
      <c r="D53" s="379" t="n">
        <v>0</v>
      </c>
      <c r="E53" s="379" t="n">
        <v>0</v>
      </c>
      <c r="F53" s="379" t="n">
        <v>0</v>
      </c>
      <c r="G53" s="379" t="n">
        <v>0</v>
      </c>
      <c r="H53" s="379" t="n">
        <v>0</v>
      </c>
      <c r="I53" s="380">
        <f>SUM(C53:H53)</f>
        <v/>
      </c>
      <c r="J53" s="381" t="n">
        <v>0</v>
      </c>
      <c r="K53" s="382">
        <f>IF(J53&gt;0,I53/J53,0)</f>
        <v/>
      </c>
      <c r="L53" s="382">
        <f>IF(J53&gt;0,I53/J53,"N/A")</f>
        <v/>
      </c>
      <c r="M53" s="383" t="inlineStr">
        <is>
          <t>-</t>
        </is>
      </c>
      <c r="N53" s="258" t="n"/>
    </row>
    <row r="54" ht="18" customHeight="1" s="248">
      <c r="B54" s="378" t="inlineStr">
        <is>
          <t>Tour slots đã book</t>
        </is>
      </c>
      <c r="C54" s="379" t="n">
        <v>0</v>
      </c>
      <c r="D54" s="379" t="n">
        <v>0</v>
      </c>
      <c r="E54" s="379" t="n">
        <v>0</v>
      </c>
      <c r="F54" s="379" t="n">
        <v>0</v>
      </c>
      <c r="G54" s="379" t="n">
        <v>0</v>
      </c>
      <c r="H54" s="379" t="n">
        <v>0</v>
      </c>
      <c r="I54" s="380">
        <f>SUM(C54:H54)</f>
        <v/>
      </c>
      <c r="J54" s="381" t="n">
        <v>0</v>
      </c>
      <c r="K54" s="382">
        <f>IF(J54&gt;0,I54/J54,0)</f>
        <v/>
      </c>
      <c r="L54" s="382">
        <f>IF(J54&gt;0,I54/J54,"N/A")</f>
        <v/>
      </c>
      <c r="M54" s="383" t="inlineStr">
        <is>
          <t>-</t>
        </is>
      </c>
      <c r="N54" s="258" t="n"/>
    </row>
    <row r="55" ht="18" customHeight="1" s="248">
      <c r="B55" s="378" t="inlineStr">
        <is>
          <t>Slot fill rate (%)</t>
        </is>
      </c>
      <c r="C55" s="384" t="n">
        <v>0</v>
      </c>
      <c r="D55" s="384" t="n">
        <v>0</v>
      </c>
      <c r="E55" s="384" t="n">
        <v>0</v>
      </c>
      <c r="F55" s="384" t="n">
        <v>0</v>
      </c>
      <c r="G55" s="384" t="n">
        <v>0</v>
      </c>
      <c r="H55" s="384" t="n">
        <v>0</v>
      </c>
      <c r="I55" s="385">
        <f>SUM(C55:H55)</f>
        <v/>
      </c>
      <c r="J55" s="386" t="n">
        <v>0.7</v>
      </c>
      <c r="K55" s="382">
        <f>IF(J55&gt;0,I55/J55,0)</f>
        <v/>
      </c>
      <c r="L55" s="382">
        <f>IF(J55&gt;0,I55/J55,"N/A")</f>
        <v/>
      </c>
      <c r="M55" s="387" t="inlineStr">
        <is>
          <t>Ngưỡng: 0.5</t>
        </is>
      </c>
      <c r="N55" s="258" t="n"/>
    </row>
    <row r="56" ht="18" customHeight="1" s="248">
      <c r="B56" s="378" t="inlineStr">
        <is>
          <t>No-show count</t>
        </is>
      </c>
      <c r="C56" s="379" t="n">
        <v>0</v>
      </c>
      <c r="D56" s="379" t="n">
        <v>0</v>
      </c>
      <c r="E56" s="379" t="n">
        <v>0</v>
      </c>
      <c r="F56" s="379" t="n">
        <v>0</v>
      </c>
      <c r="G56" s="379" t="n">
        <v>0</v>
      </c>
      <c r="H56" s="379" t="n">
        <v>0</v>
      </c>
      <c r="I56" s="380">
        <f>SUM(C56:H56)</f>
        <v/>
      </c>
      <c r="J56" s="381" t="n">
        <v>0</v>
      </c>
      <c r="K56" s="382">
        <f>IF(J56&gt;0,I56/J56,0)</f>
        <v/>
      </c>
      <c r="L56" s="382">
        <f>IF(J56&gt;0,I56/J56,"N/A")</f>
        <v/>
      </c>
      <c r="M56" s="383" t="inlineStr">
        <is>
          <t>-</t>
        </is>
      </c>
      <c r="N56" s="258" t="n"/>
    </row>
    <row r="57" ht="18" customHeight="1" s="248">
      <c r="B57" s="378" t="inlineStr">
        <is>
          <t>Ảnh/video mới upload</t>
        </is>
      </c>
      <c r="C57" s="379" t="n">
        <v>0</v>
      </c>
      <c r="D57" s="379" t="n">
        <v>0</v>
      </c>
      <c r="E57" s="379" t="n">
        <v>0</v>
      </c>
      <c r="F57" s="379" t="n">
        <v>0</v>
      </c>
      <c r="G57" s="379" t="n">
        <v>0</v>
      </c>
      <c r="H57" s="379" t="n">
        <v>0</v>
      </c>
      <c r="I57" s="380">
        <f>SUM(C57:H57)</f>
        <v/>
      </c>
      <c r="J57" s="381" t="n">
        <v>0</v>
      </c>
      <c r="K57" s="382">
        <f>IF(J57&gt;0,I57/J57,0)</f>
        <v/>
      </c>
      <c r="L57" s="382">
        <f>IF(J57&gt;0,I57/J57,"N/A")</f>
        <v/>
      </c>
      <c r="M57" s="383" t="inlineStr">
        <is>
          <t>-</t>
        </is>
      </c>
      <c r="N57" s="258" t="n"/>
    </row>
  </sheetData>
  <mergeCells count="7">
    <mergeCell ref="B36:N36"/>
    <mergeCell ref="B27:N27"/>
    <mergeCell ref="B1:N1"/>
    <mergeCell ref="B4:N4"/>
    <mergeCell ref="B50:N50"/>
    <mergeCell ref="B17:N17"/>
    <mergeCell ref="B2:N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17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6" customWidth="1" style="247" min="1" max="1"/>
    <col width="14" customWidth="1" style="247" min="2" max="2"/>
    <col width="20" customWidth="1" style="247" min="3" max="3"/>
    <col width="35" customWidth="1" style="247" min="4" max="4"/>
    <col width="50" customWidth="1" style="247" min="5" max="5"/>
    <col width="18" customWidth="1" style="247" min="6" max="8"/>
    <col width="25" customWidth="1" style="248" min="7" max="7"/>
    <col width="35" customWidth="1" style="248" min="8" max="8"/>
    <col width="12" customWidth="1" style="247" min="9" max="9"/>
  </cols>
  <sheetData>
    <row r="1" ht="36" customHeight="1" s="248">
      <c r="B1" s="374" t="inlineStr">
        <is>
          <t>📋 TODO LIST HÀNG NGÀY – MARKETING + TUYỂN SINH + CƠ SỞ</t>
        </is>
      </c>
    </row>
    <row r="2" ht="27.75" customHeight="1" s="248">
      <c r="B2" s="375" t="inlineStr">
        <is>
          <t>Dùng mỗi ngày. Đánh dấu ✅ khi hoàn thành. Ghi chú vào cột Notes. Link đến Campaign Tracker để track số liệu.</t>
        </is>
      </c>
    </row>
    <row r="3" ht="21.75" customHeight="1" s="248">
      <c r="B3" s="376" t="inlineStr">
        <is>
          <t>STT</t>
        </is>
      </c>
      <c r="C3" s="376" t="inlineStr">
        <is>
          <t>Kênh/Đội</t>
        </is>
      </c>
      <c r="D3" s="376" t="inlineStr">
        <is>
          <t>Công việc</t>
        </is>
      </c>
      <c r="E3" s="376" t="inlineStr">
        <is>
          <t>Chi tiết hành động</t>
        </is>
      </c>
      <c r="F3" s="376" t="inlineStr">
        <is>
          <t>Thời gian</t>
        </is>
      </c>
      <c r="G3" s="376" t="inlineStr">
        <is>
          <t>Ai làm</t>
        </is>
      </c>
      <c r="H3" s="376" t="inlineStr">
        <is>
          <t>Trạng thái</t>
        </is>
      </c>
      <c r="I3" s="376" t="inlineStr">
        <is>
          <t>Ghi chú</t>
        </is>
      </c>
    </row>
    <row r="4" ht="21.75" customHeight="1" s="248">
      <c r="B4" s="395" t="inlineStr">
        <is>
          <t>── BUỔI SÁNG (8:00–10:00) ──</t>
        </is>
      </c>
    </row>
    <row r="5" ht="27.75" customHeight="1" s="248">
      <c r="B5" s="396" t="n">
        <v>2</v>
      </c>
      <c r="C5" s="397" t="inlineStr">
        <is>
          <t>Google Ads</t>
        </is>
      </c>
      <c r="D5" s="398" t="inlineStr">
        <is>
          <t>Check pacing &amp; spend</t>
        </is>
      </c>
      <c r="E5" s="399" t="inlineStr">
        <is>
          <t>Login Birch → check daily pacing | Alert overspend &gt;110% → giảm ngay</t>
        </is>
      </c>
      <c r="F5" s="400" t="inlineStr">
        <is>
          <t>8:00</t>
        </is>
      </c>
      <c r="G5" s="401" t="inlineStr">
        <is>
          <t>Performance Marketer</t>
        </is>
      </c>
      <c r="H5" s="402" t="inlineStr">
        <is>
          <t>☐</t>
        </is>
      </c>
      <c r="I5" s="403" t="n"/>
    </row>
    <row r="6" ht="27.75" customHeight="1" s="248">
      <c r="B6" s="404" t="n">
        <v>3</v>
      </c>
      <c r="C6" s="405" t="inlineStr">
        <is>
          <t>Google Ads</t>
        </is>
      </c>
      <c r="D6" s="269" t="inlineStr">
        <is>
          <t>Rà search terms</t>
        </is>
      </c>
      <c r="E6" s="406" t="inlineStr">
        <is>
          <t>Xem search terms mới → Thêm negative nếu sai intent | Min 2 lần/tuần</t>
        </is>
      </c>
      <c r="F6" s="407" t="inlineStr">
        <is>
          <t>8:15</t>
        </is>
      </c>
      <c r="G6" s="275" t="inlineStr">
        <is>
          <t>Performance Marketer</t>
        </is>
      </c>
      <c r="H6" s="408" t="inlineStr">
        <is>
          <t>☐</t>
        </is>
      </c>
      <c r="I6" s="276" t="n"/>
    </row>
    <row r="7" ht="27.75" customHeight="1" s="248">
      <c r="B7" s="396" t="n">
        <v>4</v>
      </c>
      <c r="C7" s="397" t="inlineStr">
        <is>
          <t>Meta Ads</t>
        </is>
      </c>
      <c r="D7" s="398" t="inlineStr">
        <is>
          <t>Check CPL &amp; CPM</t>
        </is>
      </c>
      <c r="E7" s="399" t="inlineStr">
        <is>
          <t>Ads Manager → filter 3-day window | CPL &gt;120k → review ad set</t>
        </is>
      </c>
      <c r="F7" s="400" t="inlineStr">
        <is>
          <t>8:20</t>
        </is>
      </c>
      <c r="G7" s="401" t="inlineStr">
        <is>
          <t>Performance Marketer</t>
        </is>
      </c>
      <c r="H7" s="402" t="inlineStr">
        <is>
          <t>☐</t>
        </is>
      </c>
      <c r="I7" s="403" t="n"/>
    </row>
    <row r="8" ht="27.75" customHeight="1" s="248">
      <c r="B8" s="404" t="n">
        <v>5</v>
      </c>
      <c r="C8" s="405" t="inlineStr">
        <is>
          <t>Meta Ads</t>
        </is>
      </c>
      <c r="D8" s="269" t="inlineStr">
        <is>
          <t>Kiểm tra ad delivery</t>
        </is>
      </c>
      <c r="E8" s="406" t="inlineStr">
        <is>
          <t>Ad set nào learning phase? Nào đang scale? Nào bị từ chối?</t>
        </is>
      </c>
      <c r="F8" s="407" t="inlineStr">
        <is>
          <t>8:30</t>
        </is>
      </c>
      <c r="G8" s="275" t="inlineStr">
        <is>
          <t>Performance Marketer</t>
        </is>
      </c>
      <c r="H8" s="408" t="inlineStr">
        <is>
          <t>☐</t>
        </is>
      </c>
      <c r="I8" s="276" t="n"/>
    </row>
    <row r="9" ht="27.75" customHeight="1" s="248">
      <c r="B9" s="396" t="n">
        <v>6</v>
      </c>
      <c r="C9" s="397" t="inlineStr">
        <is>
          <t>TikTok</t>
        </is>
      </c>
      <c r="D9" s="398" t="inlineStr">
        <is>
          <t>Check CPV và engagement</t>
        </is>
      </c>
      <c r="E9" s="399" t="inlineStr">
        <is>
          <t>TikTok Ads Manager → CPV, CTR, likes | Video nào dưới 3s quit rate cao?</t>
        </is>
      </c>
      <c r="F9" s="400" t="inlineStr">
        <is>
          <t>8:40</t>
        </is>
      </c>
      <c r="G9" s="401" t="inlineStr">
        <is>
          <t>Content + Perf.</t>
        </is>
      </c>
      <c r="H9" s="402" t="inlineStr">
        <is>
          <t>☐</t>
        </is>
      </c>
      <c r="I9" s="403" t="n"/>
    </row>
    <row r="10" ht="27.75" customHeight="1" s="248">
      <c r="B10" s="404" t="n">
        <v>7</v>
      </c>
      <c r="C10" s="405" t="inlineStr">
        <is>
          <t>Zalo OA</t>
        </is>
      </c>
      <c r="D10" s="269" t="inlineStr">
        <is>
          <t>Kiểm tra broadcast</t>
        </is>
      </c>
      <c r="E10" s="406" t="inlineStr">
        <is>
          <t>Xem open rate, click | Gửi broadcast mới nếu có plan</t>
        </is>
      </c>
      <c r="F10" s="407" t="inlineStr">
        <is>
          <t>8:50</t>
        </is>
      </c>
      <c r="G10" s="275" t="inlineStr">
        <is>
          <t>CRM Executive</t>
        </is>
      </c>
      <c r="H10" s="408" t="inlineStr">
        <is>
          <t>☐</t>
        </is>
      </c>
      <c r="I10" s="276" t="n"/>
    </row>
    <row r="11" ht="27.75" customHeight="1" s="248">
      <c r="B11" s="396" t="n">
        <v>8</v>
      </c>
      <c r="C11" s="397" t="inlineStr">
        <is>
          <t>GHL / CRM</t>
        </is>
      </c>
      <c r="D11" s="398" t="inlineStr">
        <is>
          <t>Review lead mới đêm qua</t>
        </is>
      </c>
      <c r="E11" s="399" t="inlineStr">
        <is>
          <t>GHL → All leads → Filter "Created yesterday" | Check source, stage</t>
        </is>
      </c>
      <c r="F11" s="400" t="inlineStr">
        <is>
          <t>9:00</t>
        </is>
      </c>
      <c r="G11" s="401" t="inlineStr">
        <is>
          <t>Sales Lead</t>
        </is>
      </c>
      <c r="H11" s="402" t="inlineStr">
        <is>
          <t>☐</t>
        </is>
      </c>
      <c r="I11" s="403" t="n"/>
    </row>
    <row r="12" ht="27.75" customHeight="1" s="248">
      <c r="B12" s="404" t="n">
        <v>9</v>
      </c>
      <c r="C12" s="405" t="inlineStr">
        <is>
          <t>GHL / CRM</t>
        </is>
      </c>
      <c r="D12" s="269" t="inlineStr">
        <is>
          <t>Gọi lead chưa liên lạc</t>
        </is>
      </c>
      <c r="E12" s="406" t="inlineStr">
        <is>
          <t>Gọi tất cả lead &gt;12h chưa gọi | Log trong CRM</t>
        </is>
      </c>
      <c r="F12" s="407" t="inlineStr">
        <is>
          <t>9:10</t>
        </is>
      </c>
      <c r="G12" s="275" t="inlineStr">
        <is>
          <t>Tư vấn viên</t>
        </is>
      </c>
      <c r="H12" s="408" t="inlineStr">
        <is>
          <t>☐</t>
        </is>
      </c>
      <c r="I12" s="276" t="n"/>
    </row>
    <row r="13" ht="21.75" customHeight="1" s="248">
      <c r="B13" s="409" t="inlineStr">
        <is>
          <t>── BUỔI TRƯA (12:00–13:00) ──</t>
        </is>
      </c>
    </row>
    <row r="14" ht="27.75" customHeight="1" s="248">
      <c r="B14" s="404" t="n">
        <v>11</v>
      </c>
      <c r="C14" s="405" t="inlineStr">
        <is>
          <t>GHL / CRM</t>
        </is>
      </c>
      <c r="D14" s="269" t="inlineStr">
        <is>
          <t>Follow-up booked tour</t>
        </is>
      </c>
      <c r="E14" s="406" t="inlineStr">
        <is>
          <t>Nhắn Zalo/gọi lead có tour hôm nay/ngày mai | Xác nhận show-up</t>
        </is>
      </c>
      <c r="F14" s="407" t="inlineStr">
        <is>
          <t>12:00</t>
        </is>
      </c>
      <c r="G14" s="275" t="inlineStr">
        <is>
          <t>Tư vấn viên</t>
        </is>
      </c>
      <c r="H14" s="408" t="inlineStr">
        <is>
          <t>☐</t>
        </is>
      </c>
      <c r="I14" s="276" t="n"/>
    </row>
    <row r="15" ht="27.75" customHeight="1" s="248">
      <c r="B15" s="396" t="n">
        <v>12</v>
      </c>
      <c r="C15" s="397" t="inlineStr">
        <is>
          <t>Google Ads</t>
        </is>
      </c>
      <c r="D15" s="398" t="inlineStr">
        <is>
          <t>Check Quality Score</t>
        </is>
      </c>
      <c r="E15" s="399" t="inlineStr">
        <is>
          <t>Review keyword QS thấp (&lt;5) → cải thiện ad/LP</t>
        </is>
      </c>
      <c r="F15" s="400" t="inlineStr">
        <is>
          <t>12:20</t>
        </is>
      </c>
      <c r="G15" s="401" t="inlineStr">
        <is>
          <t>Performance Marketer</t>
        </is>
      </c>
      <c r="H15" s="402" t="inlineStr">
        <is>
          <t>☐</t>
        </is>
      </c>
      <c r="I15" s="403" t="n"/>
    </row>
    <row r="16" ht="27.75" customHeight="1" s="248">
      <c r="B16" s="404" t="n">
        <v>13</v>
      </c>
      <c r="C16" s="405" t="inlineStr">
        <is>
          <t>Campus</t>
        </is>
      </c>
      <c r="D16" s="269" t="inlineStr">
        <is>
          <t>Chuẩn bị tour chiều</t>
        </is>
      </c>
      <c r="E16" s="406" t="inlineStr">
        <is>
          <t>Kiểm tra phòng tư vấn, tài liệu, bảng hiệu | Campus lead xác nhận</t>
        </is>
      </c>
      <c r="F16" s="407" t="inlineStr">
        <is>
          <t>12:30</t>
        </is>
      </c>
      <c r="G16" s="275" t="inlineStr">
        <is>
          <t>Campus Manager</t>
        </is>
      </c>
      <c r="H16" s="408" t="inlineStr">
        <is>
          <t>☐</t>
        </is>
      </c>
      <c r="I16" s="276" t="n"/>
    </row>
    <row r="17" ht="21.75" customHeight="1" s="248">
      <c r="B17" s="410" t="inlineStr">
        <is>
          <t>── BUỔI CHIỀU (14:00–17:00) ──</t>
        </is>
      </c>
    </row>
    <row r="18" ht="27.75" customHeight="1" s="248">
      <c r="B18" s="404" t="n">
        <v>15</v>
      </c>
      <c r="C18" s="405" t="inlineStr">
        <is>
          <t>GHL / CRM</t>
        </is>
      </c>
      <c r="D18" s="269" t="inlineStr">
        <is>
          <t>Xử lý lead pipeline</t>
        </is>
      </c>
      <c r="E18" s="406" t="inlineStr">
        <is>
          <t>Review pipeline từng stage | Identify stuck leads | Update notes</t>
        </is>
      </c>
      <c r="F18" s="407" t="inlineStr">
        <is>
          <t>14:00</t>
        </is>
      </c>
      <c r="G18" s="275" t="inlineStr">
        <is>
          <t>Tư vấn viên</t>
        </is>
      </c>
      <c r="H18" s="408" t="inlineStr">
        <is>
          <t>☐</t>
        </is>
      </c>
      <c r="I18" s="276" t="n"/>
    </row>
    <row r="19" ht="27.75" customHeight="1" s="248">
      <c r="B19" s="396" t="n">
        <v>16</v>
      </c>
      <c r="C19" s="397" t="inlineStr">
        <is>
          <t>Meta Ads</t>
        </is>
      </c>
      <c r="D19" s="398" t="inlineStr">
        <is>
          <t>Check top/bottom ad sets</t>
        </is>
      </c>
      <c r="E19" s="399" t="inlineStr">
        <is>
          <t>Identify top 3 performers → +15-20% budget | Bottom 2 → pause/fix</t>
        </is>
      </c>
      <c r="F19" s="400" t="inlineStr">
        <is>
          <t>14:30</t>
        </is>
      </c>
      <c r="G19" s="401" t="inlineStr">
        <is>
          <t>Performance Marketer</t>
        </is>
      </c>
      <c r="H19" s="402" t="inlineStr">
        <is>
          <t>☐</t>
        </is>
      </c>
      <c r="I19" s="403" t="n"/>
    </row>
    <row r="20" ht="27.75" customHeight="1" s="248">
      <c r="B20" s="404" t="n">
        <v>17</v>
      </c>
      <c r="C20" s="405" t="inlineStr">
        <is>
          <t>Content</t>
        </is>
      </c>
      <c r="D20" s="269" t="inlineStr">
        <is>
          <t>Upload/boost nội dung</t>
        </is>
      </c>
      <c r="E20" s="406" t="inlineStr">
        <is>
          <t>Post Story, Reel, TikTok mới | Boost post organic nếu engaging</t>
        </is>
      </c>
      <c r="F20" s="407" t="inlineStr">
        <is>
          <t>15:00</t>
        </is>
      </c>
      <c r="G20" s="275" t="inlineStr">
        <is>
          <t>Content Creator</t>
        </is>
      </c>
      <c r="H20" s="408" t="inlineStr">
        <is>
          <t>☐</t>
        </is>
      </c>
      <c r="I20" s="276" t="n"/>
    </row>
    <row r="21" ht="27.75" customHeight="1" s="248">
      <c r="B21" s="396" t="n">
        <v>18</v>
      </c>
      <c r="C21" s="397" t="inlineStr">
        <is>
          <t>Campus</t>
        </is>
      </c>
      <c r="D21" s="398" t="inlineStr">
        <is>
          <t>Tiến hành tour</t>
        </is>
      </c>
      <c r="E21" s="399" t="inlineStr">
        <is>
          <t>Đón phụ huynh, tư vấn, giới thiệu campus | Log feedback sau tour</t>
        </is>
      </c>
      <c r="F21" s="400" t="inlineStr">
        <is>
          <t>15:00</t>
        </is>
      </c>
      <c r="G21" s="401" t="inlineStr">
        <is>
          <t>Campus Manager</t>
        </is>
      </c>
      <c r="H21" s="402" t="inlineStr">
        <is>
          <t>☐</t>
        </is>
      </c>
      <c r="I21" s="403" t="n"/>
    </row>
    <row r="22" ht="27.75" customHeight="1" s="248">
      <c r="B22" s="404" t="n">
        <v>19</v>
      </c>
      <c r="C22" s="405" t="inlineStr">
        <is>
          <t>GHL / CRM</t>
        </is>
      </c>
      <c r="D22" s="269" t="inlineStr">
        <is>
          <t>Post-tour follow-up</t>
        </is>
      </c>
      <c r="E22" s="406" t="inlineStr">
        <is>
          <t>Gọi/nhắn phụ huynh đã tour ngày hôm nay trong 2h | Note CRM</t>
        </is>
      </c>
      <c r="F22" s="407" t="inlineStr">
        <is>
          <t>17:00</t>
        </is>
      </c>
      <c r="G22" s="275" t="inlineStr">
        <is>
          <t>Tư vấn viên</t>
        </is>
      </c>
      <c r="H22" s="408" t="inlineStr">
        <is>
          <t>☐</t>
        </is>
      </c>
      <c r="I22" s="276" t="n"/>
    </row>
    <row r="23" ht="21.75" customHeight="1" s="248">
      <c r="B23" s="411" t="inlineStr">
        <is>
          <t>── CUỐI NGÀY (17:00–18:00) ──</t>
        </is>
      </c>
    </row>
    <row r="24" ht="27.75" customHeight="1" s="248">
      <c r="B24" s="404" t="n">
        <v>21</v>
      </c>
      <c r="C24" s="405" t="inlineStr">
        <is>
          <t>Reporting</t>
        </is>
      </c>
      <c r="D24" s="269" t="inlineStr">
        <is>
          <t>Điền Daily Metrics</t>
        </is>
      </c>
      <c r="E24" s="406" t="inlineStr">
        <is>
          <t>Điền số vào A. KPI Weekly Tracker: leads, spend, tours, enrolls</t>
        </is>
      </c>
      <c r="F24" s="407" t="inlineStr">
        <is>
          <t>17:00</t>
        </is>
      </c>
      <c r="G24" s="275" t="inlineStr">
        <is>
          <t>Performance Marketer</t>
        </is>
      </c>
      <c r="H24" s="408" t="inlineStr">
        <is>
          <t>☐</t>
        </is>
      </c>
      <c r="I24" s="276" t="n"/>
    </row>
    <row r="25" ht="27.75" customHeight="1" s="248">
      <c r="B25" s="396" t="n">
        <v>22</v>
      </c>
      <c r="C25" s="397" t="inlineStr">
        <is>
          <t>Google Ads</t>
        </is>
      </c>
      <c r="D25" s="398" t="inlineStr">
        <is>
          <t>Set bid adjustment nếu cần</t>
        </is>
      </c>
      <c r="E25" s="399" t="inlineStr">
        <is>
          <t>Device, location, time-of-day bid adj | Chạy cao hơn 9-11am, 7-9pm</t>
        </is>
      </c>
      <c r="F25" s="400" t="inlineStr">
        <is>
          <t>17:15</t>
        </is>
      </c>
      <c r="G25" s="401" t="inlineStr">
        <is>
          <t>Performance Marketer</t>
        </is>
      </c>
      <c r="H25" s="402" t="inlineStr">
        <is>
          <t>☐</t>
        </is>
      </c>
      <c r="I25" s="403" t="n"/>
    </row>
    <row r="26" ht="27.75" customHeight="1" s="248">
      <c r="B26" s="404" t="n">
        <v>23</v>
      </c>
      <c r="C26" s="405" t="inlineStr">
        <is>
          <t>GHL</t>
        </is>
      </c>
      <c r="D26" s="269" t="inlineStr">
        <is>
          <t>Tag và phân loại leads cuối ngày</t>
        </is>
      </c>
      <c r="E26" s="406" t="inlineStr">
        <is>
          <t>GHL → Today leads → Verify tags đúng: source, campus, grade, intent</t>
        </is>
      </c>
      <c r="F26" s="407" t="inlineStr">
        <is>
          <t>17:30</t>
        </is>
      </c>
      <c r="G26" s="275" t="inlineStr">
        <is>
          <t>CRM Executive</t>
        </is>
      </c>
      <c r="H26" s="408" t="inlineStr">
        <is>
          <t>☐</t>
        </is>
      </c>
      <c r="I26" s="276" t="n"/>
    </row>
    <row r="27" ht="27.75" customHeight="1" s="248">
      <c r="B27" s="396" t="n">
        <v>24</v>
      </c>
      <c r="C27" s="397" t="inlineStr">
        <is>
          <t>Reporting</t>
        </is>
      </c>
      <c r="D27" s="398" t="inlineStr">
        <is>
          <t>Báo cáo nhanh cho team</t>
        </is>
      </c>
      <c r="E27" s="399" t="inlineStr">
        <is>
          <t>Gửi Slack/Zalo: tổng leads hôm nay, tours, enrolls, anomaly</t>
        </is>
      </c>
      <c r="F27" s="400" t="inlineStr">
        <is>
          <t>17:45</t>
        </is>
      </c>
      <c r="G27" s="401" t="inlineStr">
        <is>
          <t>Marketing Lead</t>
        </is>
      </c>
      <c r="H27" s="402" t="inlineStr">
        <is>
          <t>☐</t>
        </is>
      </c>
      <c r="I27" s="403" t="n"/>
    </row>
    <row r="28" ht="27.75" customHeight="1" s="248">
      <c r="B28" s="404" t="n">
        <v>25</v>
      </c>
      <c r="C28" s="405" t="inlineStr">
        <is>
          <t>Campus</t>
        </is>
      </c>
      <c r="D28" s="269" t="inlineStr">
        <is>
          <t>Cập nhật lead feedback</t>
        </is>
      </c>
      <c r="E28" s="406" t="inlineStr">
        <is>
          <t>Log tour feedback, câu hỏi PH, lý do chưa chốt vào CRM/sheet</t>
        </is>
      </c>
      <c r="F28" s="407" t="inlineStr">
        <is>
          <t>17:50</t>
        </is>
      </c>
      <c r="G28" s="275" t="inlineStr">
        <is>
          <t>Campus Manager</t>
        </is>
      </c>
      <c r="H28" s="408" t="inlineStr">
        <is>
          <t>☐</t>
        </is>
      </c>
      <c r="I28" s="276" t="n"/>
    </row>
    <row r="31">
      <c r="A31" s="492" t="inlineStr">
        <is>
          <t>═══ DANH SÁCH CÔNG VIỆC HÀNG NGÀY CỰC KỲ CHI TIẾT — TẤT CẢ KÊNH ═══</t>
        </is>
      </c>
    </row>
    <row r="33">
      <c r="A33" s="494" t="inlineStr">
        <is>
          <t>A. CHECKLIST BUỔI SÁNG (7:00-8:30)</t>
        </is>
      </c>
    </row>
    <row r="34">
      <c r="A34" s="495" t="inlineStr">
        <is>
          <t>STT</t>
        </is>
      </c>
      <c r="B34" s="495" t="inlineStr">
        <is>
          <t>Thời gian</t>
        </is>
      </c>
      <c r="C34" s="495" t="inlineStr">
        <is>
          <t>Kênh/Công cụ</t>
        </is>
      </c>
      <c r="D34" s="495" t="inlineStr">
        <is>
          <t>Công việc cụ thể</t>
        </is>
      </c>
      <c r="E34" s="495" t="inlineStr">
        <is>
          <t>Chi tiết thực hiện</t>
        </is>
      </c>
      <c r="F34" s="495" t="inlineStr">
        <is>
          <t>Người thực hiện</t>
        </is>
      </c>
      <c r="G34" s="495" t="inlineStr">
        <is>
          <t>Output</t>
        </is>
      </c>
      <c r="H34" s="495" t="inlineStr">
        <is>
          <t>Checklist hoàn thành</t>
        </is>
      </c>
      <c r="I34" s="495" t="inlineStr">
        <is>
          <t>Ưu tiên</t>
        </is>
      </c>
    </row>
    <row r="35">
      <c r="A35" s="499" t="inlineStr">
        <is>
          <t>1</t>
        </is>
      </c>
      <c r="B35" s="499" t="inlineStr">
        <is>
          <t>7:00-7:15</t>
        </is>
      </c>
      <c r="C35" s="499" t="inlineStr">
        <is>
          <t>GHL + Pancake</t>
        </is>
      </c>
      <c r="D35" s="499" t="inlineStr">
        <is>
          <t>Check leads đêm qua</t>
        </is>
      </c>
      <c r="E35" s="499" t="inlineStr">
        <is>
          <t>Login GHL → Dashboard → New contacts (overnight). Login Pancake → Unread inbox. Ghi nhận số leads mới</t>
        </is>
      </c>
      <c r="F35" s="499" t="inlineStr">
        <is>
          <t>Marketing Lead</t>
        </is>
      </c>
      <c r="G35" s="499" t="inlineStr">
        <is>
          <t>Số leads mới, cần assign</t>
        </is>
      </c>
      <c r="H35" s="499" t="inlineStr">
        <is>
          <t>☐ Check GHL ☐ Check Pancake ☐ Ghi log</t>
        </is>
      </c>
      <c r="I35" s="499" t="inlineStr">
        <is>
          <t>CAO</t>
        </is>
      </c>
    </row>
    <row r="36">
      <c r="A36" s="500" t="inlineStr">
        <is>
          <t>2</t>
        </is>
      </c>
      <c r="B36" s="500" t="inlineStr">
        <is>
          <t>7:15-7:30</t>
        </is>
      </c>
      <c r="C36" s="500" t="inlineStr">
        <is>
          <t>GHL</t>
        </is>
      </c>
      <c r="D36" s="500" t="inlineStr">
        <is>
          <t>Assign leads chưa được phân</t>
        </is>
      </c>
      <c r="E36" s="500" t="inlineStr">
        <is>
          <t>GHL → Contacts → Unassigned → Assign theo cơ sở → Trigger welcome workflow</t>
        </is>
      </c>
      <c r="F36" s="500" t="inlineStr">
        <is>
          <t>Marketing Lead</t>
        </is>
      </c>
      <c r="G36" s="500" t="inlineStr">
        <is>
          <t>Tất cả leads đã assigned</t>
        </is>
      </c>
      <c r="H36" s="500" t="inlineStr">
        <is>
          <t>☐ Assigned ☐ Workflow triggered</t>
        </is>
      </c>
      <c r="I36" s="500" t="inlineStr">
        <is>
          <t>CAO</t>
        </is>
      </c>
    </row>
    <row r="37">
      <c r="A37" s="499" t="inlineStr">
        <is>
          <t>3</t>
        </is>
      </c>
      <c r="B37" s="499" t="inlineStr">
        <is>
          <t>7:30-7:45</t>
        </is>
      </c>
      <c r="C37" s="499" t="inlineStr">
        <is>
          <t>Facebook</t>
        </is>
      </c>
      <c r="D37" s="499" t="inlineStr">
        <is>
          <t>Check &amp; reply comments overnight</t>
        </is>
      </c>
      <c r="E37" s="499" t="inlineStr">
        <is>
          <t>FB Pages (6) → Notifications → Reply comments, ẩn spam, chuyển lead inbox. Pancake → Unread → Reply</t>
        </is>
      </c>
      <c r="F37" s="499" t="inlineStr">
        <is>
          <t>Community Mgr</t>
        </is>
      </c>
      <c r="G37" s="499" t="inlineStr">
        <is>
          <t>Comments replied, leads captured</t>
        </is>
      </c>
      <c r="H37" s="499" t="inlineStr">
        <is>
          <t>☐ All pages checked ☐ Spam removed</t>
        </is>
      </c>
      <c r="I37" s="499" t="inlineStr">
        <is>
          <t>CAO</t>
        </is>
      </c>
    </row>
    <row r="38">
      <c r="A38" s="500" t="inlineStr">
        <is>
          <t>4</t>
        </is>
      </c>
      <c r="B38" s="500" t="inlineStr">
        <is>
          <t>7:45-8:00</t>
        </is>
      </c>
      <c r="C38" s="500" t="inlineStr">
        <is>
          <t>Zalo OA</t>
        </is>
      </c>
      <c r="D38" s="500" t="inlineStr">
        <is>
          <t>Check &amp; reply Zalo messages</t>
        </is>
      </c>
      <c r="E38" s="500" t="inlineStr">
        <is>
          <t>Zalo OA Admin → Tin nhắn chưa đọc → Reply. Check chatbot misses → Manual reply. Sync leads to GHL</t>
        </is>
      </c>
      <c r="F38" s="500" t="inlineStr">
        <is>
          <t>Zalo Specialist</t>
        </is>
      </c>
      <c r="G38" s="500" t="inlineStr">
        <is>
          <t>Messages replied, leads synced</t>
        </is>
      </c>
      <c r="H38" s="500" t="inlineStr">
        <is>
          <t>☐ All messages read ☐ Leads synced</t>
        </is>
      </c>
      <c r="I38" s="500" t="inlineStr">
        <is>
          <t>CAO</t>
        </is>
      </c>
    </row>
    <row r="39">
      <c r="A39" s="499" t="inlineStr">
        <is>
          <t>5</t>
        </is>
      </c>
      <c r="B39" s="499" t="inlineStr">
        <is>
          <t>8:00-8:15</t>
        </is>
      </c>
      <c r="C39" s="499" t="inlineStr">
        <is>
          <t>Facebook Page</t>
        </is>
      </c>
      <c r="D39" s="499" t="inlineStr">
        <is>
          <t>Đăng bài sáng (hình ảnh/carousel)</t>
        </is>
      </c>
      <c r="E39" s="499" t="inlineStr">
        <is>
          <t>Đăng bài đã chuẩn bị hôm trước. 5-10 hình hoạt động HS. Caption + Hashtag + CTA. Tag location</t>
        </is>
      </c>
      <c r="F39" s="499" t="inlineStr">
        <is>
          <t>Content Writer</t>
        </is>
      </c>
      <c r="G39" s="499" t="inlineStr">
        <is>
          <t>Bài đăng live</t>
        </is>
      </c>
      <c r="H39" s="499" t="inlineStr">
        <is>
          <t>☐ Đăng FB ☐ Check format ☐ Hashtag</t>
        </is>
      </c>
      <c r="I39" s="499" t="inlineStr">
        <is>
          <t>CAO</t>
        </is>
      </c>
    </row>
    <row r="40">
      <c r="A40" s="500" t="inlineStr">
        <is>
          <t>6</t>
        </is>
      </c>
      <c r="B40" s="500" t="inlineStr">
        <is>
          <t>8:00-8:15</t>
        </is>
      </c>
      <c r="C40" s="500" t="inlineStr">
        <is>
          <t>Zalo OA</t>
        </is>
      </c>
      <c r="D40" s="500" t="inlineStr">
        <is>
          <t>Đăng bài Article Zalo</t>
        </is>
      </c>
      <c r="E40" s="500" t="inlineStr">
        <is>
          <t>Đăng article đã chuẩn bị. 300-800 từ, hình ảnh, CTA link form</t>
        </is>
      </c>
      <c r="F40" s="500" t="inlineStr">
        <is>
          <t>Content Writer</t>
        </is>
      </c>
      <c r="G40" s="500" t="inlineStr">
        <is>
          <t>Article live trên Zalo</t>
        </is>
      </c>
      <c r="H40" s="500" t="inlineStr">
        <is>
          <t>☐ Article published ☐ Link working</t>
        </is>
      </c>
      <c r="I40" s="500" t="inlineStr">
        <is>
          <t>CAO</t>
        </is>
      </c>
    </row>
    <row r="41">
      <c r="A41" s="499" t="inlineStr">
        <is>
          <t>7</t>
        </is>
      </c>
      <c r="B41" s="499" t="inlineStr">
        <is>
          <t>8:15-8:30</t>
        </is>
      </c>
      <c r="C41" s="499" t="inlineStr">
        <is>
          <t>Instagram</t>
        </is>
      </c>
      <c r="D41" s="499" t="inlineStr">
        <is>
          <t>Đăng bài/Reel IG</t>
        </is>
      </c>
      <c r="E41" s="499" t="inlineStr">
        <is>
          <t>Post carousel hoặc Reel. Optimize hashtags (30). Bio link check. Reply DMs</t>
        </is>
      </c>
      <c r="F41" s="499" t="inlineStr">
        <is>
          <t>IG Specialist</t>
        </is>
      </c>
      <c r="G41" s="499" t="inlineStr">
        <is>
          <t>IG post live, DMs replied</t>
        </is>
      </c>
      <c r="H41" s="499" t="inlineStr">
        <is>
          <t>☐ Post live ☐ Hashtags ☐ DMs</t>
        </is>
      </c>
      <c r="I41" s="499" t="inlineStr">
        <is>
          <t>TRUNG BÌNH</t>
        </is>
      </c>
    </row>
    <row r="42">
      <c r="A42" s="500" t="inlineStr">
        <is>
          <t>8</t>
        </is>
      </c>
      <c r="B42" s="500" t="inlineStr">
        <is>
          <t>8:15-8:30</t>
        </is>
      </c>
      <c r="C42" s="500" t="inlineStr">
        <is>
          <t>TikTok</t>
        </is>
      </c>
      <c r="D42" s="500" t="inlineStr">
        <is>
          <t>Đăng video TikTok sáng</t>
        </is>
      </c>
      <c r="E42" s="500" t="inlineStr">
        <is>
          <t>Upload video đã edit. Trending sound, hashtags, caption. Check analytics video hôm qua</t>
        </is>
      </c>
      <c r="F42" s="500" t="inlineStr">
        <is>
          <t>TikTok Creator</t>
        </is>
      </c>
      <c r="G42" s="500" t="inlineStr">
        <is>
          <t>TikTok video live</t>
        </is>
      </c>
      <c r="H42" s="500" t="inlineStr">
        <is>
          <t>☐ Video up ☐ Sound ☐ Hashtags</t>
        </is>
      </c>
      <c r="I42" s="500" t="inlineStr">
        <is>
          <t>TRUNG BÌNH</t>
        </is>
      </c>
    </row>
    <row r="43">
      <c r="A43" s="499" t="inlineStr">
        <is>
          <t>9</t>
        </is>
      </c>
      <c r="B43" s="499" t="inlineStr">
        <is>
          <t>8:30</t>
        </is>
      </c>
      <c r="C43" s="499" t="inlineStr">
        <is>
          <t>Google Sheets</t>
        </is>
      </c>
      <c r="D43" s="499" t="inlineStr">
        <is>
          <t>Cập nhật Morning Report</t>
        </is>
      </c>
      <c r="E43" s="499" t="inlineStr">
        <is>
          <t>Ghi số leads mới, messages overnight, engagement hôm trước. Update KPI tracker</t>
        </is>
      </c>
      <c r="F43" s="499" t="inlineStr">
        <is>
          <t>Marketing Lead</t>
        </is>
      </c>
      <c r="G43" s="499" t="inlineStr">
        <is>
          <t>Morning report complete</t>
        </is>
      </c>
      <c r="H43" s="499" t="inlineStr">
        <is>
          <t>☐ Report updated</t>
        </is>
      </c>
      <c r="I43" s="499" t="inlineStr">
        <is>
          <t>CAO</t>
        </is>
      </c>
    </row>
    <row r="45">
      <c r="A45" s="494" t="inlineStr">
        <is>
          <t>B. CHECKLIST BUỔI TRƯA (11:00-14:00)</t>
        </is>
      </c>
    </row>
    <row r="46">
      <c r="A46" s="495" t="inlineStr">
        <is>
          <t>STT</t>
        </is>
      </c>
      <c r="B46" s="495" t="inlineStr">
        <is>
          <t>Thời gian</t>
        </is>
      </c>
      <c r="C46" s="495" t="inlineStr">
        <is>
          <t>Kênh/Công cụ</t>
        </is>
      </c>
      <c r="D46" s="495" t="inlineStr">
        <is>
          <t>Công việc cụ thể</t>
        </is>
      </c>
      <c r="E46" s="495" t="inlineStr">
        <is>
          <t>Chi tiết thực hiện</t>
        </is>
      </c>
      <c r="F46" s="495" t="inlineStr">
        <is>
          <t>Người thực hiện</t>
        </is>
      </c>
      <c r="G46" s="495" t="inlineStr">
        <is>
          <t>Output</t>
        </is>
      </c>
      <c r="H46" s="495" t="inlineStr">
        <is>
          <t>Checklist hoàn thành</t>
        </is>
      </c>
      <c r="I46" s="495" t="inlineStr">
        <is>
          <t>Ưu tiên</t>
        </is>
      </c>
    </row>
    <row r="47">
      <c r="A47" s="499" t="inlineStr">
        <is>
          <t>10</t>
        </is>
      </c>
      <c r="B47" s="499" t="inlineStr">
        <is>
          <t>11:00-11:30</t>
        </is>
      </c>
      <c r="C47" s="499" t="inlineStr">
        <is>
          <t>Facebook</t>
        </is>
      </c>
      <c r="D47" s="499" t="inlineStr">
        <is>
          <t>Đăng Reels/Video trưa</t>
        </is>
      </c>
      <c r="E47" s="499" t="inlineStr">
        <is>
          <t>Video 30-60s đã edit. Upload trực tiếp (không share link). Trending format, hook 3s đầu</t>
        </is>
      </c>
      <c r="F47" s="499" t="inlineStr">
        <is>
          <t>Content Writer</t>
        </is>
      </c>
      <c r="G47" s="499" t="inlineStr">
        <is>
          <t>Reels live</t>
        </is>
      </c>
      <c r="H47" s="499" t="inlineStr">
        <is>
          <t>☐ Video upload ☐ Thumbnail ☐ Caption</t>
        </is>
      </c>
      <c r="I47" s="499" t="inlineStr">
        <is>
          <t>CAO</t>
        </is>
      </c>
    </row>
    <row r="48">
      <c r="A48" s="500" t="inlineStr">
        <is>
          <t>11</t>
        </is>
      </c>
      <c r="B48" s="500" t="inlineStr">
        <is>
          <t>11:30-12:00</t>
        </is>
      </c>
      <c r="C48" s="500" t="inlineStr">
        <is>
          <t>FB Groups</t>
        </is>
      </c>
      <c r="D48" s="500" t="inlineStr">
        <is>
          <t>Đăng bài trong 6 nhóm</t>
        </is>
      </c>
      <c r="E48" s="500" t="inlineStr">
        <is>
          <t>Mỗi nhóm 1 bài: hỏi đáp, tips, hoặc share bài Page. Caption riêng cho mỗi nhóm</t>
        </is>
      </c>
      <c r="F48" s="500" t="inlineStr">
        <is>
          <t>Community Mgr</t>
        </is>
      </c>
      <c r="G48" s="500" t="inlineStr">
        <is>
          <t>6 bài group</t>
        </is>
      </c>
      <c r="H48" s="500" t="inlineStr">
        <is>
          <t>☐ 6 nhóm đã đăng</t>
        </is>
      </c>
      <c r="I48" s="500" t="inlineStr">
        <is>
          <t>TRUNG BÌNH</t>
        </is>
      </c>
    </row>
    <row r="49">
      <c r="A49" s="499" t="inlineStr">
        <is>
          <t>12</t>
        </is>
      </c>
      <c r="B49" s="499" t="inlineStr">
        <is>
          <t>12:00-12:30</t>
        </is>
      </c>
      <c r="C49" s="499" t="inlineStr">
        <is>
          <t>Ads</t>
        </is>
      </c>
      <c r="D49" s="499" t="inlineStr">
        <is>
          <t>Check performance ads buổi sáng</t>
        </is>
      </c>
      <c r="E49" s="499" t="inlineStr">
        <is>
          <t>Birch → Dashboard → Check CPA, CTR, Spend. Nếu CPA&gt;target → điều chỉnh. GHL → Check ad leads</t>
        </is>
      </c>
      <c r="F49" s="499" t="inlineStr">
        <is>
          <t>Ads Specialist</t>
        </is>
      </c>
      <c r="G49" s="499" t="inlineStr">
        <is>
          <t>Ads optimized nếu cần</t>
        </is>
      </c>
      <c r="H49" s="499" t="inlineStr">
        <is>
          <t>☐ Birch checked ☐ Adjustments made</t>
        </is>
      </c>
      <c r="I49" s="499" t="inlineStr">
        <is>
          <t>CAO</t>
        </is>
      </c>
    </row>
    <row r="50">
      <c r="A50" s="500" t="inlineStr">
        <is>
          <t>13</t>
        </is>
      </c>
      <c r="B50" s="500" t="inlineStr">
        <is>
          <t>12:00-12:30</t>
        </is>
      </c>
      <c r="C50" s="500" t="inlineStr">
        <is>
          <t>YouTube</t>
        </is>
      </c>
      <c r="D50" s="500" t="inlineStr">
        <is>
          <t>Upload YouTube Shorts</t>
        </is>
      </c>
      <c r="E50" s="500" t="inlineStr">
        <is>
          <t>Upload Shorts đã chuẩn bị (repurpose từ TikTok). Title SEO, Description, Tags</t>
        </is>
      </c>
      <c r="F50" s="500" t="inlineStr">
        <is>
          <t>Video Team</t>
        </is>
      </c>
      <c r="G50" s="500" t="inlineStr">
        <is>
          <t>Shorts live</t>
        </is>
      </c>
      <c r="H50" s="500" t="inlineStr">
        <is>
          <t>☐ Shorts uploaded ☐ SEO done</t>
        </is>
      </c>
      <c r="I50" s="500" t="inlineStr">
        <is>
          <t>TRUNG BÌNH</t>
        </is>
      </c>
    </row>
    <row r="51">
      <c r="A51" s="499" t="inlineStr">
        <is>
          <t>14</t>
        </is>
      </c>
      <c r="B51" s="499" t="inlineStr">
        <is>
          <t>12:30-13:00</t>
        </is>
      </c>
      <c r="C51" s="499" t="inlineStr">
        <is>
          <t>Email</t>
        </is>
      </c>
      <c r="D51" s="499" t="inlineStr">
        <is>
          <t>Check email marketing performance</t>
        </is>
      </c>
      <c r="E51" s="499" t="inlineStr">
        <is>
          <t>GHL → Email → Check open rates, click rates, bounces. Resend to non-openers nếu cần</t>
        </is>
      </c>
      <c r="F51" s="499" t="inlineStr">
        <is>
          <t>Marketing Lead</t>
        </is>
      </c>
      <c r="G51" s="499" t="inlineStr">
        <is>
          <t>Email metrics logged</t>
        </is>
      </c>
      <c r="H51" s="499" t="inlineStr">
        <is>
          <t>☐ Metrics checked ☐ Resend if needed</t>
        </is>
      </c>
      <c r="I51" s="499" t="inlineStr">
        <is>
          <t>TRUNG BÌNH</t>
        </is>
      </c>
    </row>
    <row r="52">
      <c r="A52" s="500" t="inlineStr">
        <is>
          <t>15</t>
        </is>
      </c>
      <c r="B52" s="500" t="inlineStr">
        <is>
          <t>13:00-13:30</t>
        </is>
      </c>
      <c r="C52" s="500" t="inlineStr">
        <is>
          <t>Pancake CRM</t>
        </is>
      </c>
      <c r="D52" s="500" t="inlineStr">
        <is>
          <t>Check tư vấn viên response time</t>
        </is>
      </c>
      <c r="E52" s="500" t="inlineStr">
        <is>
          <t>Pancake → Reports → Response time. Nhắc nhở nếu &gt;30 phút. Ghi nhận leads cần follow up</t>
        </is>
      </c>
      <c r="F52" s="500" t="inlineStr">
        <is>
          <t>Marketing Lead</t>
        </is>
      </c>
      <c r="G52" s="500" t="inlineStr">
        <is>
          <t>Response time report</t>
        </is>
      </c>
      <c r="H52" s="500" t="inlineStr">
        <is>
          <t>☐ Response time OK ☐ Follow ups noted</t>
        </is>
      </c>
      <c r="I52" s="500" t="inlineStr">
        <is>
          <t>CAO</t>
        </is>
      </c>
    </row>
    <row r="53">
      <c r="A53" s="499" t="inlineStr">
        <is>
          <t>16</t>
        </is>
      </c>
      <c r="B53" s="499" t="inlineStr">
        <is>
          <t>13:00-14:00</t>
        </is>
      </c>
      <c r="C53" s="499" t="inlineStr">
        <is>
          <t>Content</t>
        </is>
      </c>
      <c r="D53" s="499" t="inlineStr">
        <is>
          <t>Chuẩn bị nội dung ngày mai</t>
        </is>
      </c>
      <c r="E53" s="499" t="inlineStr">
        <is>
          <t>Viết caption, chọn hình, edit video. Lên lịch sáng/trưa/tối. Chuẩn bị cho FB, Zalo, IG, TikTok, YT</t>
        </is>
      </c>
      <c r="F53" s="499" t="inlineStr">
        <is>
          <t>Content Team</t>
        </is>
      </c>
      <c r="G53" s="499" t="inlineStr">
        <is>
          <t>Content ngày mai sẵn sàng</t>
        </is>
      </c>
      <c r="H53" s="499" t="inlineStr">
        <is>
          <t>☐ FB ☐ Zalo ☐ IG ☐ TikTok ☐ YT</t>
        </is>
      </c>
      <c r="I53" s="499" t="inlineStr">
        <is>
          <t>CAO</t>
        </is>
      </c>
    </row>
    <row r="55">
      <c r="A55" s="494" t="inlineStr">
        <is>
          <t>C. CHECKLIST BUỔI CHIỀU (14:00-17:00)</t>
        </is>
      </c>
    </row>
    <row r="56">
      <c r="A56" s="495" t="inlineStr">
        <is>
          <t>STT</t>
        </is>
      </c>
      <c r="B56" s="495" t="inlineStr">
        <is>
          <t>Thời gian</t>
        </is>
      </c>
      <c r="C56" s="495" t="inlineStr">
        <is>
          <t>Kênh/Công cụ</t>
        </is>
      </c>
      <c r="D56" s="495" t="inlineStr">
        <is>
          <t>Công việc cụ thể</t>
        </is>
      </c>
      <c r="E56" s="495" t="inlineStr">
        <is>
          <t>Chi tiết thực hiện</t>
        </is>
      </c>
      <c r="F56" s="495" t="inlineStr">
        <is>
          <t>Người thực hiện</t>
        </is>
      </c>
      <c r="G56" s="495" t="inlineStr">
        <is>
          <t>Output</t>
        </is>
      </c>
      <c r="H56" s="495" t="inlineStr">
        <is>
          <t>Checklist hoàn thành</t>
        </is>
      </c>
      <c r="I56" s="495" t="inlineStr">
        <is>
          <t>Ưu tiên</t>
        </is>
      </c>
    </row>
    <row r="57">
      <c r="A57" s="499" t="inlineStr">
        <is>
          <t>17</t>
        </is>
      </c>
      <c r="B57" s="499" t="inlineStr">
        <is>
          <t>14:00-14:30</t>
        </is>
      </c>
      <c r="C57" s="499" t="inlineStr">
        <is>
          <t>GHL</t>
        </is>
      </c>
      <c r="D57" s="499" t="inlineStr">
        <is>
          <t>Follow up leads hôm qua chưa convert</t>
        </is>
      </c>
      <c r="E57" s="499" t="inlineStr">
        <is>
          <t>GHL → Pipeline → Contacted stage &gt;24h → Call/Zalo follow up. Update notes</t>
        </is>
      </c>
      <c r="F57" s="499" t="inlineStr">
        <is>
          <t>Tư vấn viên</t>
        </is>
      </c>
      <c r="G57" s="499" t="inlineStr">
        <is>
          <t>Leads followed up</t>
        </is>
      </c>
      <c r="H57" s="499" t="inlineStr">
        <is>
          <t>☐ Leads contacted ☐ Notes updated</t>
        </is>
      </c>
      <c r="I57" s="499" t="inlineStr">
        <is>
          <t>CAO</t>
        </is>
      </c>
    </row>
    <row r="58">
      <c r="A58" s="500" t="inlineStr">
        <is>
          <t>18</t>
        </is>
      </c>
      <c r="B58" s="500" t="inlineStr">
        <is>
          <t>14:30-15:00</t>
        </is>
      </c>
      <c r="C58" s="500" t="inlineStr">
        <is>
          <t>Video</t>
        </is>
      </c>
      <c r="D58" s="500" t="inlineStr">
        <is>
          <t>Quay/edit video cho TikTok + Reels ngày mai</t>
        </is>
      </c>
      <c r="E58" s="500" t="inlineStr">
        <is>
          <t>Quay cảnh HS hoạt động, GV giảng bài. Edit: CapCut 30-60s. Add text overlay, music</t>
        </is>
      </c>
      <c r="F58" s="500" t="inlineStr">
        <is>
          <t>Video Team</t>
        </is>
      </c>
      <c r="G58" s="500" t="inlineStr">
        <is>
          <t>2-3 video ready</t>
        </is>
      </c>
      <c r="H58" s="500" t="inlineStr">
        <is>
          <t>☐ Quay xong ☐ Edit xong ☐ Save</t>
        </is>
      </c>
      <c r="I58" s="500" t="inlineStr">
        <is>
          <t>TRUNG BÌNH</t>
        </is>
      </c>
    </row>
    <row r="59">
      <c r="A59" s="499" t="inlineStr">
        <is>
          <t>19</t>
        </is>
      </c>
      <c r="B59" s="499" t="inlineStr">
        <is>
          <t>15:00-15:30</t>
        </is>
      </c>
      <c r="C59" s="499" t="inlineStr">
        <is>
          <t>Facebook</t>
        </is>
      </c>
      <c r="D59" s="499" t="inlineStr">
        <is>
          <t>Engage &amp; Reply tất cả comments/inbox mới</t>
        </is>
      </c>
      <c r="E59" s="499" t="inlineStr">
        <is>
          <t>Check 6 Pages + 6 Groups → Reply comments → Chuyển lead inbox → Update Pancake</t>
        </is>
      </c>
      <c r="F59" s="499" t="inlineStr">
        <is>
          <t>Community Mgr</t>
        </is>
      </c>
      <c r="G59" s="499" t="inlineStr">
        <is>
          <t>All engaged</t>
        </is>
      </c>
      <c r="H59" s="499" t="inlineStr">
        <is>
          <t>☐ Pages ☐ Groups ☐ Leads captured</t>
        </is>
      </c>
      <c r="I59" s="499" t="inlineStr">
        <is>
          <t>CAO</t>
        </is>
      </c>
    </row>
    <row r="60">
      <c r="A60" s="500" t="inlineStr">
        <is>
          <t>20</t>
        </is>
      </c>
      <c r="B60" s="500" t="inlineStr">
        <is>
          <t>15:00-15:30</t>
        </is>
      </c>
      <c r="C60" s="500" t="inlineStr">
        <is>
          <t>Zalo</t>
        </is>
      </c>
      <c r="D60" s="500" t="inlineStr">
        <is>
          <t>Follow up Zalo messages + Broadcast (nếu có)</t>
        </is>
      </c>
      <c r="E60" s="500" t="inlineStr">
        <is>
          <t>Check tin nhắn mới → Reply → Nếu T3/T6: gửi broadcast theo segment</t>
        </is>
      </c>
      <c r="F60" s="500" t="inlineStr">
        <is>
          <t>Zalo Specialist</t>
        </is>
      </c>
      <c r="G60" s="500" t="inlineStr">
        <is>
          <t>Zalo up-to-date</t>
        </is>
      </c>
      <c r="H60" s="500" t="inlineStr">
        <is>
          <t>☐ Messages ☐ Broadcast (if applicable)</t>
        </is>
      </c>
      <c r="I60" s="500" t="inlineStr">
        <is>
          <t>CAO</t>
        </is>
      </c>
    </row>
    <row r="61">
      <c r="A61" s="499" t="inlineStr">
        <is>
          <t>21</t>
        </is>
      </c>
      <c r="B61" s="499" t="inlineStr">
        <is>
          <t>15:30-16:00</t>
        </is>
      </c>
      <c r="C61" s="499" t="inlineStr">
        <is>
          <t>Ads</t>
        </is>
      </c>
      <c r="D61" s="499" t="inlineStr">
        <is>
          <t>Optimize ads chiều</t>
        </is>
      </c>
      <c r="E61" s="499" t="inlineStr">
        <is>
          <t>Birch → Check afternoon performance. Adjust bids, budgets. Pause underperforming ads. Scale winners</t>
        </is>
      </c>
      <c r="F61" s="499" t="inlineStr">
        <is>
          <t>Ads Specialist</t>
        </is>
      </c>
      <c r="G61" s="499" t="inlineStr">
        <is>
          <t>Ads optimized</t>
        </is>
      </c>
      <c r="H61" s="499" t="inlineStr">
        <is>
          <t>☐ Check performance ☐ Adjustments</t>
        </is>
      </c>
      <c r="I61" s="499" t="inlineStr">
        <is>
          <t>CAO</t>
        </is>
      </c>
    </row>
    <row r="62">
      <c r="A62" s="500" t="inlineStr">
        <is>
          <t>22</t>
        </is>
      </c>
      <c r="B62" s="500" t="inlineStr">
        <is>
          <t>16:00-16:30</t>
        </is>
      </c>
      <c r="C62" s="500" t="inlineStr">
        <is>
          <t>GHL + Pancake</t>
        </is>
      </c>
      <c r="D62" s="500" t="inlineStr">
        <is>
          <t>Đồng bộ data kiểm tra</t>
        </is>
      </c>
      <c r="E62" s="500" t="inlineStr">
        <is>
          <t>Check Make.com → Scenario logs → Errors. Verify GHL contacts = Pancake contacts. Fix discrepancies</t>
        </is>
      </c>
      <c r="F62" s="500" t="inlineStr">
        <is>
          <t>IT Admin</t>
        </is>
      </c>
      <c r="G62" s="500" t="inlineStr">
        <is>
          <t>Data synced</t>
        </is>
      </c>
      <c r="H62" s="500" t="inlineStr">
        <is>
          <t>☐ Make.com logs ☐ Sync verified</t>
        </is>
      </c>
      <c r="I62" s="500" t="inlineStr">
        <is>
          <t>TRUNG BÌNH</t>
        </is>
      </c>
    </row>
    <row r="63">
      <c r="A63" s="499" t="inlineStr">
        <is>
          <t>23</t>
        </is>
      </c>
      <c r="B63" s="499" t="inlineStr">
        <is>
          <t>16:30-17:00</t>
        </is>
      </c>
      <c r="C63" s="499" t="inlineStr">
        <is>
          <t>Google Sheets</t>
        </is>
      </c>
      <c r="D63" s="499" t="inlineStr">
        <is>
          <t>Cập nhật KPI tracker hàng ngày</t>
        </is>
      </c>
      <c r="E63" s="499" t="inlineStr">
        <is>
          <t>Ghi nhận: leads, tours booked, cost, engagement, followers gained. Update all channels</t>
        </is>
      </c>
      <c r="F63" s="499" t="inlineStr">
        <is>
          <t>Marketing Lead</t>
        </is>
      </c>
      <c r="G63" s="499" t="inlineStr">
        <is>
          <t>Daily KPI updated</t>
        </is>
      </c>
      <c r="H63" s="499" t="inlineStr">
        <is>
          <t>☐ All KPIs logged</t>
        </is>
      </c>
      <c r="I63" s="499" t="inlineStr">
        <is>
          <t>CAO</t>
        </is>
      </c>
    </row>
    <row r="65">
      <c r="A65" s="494" t="inlineStr">
        <is>
          <t>D. CHECKLIST BUỔI TỐI (19:00-21:00)</t>
        </is>
      </c>
    </row>
    <row r="66">
      <c r="A66" s="495" t="inlineStr">
        <is>
          <t>STT</t>
        </is>
      </c>
      <c r="B66" s="495" t="inlineStr">
        <is>
          <t>Thời gian</t>
        </is>
      </c>
      <c r="C66" s="495" t="inlineStr">
        <is>
          <t>Kênh/Công cụ</t>
        </is>
      </c>
      <c r="D66" s="495" t="inlineStr">
        <is>
          <t>Công việc cụ thể</t>
        </is>
      </c>
      <c r="E66" s="495" t="inlineStr">
        <is>
          <t>Chi tiết thực hiện</t>
        </is>
      </c>
      <c r="F66" s="495" t="inlineStr">
        <is>
          <t>Người thực hiện</t>
        </is>
      </c>
      <c r="G66" s="495" t="inlineStr">
        <is>
          <t>Output</t>
        </is>
      </c>
      <c r="H66" s="495" t="inlineStr">
        <is>
          <t>Checklist hoàn thành</t>
        </is>
      </c>
      <c r="I66" s="495" t="inlineStr">
        <is>
          <t>Ưu tiên</t>
        </is>
      </c>
    </row>
    <row r="67">
      <c r="A67" s="499" t="inlineStr">
        <is>
          <t>24</t>
        </is>
      </c>
      <c r="B67" s="499" t="inlineStr">
        <is>
          <t>19:00-19:30</t>
        </is>
      </c>
      <c r="C67" s="499" t="inlineStr">
        <is>
          <t>Facebook</t>
        </is>
      </c>
      <c r="D67" s="499" t="inlineStr">
        <is>
          <t>Đăng bài tối (tips/chia sẻ giá trị)</t>
        </is>
      </c>
      <c r="E67" s="499" t="inlineStr">
        <is>
          <t>Bài viết dài 200-500 từ: tips nuôi con, chuẩn bị vào trường, review chương trình</t>
        </is>
      </c>
      <c r="F67" s="499" t="inlineStr">
        <is>
          <t>Content Writer</t>
        </is>
      </c>
      <c r="G67" s="499" t="inlineStr">
        <is>
          <t>Bài tối live</t>
        </is>
      </c>
      <c r="H67" s="499" t="inlineStr">
        <is>
          <t>☐ Bài đăng ☐ Engagement monitor</t>
        </is>
      </c>
      <c r="I67" s="499" t="inlineStr">
        <is>
          <t>TRUNG BÌNH</t>
        </is>
      </c>
    </row>
    <row r="68">
      <c r="A68" s="500" t="inlineStr">
        <is>
          <t>25</t>
        </is>
      </c>
      <c r="B68" s="500" t="inlineStr">
        <is>
          <t>19:30-20:00</t>
        </is>
      </c>
      <c r="C68" s="500" t="inlineStr">
        <is>
          <t>TikTok</t>
        </is>
      </c>
      <c r="D68" s="500" t="inlineStr">
        <is>
          <t>Đăng video TikTok tối</t>
        </is>
      </c>
      <c r="E68" s="500" t="inlineStr">
        <is>
          <t>Video trending/challenge. Thời điểm engagement cao nhất TikTok VN</t>
        </is>
      </c>
      <c r="F68" s="500" t="inlineStr">
        <is>
          <t>TikTok Creator</t>
        </is>
      </c>
      <c r="G68" s="500" t="inlineStr">
        <is>
          <t>TikTok video live</t>
        </is>
      </c>
      <c r="H68" s="500" t="inlineStr">
        <is>
          <t>☐ Video posted</t>
        </is>
      </c>
      <c r="I68" s="500" t="inlineStr">
        <is>
          <t>TRUNG BÌNH</t>
        </is>
      </c>
    </row>
    <row r="69">
      <c r="A69" s="499" t="inlineStr">
        <is>
          <t>26</t>
        </is>
      </c>
      <c r="B69" s="499" t="inlineStr">
        <is>
          <t>20:00-21:00</t>
        </is>
      </c>
      <c r="C69" s="499" t="inlineStr">
        <is>
          <t>Facebook/Zalo</t>
        </is>
      </c>
      <c r="D69" s="499" t="inlineStr">
        <is>
          <t>Livestream tư vấn (nếu T3/T5)</t>
        </is>
      </c>
      <c r="E69" s="499" t="inlineStr">
        <is>
          <t>Setup live: OBS/StreamYard → FB Page + Zalo Group. Slide + Q&amp;A. Record</t>
        </is>
      </c>
      <c r="F69" s="499" t="inlineStr">
        <is>
          <t>GV/Hiệu trưởng</t>
        </is>
      </c>
      <c r="G69" s="499" t="inlineStr">
        <is>
          <t>Livestream done</t>
        </is>
      </c>
      <c r="H69" s="499" t="inlineStr">
        <is>
          <t>☐ Live started ☐ Q&amp;A ☐ Recording</t>
        </is>
      </c>
      <c r="I69" s="499" t="inlineStr">
        <is>
          <t>CAO (T3/T5)</t>
        </is>
      </c>
    </row>
    <row r="70">
      <c r="A70" s="500" t="inlineStr">
        <is>
          <t>27</t>
        </is>
      </c>
      <c r="B70" s="500" t="inlineStr">
        <is>
          <t>20:00-21:00</t>
        </is>
      </c>
      <c r="C70" s="500" t="inlineStr">
        <is>
          <t>IG Stories</t>
        </is>
      </c>
      <c r="D70" s="500" t="inlineStr">
        <is>
          <t>Đăng Stories cuối ngày</t>
        </is>
      </c>
      <c r="E70" s="500" t="inlineStr">
        <is>
          <t>Behind the scenes hôm nay, poll cho ngày mai, countdown sự kiện sắp tới</t>
        </is>
      </c>
      <c r="F70" s="500" t="inlineStr">
        <is>
          <t>IG Specialist</t>
        </is>
      </c>
      <c r="G70" s="500" t="inlineStr">
        <is>
          <t>Stories posted</t>
        </is>
      </c>
      <c r="H70" s="500" t="inlineStr">
        <is>
          <t>☐ 3-5 stories posted</t>
        </is>
      </c>
      <c r="I70" s="500" t="inlineStr">
        <is>
          <t>THẤP</t>
        </is>
      </c>
    </row>
    <row r="71">
      <c r="A71" s="499" t="inlineStr">
        <is>
          <t>28</t>
        </is>
      </c>
      <c r="B71" s="499" t="inlineStr">
        <is>
          <t>21:00</t>
        </is>
      </c>
      <c r="C71" s="499" t="inlineStr">
        <is>
          <t>Tổng kết</t>
        </is>
      </c>
      <c r="D71" s="499" t="inlineStr">
        <is>
          <t>End-of-day review &amp; Slack update</t>
        </is>
      </c>
      <c r="E71" s="499" t="inlineStr">
        <is>
          <t>Tóm tắt ngày: leads, engagement highlights, issues. Post vào Zalo group team</t>
        </is>
      </c>
      <c r="F71" s="499" t="inlineStr">
        <is>
          <t>Marketing Lead</t>
        </is>
      </c>
      <c r="G71" s="499" t="inlineStr">
        <is>
          <t>EOD report</t>
        </is>
      </c>
      <c r="H71" s="499" t="inlineStr">
        <is>
          <t>☐ Summary sent to team</t>
        </is>
      </c>
      <c r="I71" s="499" t="inlineStr">
        <is>
          <t>CAO</t>
        </is>
      </c>
    </row>
    <row r="74">
      <c r="A74" s="492" t="inlineStr">
        <is>
          <t>CÔNG VIỆC HÀNG NGÀY - CHI TIẾT THEO THÁNG</t>
        </is>
      </c>
    </row>
    <row r="76">
      <c r="A76" s="510" t="inlineStr">
        <is>
          <t>Tháng 4 (T4) - SETUP</t>
        </is>
      </c>
    </row>
    <row r="77">
      <c r="A77" s="509" t="n">
        <v>1</v>
      </c>
      <c r="B77" s="511" t="inlineStr">
        <is>
          <t>Cài đặt Google Ads campaigns: Copy templates, setup keyword groups</t>
        </is>
      </c>
    </row>
    <row r="78">
      <c r="A78" s="509" t="n">
        <v>2</v>
      </c>
      <c r="B78" s="511" t="inlineStr">
        <is>
          <t>Setup Meta Ads: Audience segmentation, pixel tracking kiểm tra</t>
        </is>
      </c>
    </row>
    <row r="79">
      <c r="A79" s="509" t="n">
        <v>3</v>
      </c>
      <c r="B79" s="511" t="inlineStr">
        <is>
          <t>Tạo landing pages: Form validation, follow-up automation setup</t>
        </is>
      </c>
    </row>
    <row r="80">
      <c r="A80" s="509" t="n">
        <v>4</v>
      </c>
      <c r="B80" s="511" t="inlineStr">
        <is>
          <t>Cấu hình GHL: Pipelines, automation workflows, email sequences</t>
        </is>
      </c>
    </row>
    <row r="81">
      <c r="A81" s="509" t="n">
        <v>5</v>
      </c>
      <c r="B81" s="511" t="inlineStr">
        <is>
          <t>Tạo template: Email, SMS, Chatbot flows cho tất cả cấp học</t>
        </is>
      </c>
    </row>
    <row r="82">
      <c r="A82" s="509" t="n">
        <v>6</v>
      </c>
      <c r="B82" s="511" t="inlineStr">
        <is>
          <t>Kiểm tra UTM tracking: Tất cả channels, document parameters</t>
        </is>
      </c>
    </row>
    <row r="83">
      <c r="A83" s="509" t="n">
        <v>7</v>
      </c>
      <c r="B83" s="511" t="inlineStr">
        <is>
          <t>Training team: Google Ads, Meta Ads basic, GHL hệ thống</t>
        </is>
      </c>
    </row>
    <row r="84">
      <c r="A84" s="509" t="n">
        <v>8</v>
      </c>
      <c r="B84" s="511" t="inlineStr">
        <is>
          <t>Set up Zalo OA: Menu, auto-reply, khoa học tin nhắn</t>
        </is>
      </c>
    </row>
    <row r="85">
      <c r="A85" s="509" t="n">
        <v>9</v>
      </c>
      <c r="B85" s="511" t="inlineStr">
        <is>
          <t>Tạo folder chia sẻ nội dung: Drive, Notion, asset libraries</t>
        </is>
      </c>
    </row>
    <row r="86">
      <c r="A86" s="509" t="n">
        <v>10</v>
      </c>
      <c r="B86" s="511" t="inlineStr">
        <is>
          <t>Chuẩn bị Open Day: Form, venue setup, staff briefing</t>
        </is>
      </c>
    </row>
    <row r="87">
      <c r="A87" s="509" t="n">
        <v>11</v>
      </c>
      <c r="B87" s="511" t="inlineStr">
        <is>
          <t>Tạo calendar quảng cáo: Timeline, deadlines, deliverables</t>
        </is>
      </c>
    </row>
    <row r="88">
      <c r="A88" s="509" t="n">
        <v>12</v>
      </c>
      <c r="B88" s="511" t="inlineStr">
        <is>
          <t>Set up CRM: Contact import, lead score modeling, assignment rules</t>
        </is>
      </c>
    </row>
    <row r="89">
      <c r="A89" s="509" t="n">
        <v>13</v>
      </c>
      <c r="B89" s="511" t="inlineStr">
        <is>
          <t>Configure analytics dashboard: GA4, GA landing page tracking</t>
        </is>
      </c>
    </row>
    <row r="90">
      <c r="A90" s="509" t="n">
        <v>14</v>
      </c>
      <c r="B90" s="511" t="inlineStr">
        <is>
          <t>Tạo brand assets folder: Logos, colors, templates, guidelines</t>
        </is>
      </c>
    </row>
    <row r="92">
      <c r="A92" s="510" t="inlineStr">
        <is>
          <t>Tháng 5 (T5) - LAUNCH &amp; SCALE</t>
        </is>
      </c>
    </row>
    <row r="93">
      <c r="A93" s="509" t="n">
        <v>1</v>
      </c>
      <c r="B93" s="511" t="inlineStr">
        <is>
          <t>Khởi động Campaign Q1 Meta: 3 campaigns, 10 ad creatives đầu tiên</t>
        </is>
      </c>
    </row>
    <row r="94">
      <c r="A94" s="509" t="n">
        <v>2</v>
      </c>
      <c r="B94" s="511" t="inlineStr">
        <is>
          <t>Khởi động Campaign Q1 Google: Brand + generic keywords</t>
        </is>
      </c>
    </row>
    <row r="95">
      <c r="A95" s="509" t="n">
        <v>3</v>
      </c>
      <c r="B95" s="511" t="inlineStr">
        <is>
          <t>Launch Zalo campaign T5: Segment 1000+ contacts, blast message</t>
        </is>
      </c>
    </row>
    <row r="96">
      <c r="A96" s="509" t="n">
        <v>4</v>
      </c>
      <c r="B96" s="511" t="inlineStr">
        <is>
          <t>Bắt đầu influencer outreach: Liên hệ 5-10 educators, content creators</t>
        </is>
      </c>
    </row>
    <row r="97">
      <c r="A97" s="509" t="n">
        <v>5</v>
      </c>
      <c r="B97" s="511" t="inlineStr">
        <is>
          <t>Tạo 10 video content: MN tour, teacher intro, student testimonial</t>
        </is>
      </c>
    </row>
    <row r="98">
      <c r="A98" s="509" t="n">
        <v>6</v>
      </c>
      <c r="B98" s="511" t="inlineStr">
        <is>
          <t>Setup content calendar: 30 posts/tháng, 4 canh, schedule all</t>
        </is>
      </c>
    </row>
    <row r="99">
      <c r="A99" s="509" t="n">
        <v>7</v>
      </c>
      <c r="B99" s="511" t="inlineStr">
        <is>
          <t>Tạo FAQ document: 50 Q&amp;A phổ biến, update GHL chatbot</t>
        </is>
      </c>
    </row>
    <row r="100">
      <c r="A100" s="509" t="n">
        <v>8</v>
      </c>
      <c r="B100" s="511" t="inlineStr">
        <is>
          <t>Tuyển dụng consultants: 2-3 BDR, training đầu tiên</t>
        </is>
      </c>
    </row>
    <row r="101">
      <c r="A101" s="509" t="n">
        <v>9</v>
      </c>
      <c r="B101" s="511" t="inlineStr">
        <is>
          <t>Tạo tracking: Phân biệt source, medium, campaign, content</t>
        </is>
      </c>
    </row>
    <row r="102">
      <c r="A102" s="509" t="n">
        <v>10</v>
      </c>
      <c r="B102" s="511" t="inlineStr">
        <is>
          <t>Cold email sequence: Draft 3 versions, send to 100 đầu tiên</t>
        </is>
      </c>
    </row>
    <row r="103">
      <c r="A103" s="509" t="n">
        <v>11</v>
      </c>
      <c r="B103" s="511" t="inlineStr">
        <is>
          <t>Setup Google Analytics: Conversion tracking, goals, audiences</t>
        </is>
      </c>
    </row>
    <row r="104">
      <c r="A104" s="509" t="n">
        <v>12</v>
      </c>
      <c r="B104" s="511" t="inlineStr">
        <is>
          <t>First webinar planning: Date, speaker, topic, promotion channels</t>
        </is>
      </c>
    </row>
    <row r="105">
      <c r="A105" s="509" t="n">
        <v>13</v>
      </c>
      <c r="B105" s="511" t="inlineStr">
        <is>
          <t>Tạo case study: 5 success stories từ năm trước</t>
        </is>
      </c>
    </row>
    <row r="106">
      <c r="A106" s="509" t="n">
        <v>14</v>
      </c>
      <c r="B106" s="511" t="inlineStr">
        <is>
          <t>Budget tracking setup: Daily spend monitoring, weekly reports</t>
        </is>
      </c>
    </row>
    <row r="108">
      <c r="A108" s="510" t="inlineStr">
        <is>
          <t>Tháng 6 (T6) - PEAK SEASON</t>
        </is>
      </c>
    </row>
    <row r="109">
      <c r="A109" s="509" t="n">
        <v>1</v>
      </c>
      <c r="B109" s="511" t="inlineStr">
        <is>
          <t>Scale Meta Ads: 50% budget increase, test 5 new creatives</t>
        </is>
      </c>
    </row>
    <row r="110">
      <c r="A110" s="509" t="n">
        <v>2</v>
      </c>
      <c r="B110" s="511" t="inlineStr">
        <is>
          <t>Scale Google Ads: Add 20 new keywords, increase bids for converters</t>
        </is>
      </c>
    </row>
    <row r="111">
      <c r="A111" s="509" t="n">
        <v>3</v>
      </c>
      <c r="B111" s="511" t="inlineStr">
        <is>
          <t>Launch TikTok campaigns: Khởi động với 5 organic seeding ads</t>
        </is>
      </c>
    </row>
    <row r="112">
      <c r="A112" s="509" t="n">
        <v>4</v>
      </c>
      <c r="B112" s="511" t="inlineStr">
        <is>
          <t>Max content creation: 40 posts, 15 videos, daily stories</t>
        </is>
      </c>
    </row>
    <row r="113">
      <c r="A113" s="509" t="n">
        <v>5</v>
      </c>
      <c r="B113" s="511" t="inlineStr">
        <is>
          <t>Daily optimization: Check ads CTR/CPC/ROAS, pause underperformers</t>
        </is>
      </c>
    </row>
    <row r="114">
      <c r="A114" s="509" t="n">
        <v>6</v>
      </c>
      <c r="B114" s="511" t="inlineStr">
        <is>
          <t>Zalo mass messaging: 2x send per week, A/B subject lines</t>
        </is>
      </c>
    </row>
    <row r="115">
      <c r="A115" s="509" t="n">
        <v>7</v>
      </c>
      <c r="B115" s="511" t="inlineStr">
        <is>
          <t>Influencer content: Collect UGC từ 8-10 collaborators, repost</t>
        </is>
      </c>
    </row>
    <row r="116">
      <c r="A116" s="509" t="n">
        <v>8</v>
      </c>
      <c r="B116" s="511" t="inlineStr">
        <is>
          <t>Webinar #1: Tháng 6 + promotion 2 tuần trước, target 200 registrations</t>
        </is>
      </c>
    </row>
    <row r="117">
      <c r="A117" s="509" t="n">
        <v>9</v>
      </c>
      <c r="B117" s="511" t="inlineStr">
        <is>
          <t>SMS campaign: Daily offers, urgency messaging, limited time</t>
        </is>
      </c>
    </row>
    <row r="118">
      <c r="A118" s="509" t="n">
        <v>10</v>
      </c>
      <c r="B118" s="511" t="inlineStr">
        <is>
          <t>Phone follow-up: 50+ daily calls, scheduling consultations</t>
        </is>
      </c>
    </row>
    <row r="119">
      <c r="A119" s="509" t="n">
        <v>11</v>
      </c>
      <c r="B119" s="511" t="inlineStr">
        <is>
          <t>Open Day planning: Final logistics, staff schedule, promo materials</t>
        </is>
      </c>
    </row>
    <row r="120">
      <c r="A120" s="509" t="n">
        <v>12</v>
      </c>
      <c r="B120" s="511" t="inlineStr">
        <is>
          <t>Email drip: Daily/every-other-day email to warm leads</t>
        </is>
      </c>
    </row>
    <row r="121">
      <c r="A121" s="509" t="n">
        <v>13</v>
      </c>
      <c r="B121" s="511" t="inlineStr">
        <is>
          <t>Contest/giveaway: Monthly contest to boost engagement, collection leads</t>
        </is>
      </c>
    </row>
    <row r="122">
      <c r="A122" s="509" t="n">
        <v>14</v>
      </c>
      <c r="B122" s="511" t="inlineStr">
        <is>
          <t>Daily reporting: Track leads, cost/lead, conversion funnel metrics</t>
        </is>
      </c>
    </row>
    <row r="123">
      <c r="A123" s="509" t="n">
        <v>15</v>
      </c>
      <c r="B123" s="511" t="inlineStr">
        <is>
          <t>Team stand-ups: Daily 15min sync, priority/blockers/wins</t>
        </is>
      </c>
    </row>
    <row r="125">
      <c r="A125" s="510" t="inlineStr">
        <is>
          <t>Tháng 7 (T7) - ENROLLMENT PUSH</t>
        </is>
      </c>
    </row>
    <row r="126">
      <c r="A126" s="509" t="n">
        <v>1</v>
      </c>
      <c r="B126" s="511" t="inlineStr">
        <is>
          <t>Urgency messaging: "Only X spots left" campaigns, countdown timers</t>
        </is>
      </c>
    </row>
    <row r="127">
      <c r="A127" s="509" t="n">
        <v>2</v>
      </c>
      <c r="B127" s="511" t="inlineStr">
        <is>
          <t>Final Open Day: Event execution, registration flow, post-event follow-up</t>
        </is>
      </c>
    </row>
    <row r="128">
      <c r="A128" s="509" t="n">
        <v>3</v>
      </c>
      <c r="B128" s="511" t="inlineStr">
        <is>
          <t>LinkedIn outreach: Phụ huynh professionals, warm introductions</t>
        </is>
      </c>
    </row>
    <row r="129">
      <c r="A129" s="509" t="n">
        <v>4</v>
      </c>
      <c r="B129" s="511" t="inlineStr">
        <is>
          <t>Direct calls: Cán cơ, outreach 100+ warm leads, close discussions</t>
        </is>
      </c>
    </row>
    <row r="130">
      <c r="A130" s="509" t="n">
        <v>5</v>
      </c>
      <c r="B130" s="511" t="inlineStr">
        <is>
          <t>Second webinar: Tháng 7, focus on THCS/THPT grades</t>
        </is>
      </c>
    </row>
    <row r="131">
      <c r="A131" s="509" t="n">
        <v>6</v>
      </c>
      <c r="B131" s="511" t="inlineStr">
        <is>
          <t>Deadline campaigns: "Enroll by July 31" urgency push, all channels</t>
        </is>
      </c>
    </row>
    <row r="132">
      <c r="A132" s="509" t="n">
        <v>7</v>
      </c>
      <c r="B132" s="511" t="inlineStr">
        <is>
          <t>Retargeting blitz: Pixel-based ads to website visitors, daily refresh</t>
        </is>
      </c>
    </row>
    <row r="133">
      <c r="A133" s="509" t="n">
        <v>8</v>
      </c>
      <c r="B133" s="511" t="inlineStr">
        <is>
          <t>Email blast: Daily follow-up sequences, limited-time offers</t>
        </is>
      </c>
    </row>
    <row r="134">
      <c r="A134" s="509" t="n">
        <v>9</v>
      </c>
      <c r="B134" s="511" t="inlineStr">
        <is>
          <t>SMS blast: High-frequency SMS to warm leads, call-to-action focused</t>
        </is>
      </c>
    </row>
    <row r="135">
      <c r="A135" s="509" t="n">
        <v>10</v>
      </c>
      <c r="B135" s="511" t="inlineStr">
        <is>
          <t>Video testimonials: Collect from current students/parents, edit, post</t>
        </is>
      </c>
    </row>
    <row r="136">
      <c r="A136" s="509" t="n">
        <v>11</v>
      </c>
      <c r="B136" s="511" t="inlineStr">
        <is>
          <t>Scholarship blitz: Promote remaining scholarship slots, deadline push</t>
        </is>
      </c>
    </row>
    <row r="137">
      <c r="A137" s="509" t="n">
        <v>12</v>
      </c>
      <c r="B137" s="511" t="inlineStr">
        <is>
          <t>School ambassador: Identify &amp; activate 5-10 parent brand ambassadors</t>
        </is>
      </c>
    </row>
    <row r="138">
      <c r="A138" s="509" t="n">
        <v>13</v>
      </c>
      <c r="B138" s="511" t="inlineStr">
        <is>
          <t>Offline events: Host 2-3 small consultation events, high-touch follow-up</t>
        </is>
      </c>
    </row>
    <row r="139">
      <c r="A139" s="509" t="n">
        <v>14</v>
      </c>
      <c r="B139" s="511" t="inlineStr">
        <is>
          <t>Chatbot urgency: Update GHL chatbot with urgency/scarcity messaging</t>
        </is>
      </c>
    </row>
    <row r="140">
      <c r="A140" s="509" t="n">
        <v>15</v>
      </c>
      <c r="B140" s="511" t="inlineStr">
        <is>
          <t>Win-back campaign: Re-engage people who visited but didn't convert</t>
        </is>
      </c>
    </row>
    <row r="142">
      <c r="A142" s="510" t="inlineStr">
        <is>
          <t>Tháng 8 (T8) - CLOSING</t>
        </is>
      </c>
    </row>
    <row r="143">
      <c r="A143" s="509" t="n">
        <v>1</v>
      </c>
      <c r="B143" s="511" t="inlineStr">
        <is>
          <t>Final enrollment drive: All hands on deck, 24/7 response time</t>
        </is>
      </c>
    </row>
    <row r="144">
      <c r="A144" s="509" t="n">
        <v>2</v>
      </c>
      <c r="B144" s="511" t="inlineStr">
        <is>
          <t>Deadline campaigns: "Last week to enroll" messaging, all channels</t>
        </is>
      </c>
    </row>
    <row r="145">
      <c r="A145" s="509" t="n">
        <v>3</v>
      </c>
      <c r="B145" s="511" t="inlineStr">
        <is>
          <t>Payment processing: Setup flexible payment plans, financing options</t>
        </is>
      </c>
    </row>
    <row r="146">
      <c r="A146" s="509" t="n">
        <v>4</v>
      </c>
      <c r="B146" s="511" t="inlineStr">
        <is>
          <t>Enrollment confirmation: Automated sequence, first payment details</t>
        </is>
      </c>
    </row>
    <row r="147">
      <c r="A147" s="509" t="n">
        <v>5</v>
      </c>
      <c r="B147" s="511" t="inlineStr">
        <is>
          <t>Class formation: Assign students to classes, finalize rosters</t>
        </is>
      </c>
    </row>
    <row r="148">
      <c r="A148" s="509" t="n">
        <v>6</v>
      </c>
      <c r="B148" s="511" t="inlineStr">
        <is>
          <t>Staff onboarding: New teachers prep for khai giảng, training final</t>
        </is>
      </c>
    </row>
    <row r="149">
      <c r="A149" s="509" t="n">
        <v>7</v>
      </c>
      <c r="B149" s="511" t="inlineStr">
        <is>
          <t>Communication templates: Parent letters, student welcome messages</t>
        </is>
      </c>
    </row>
    <row r="150">
      <c r="A150" s="509" t="n">
        <v>8</v>
      </c>
      <c r="B150" s="511" t="inlineStr">
        <is>
          <t>Last minute ads: Hyper-local, last-slot-available messaging</t>
        </is>
      </c>
    </row>
    <row r="151">
      <c r="A151" s="509" t="n">
        <v>9</v>
      </c>
      <c r="B151" s="511" t="inlineStr">
        <is>
          <t>Event recap: Open Day videos, testimonials, success stories</t>
        </is>
      </c>
    </row>
    <row r="152">
      <c r="A152" s="509" t="n">
        <v>10</v>
      </c>
      <c r="B152" s="511" t="inlineStr">
        <is>
          <t>Waitlist management: Create waitlist for full classes, collection</t>
        </is>
      </c>
    </row>
    <row r="153">
      <c r="A153" s="509" t="n">
        <v>11</v>
      </c>
      <c r="B153" s="511" t="inlineStr">
        <is>
          <t>Referral campaign: Encourage enrollees to refer friends, incentivize</t>
        </is>
      </c>
    </row>
    <row r="154">
      <c r="A154" s="509" t="n">
        <v>12</v>
      </c>
      <c r="B154" s="511" t="inlineStr">
        <is>
          <t>Invoice generation: Create enrollment documents, tuition contracts</t>
        </is>
      </c>
    </row>
    <row r="155">
      <c r="A155" s="509" t="n">
        <v>13</v>
      </c>
      <c r="B155" s="511" t="inlineStr">
        <is>
          <t>Third webinar: Final info session, Q&amp;A specific to each grade</t>
        </is>
      </c>
    </row>
    <row r="156">
      <c r="A156" s="509" t="n">
        <v>14</v>
      </c>
      <c r="B156" s="511" t="inlineStr">
        <is>
          <t>Post-enrollment survey: Collect feedback, improve for next cycle</t>
        </is>
      </c>
    </row>
    <row r="157">
      <c r="A157" s="509" t="n">
        <v>15</v>
      </c>
      <c r="B157" s="511" t="inlineStr">
        <is>
          <t>Team celebration: Recognize efforts, celebrate enrollment targets hit</t>
        </is>
      </c>
    </row>
    <row r="159">
      <c r="A159" s="510" t="inlineStr">
        <is>
          <t>Tháng 9 (T9) - WRAP-UP</t>
        </is>
      </c>
    </row>
    <row r="160">
      <c r="A160" s="509" t="n">
        <v>1</v>
      </c>
      <c r="B160" s="511" t="inlineStr">
        <is>
          <t>Khai giảng support: Ensure all new students settled, smooth transition</t>
        </is>
      </c>
    </row>
    <row r="161">
      <c r="A161" s="509" t="n">
        <v>2</v>
      </c>
      <c r="B161" s="511" t="inlineStr">
        <is>
          <t>Retention messaging: Welcome emails, class group invites, first month</t>
        </is>
      </c>
    </row>
    <row r="162">
      <c r="A162" s="509" t="n">
        <v>3</v>
      </c>
      <c r="B162" s="511" t="inlineStr">
        <is>
          <t>Referral incentive: Activate referral program for new students</t>
        </is>
      </c>
    </row>
    <row r="163">
      <c r="A163" s="509" t="n">
        <v>4</v>
      </c>
      <c r="B163" s="511" t="inlineStr">
        <is>
          <t>Analytics deep-dive: Full funnel analysis, cost per enrollment by source</t>
        </is>
      </c>
    </row>
    <row r="164">
      <c r="A164" s="509" t="n">
        <v>5</v>
      </c>
      <c r="B164" s="511" t="inlineStr">
        <is>
          <t>Campaign post-mortem: Document learnings, what worked/what didn't</t>
        </is>
      </c>
    </row>
    <row r="165">
      <c r="A165" s="509" t="n">
        <v>6</v>
      </c>
      <c r="B165" s="511" t="inlineStr">
        <is>
          <t>Budget reconciliation: Final spend, ROI by channel, cost per student</t>
        </is>
      </c>
    </row>
    <row r="166">
      <c r="A166" s="509" t="n">
        <v>7</v>
      </c>
      <c r="B166" s="511" t="inlineStr">
        <is>
          <t>Documentation: Process docs, checklists, templates for next year</t>
        </is>
      </c>
    </row>
    <row r="167">
      <c r="A167" s="509" t="n">
        <v>8</v>
      </c>
      <c r="B167" s="511" t="inlineStr">
        <is>
          <t>Team retrospective: Gather feedback, improvement ideas for V10</t>
        </is>
      </c>
    </row>
    <row r="168">
      <c r="A168" s="509" t="n">
        <v>9</v>
      </c>
      <c r="B168" s="511" t="inlineStr">
        <is>
          <t>Parent satisfaction: Survey enrollees, testimonial collection</t>
        </is>
      </c>
    </row>
    <row r="169">
      <c r="A169" s="509" t="n">
        <v>10</v>
      </c>
      <c r="B169" s="511" t="inlineStr">
        <is>
          <t>Social proof: Create case studies, success metrics from this campaign</t>
        </is>
      </c>
    </row>
    <row r="170">
      <c r="A170" s="509" t="n">
        <v>11</v>
      </c>
      <c r="B170" s="511" t="inlineStr">
        <is>
          <t>Retention plan: Design engagement plan for first semester, reduce churn</t>
        </is>
      </c>
    </row>
    <row r="171">
      <c r="A171" s="509" t="n">
        <v>12</v>
      </c>
      <c r="B171" s="511" t="inlineStr">
        <is>
          <t>Budget planning: Start planning 2027 cycle, lessons learned</t>
        </is>
      </c>
    </row>
    <row r="172">
      <c r="A172" s="509" t="n">
        <v>13</v>
      </c>
      <c r="B172" s="511" t="inlineStr">
        <is>
          <t>Staff debrief: Marketing team review, individual performance feedback</t>
        </is>
      </c>
    </row>
    <row r="173">
      <c r="A173" s="509" t="n">
        <v>14</v>
      </c>
      <c r="B173" s="511" t="inlineStr">
        <is>
          <t>Celebrate results: Team event, achievement recognition</t>
        </is>
      </c>
    </row>
    <row r="174">
      <c r="A174" s="509" t="n">
        <v>15</v>
      </c>
      <c r="B174" s="511" t="inlineStr">
        <is>
          <t>Archive campaign: Backup files, document all assets for next cycle</t>
        </is>
      </c>
    </row>
  </sheetData>
  <mergeCells count="12">
    <mergeCell ref="B13:I13"/>
    <mergeCell ref="A76:C76"/>
    <mergeCell ref="A108:C108"/>
    <mergeCell ref="A142:C142"/>
    <mergeCell ref="B2:I2"/>
    <mergeCell ref="A159:C159"/>
    <mergeCell ref="A92:C92"/>
    <mergeCell ref="B23:I23"/>
    <mergeCell ref="B1:I1"/>
    <mergeCell ref="A125:C125"/>
    <mergeCell ref="B4:I4"/>
    <mergeCell ref="B17:I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I9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6" customWidth="1" style="247" min="1" max="1"/>
    <col width="14" customWidth="1" style="247" min="2" max="2"/>
    <col width="22" customWidth="1" style="247" min="3" max="3"/>
    <col width="35" customWidth="1" style="247" min="4" max="4"/>
    <col width="55" customWidth="1" style="247" min="5" max="5"/>
    <col width="28" customWidth="1" style="247" min="6" max="6"/>
    <col width="20" customWidth="1" style="247" min="7" max="8"/>
    <col width="3" customWidth="1" style="247" min="9" max="9"/>
  </cols>
  <sheetData>
    <row r="1" ht="36" customHeight="1" s="248">
      <c r="B1" s="374" t="inlineStr">
        <is>
          <t>📅 TODO LIST HÀNG TUẦN – MARKETING + TUYỂN SINH + BAN CƠ SỞ (28 TUẦN)</t>
        </is>
      </c>
    </row>
    <row r="2" ht="27.75" customHeight="1" s="248">
      <c r="B2" s="375" t="inlineStr">
        <is>
          <t>Mỗi tuần họp ngắn Thứ 2 sáng để assign task. Họp review Thứ 6 chiều. Tất cả trạng thái phải cập nhật trước 17:00 Thứ 6.</t>
        </is>
      </c>
    </row>
    <row r="3" ht="21.75" customHeight="1" s="248">
      <c r="B3" s="376" t="inlineStr">
        <is>
          <t>STT</t>
        </is>
      </c>
      <c r="C3" s="376" t="inlineStr">
        <is>
          <t>Đội</t>
        </is>
      </c>
      <c r="D3" s="376" t="inlineStr">
        <is>
          <t>Công việc</t>
        </is>
      </c>
      <c r="E3" s="376" t="inlineStr">
        <is>
          <t>Chi tiết / Tiêu chí hoàn thành</t>
        </is>
      </c>
      <c r="F3" s="376" t="inlineStr">
        <is>
          <t>Kết quả cần có</t>
        </is>
      </c>
      <c r="G3" s="376" t="inlineStr">
        <is>
          <t>Deadline</t>
        </is>
      </c>
      <c r="H3" s="376" t="inlineStr">
        <is>
          <t>Trạng thái</t>
        </is>
      </c>
      <c r="I3" s="376" t="inlineStr">
        <is>
          <t>Notes</t>
        </is>
      </c>
    </row>
    <row r="4" ht="21.75" customHeight="1" s="248">
      <c r="B4" s="395" t="inlineStr">
        <is>
          <t>── MARKETING – GOOGLE ADS ──</t>
        </is>
      </c>
    </row>
    <row r="5" ht="27.75" customHeight="1" s="248">
      <c r="B5" s="404" t="n">
        <v>1</v>
      </c>
      <c r="C5" s="405" t="inlineStr">
        <is>
          <t>Marketing</t>
        </is>
      </c>
      <c r="D5" s="269" t="inlineStr">
        <is>
          <t>Review search terms report</t>
        </is>
      </c>
      <c r="E5" s="412" t="inlineStr">
        <is>
          <t>Download search terms tuần → Thêm negatives → Update Birch rule</t>
        </is>
      </c>
      <c r="F5" s="413" t="inlineStr">
        <is>
          <t>Negative list cập nhật</t>
        </is>
      </c>
      <c r="G5" s="414" t="inlineStr">
        <is>
          <t>Thứ 2</t>
        </is>
      </c>
      <c r="H5" s="408" t="inlineStr">
        <is>
          <t>☐</t>
        </is>
      </c>
      <c r="I5" s="276" t="n"/>
    </row>
    <row r="6" ht="27.75" customHeight="1" s="248">
      <c r="B6" s="396" t="n">
        <v>2</v>
      </c>
      <c r="C6" s="397" t="inlineStr">
        <is>
          <t>Marketing</t>
        </is>
      </c>
      <c r="D6" s="398" t="inlineStr">
        <is>
          <t>So sánh CPL theo campaign</t>
        </is>
      </c>
      <c r="E6" s="415" t="inlineStr">
        <is>
          <t>Birch → Campaign report → Sort by CPL | Scale top 3, pause bottom 2</t>
        </is>
      </c>
      <c r="F6" s="416" t="inlineStr">
        <is>
          <t>Decision log</t>
        </is>
      </c>
      <c r="G6" s="417" t="inlineStr">
        <is>
          <t>Thứ 3</t>
        </is>
      </c>
      <c r="H6" s="402" t="inlineStr">
        <is>
          <t>☐</t>
        </is>
      </c>
      <c r="I6" s="403" t="n"/>
    </row>
    <row r="7" ht="27.75" customHeight="1" s="248">
      <c r="B7" s="404" t="n">
        <v>3</v>
      </c>
      <c r="C7" s="405" t="inlineStr">
        <is>
          <t>Marketing</t>
        </is>
      </c>
      <c r="D7" s="269" t="inlineStr">
        <is>
          <t>Kiểm tra Quality Score</t>
        </is>
      </c>
      <c r="E7" s="412" t="inlineStr">
        <is>
          <t>KW QS &lt;5 → Cải thiện ad copy hoặc landing page phù hợp</t>
        </is>
      </c>
      <c r="F7" s="413" t="inlineStr">
        <is>
          <t>QS avg ≥7</t>
        </is>
      </c>
      <c r="G7" s="414" t="inlineStr">
        <is>
          <t>Thứ 4</t>
        </is>
      </c>
      <c r="H7" s="408" t="inlineStr">
        <is>
          <t>☐</t>
        </is>
      </c>
      <c r="I7" s="276" t="n"/>
    </row>
    <row r="8" ht="27.75" customHeight="1" s="248">
      <c r="B8" s="396" t="n">
        <v>4</v>
      </c>
      <c r="C8" s="397" t="inlineStr">
        <is>
          <t>Marketing</t>
        </is>
      </c>
      <c r="D8" s="398" t="inlineStr">
        <is>
          <t>Cập nhật Birch automation rules</t>
        </is>
      </c>
      <c r="E8" s="415" t="inlineStr">
        <is>
          <t>Review rule performance → Điều chỉnh threshold nếu cần</t>
        </is>
      </c>
      <c r="F8" s="416" t="inlineStr">
        <is>
          <t>Rules live</t>
        </is>
      </c>
      <c r="G8" s="417" t="inlineStr">
        <is>
          <t>Thứ 4</t>
        </is>
      </c>
      <c r="H8" s="402" t="inlineStr">
        <is>
          <t>☐</t>
        </is>
      </c>
      <c r="I8" s="403" t="n"/>
    </row>
    <row r="9" ht="27.75" customHeight="1" s="248">
      <c r="B9" s="404" t="n">
        <v>5</v>
      </c>
      <c r="C9" s="405" t="inlineStr">
        <is>
          <t>Marketing</t>
        </is>
      </c>
      <c r="D9" s="269" t="inlineStr">
        <is>
          <t>A/B test report Google</t>
        </is>
      </c>
      <c r="E9" s="412" t="inlineStr">
        <is>
          <t>2 RSA test → winner tiếp tục, loser pause | Document kết quả</t>
        </is>
      </c>
      <c r="F9" s="413" t="inlineStr">
        <is>
          <t>Test concluded</t>
        </is>
      </c>
      <c r="G9" s="414" t="inlineStr">
        <is>
          <t>Thứ 6</t>
        </is>
      </c>
      <c r="H9" s="408" t="inlineStr">
        <is>
          <t>☐</t>
        </is>
      </c>
      <c r="I9" s="276" t="n"/>
    </row>
    <row r="10" ht="21.75" customHeight="1" s="248">
      <c r="B10" s="409" t="inlineStr">
        <is>
          <t>── MARKETING – META ADS ──</t>
        </is>
      </c>
    </row>
    <row r="11" ht="27.75" customHeight="1" s="248">
      <c r="B11" s="396" t="n">
        <v>6</v>
      </c>
      <c r="C11" s="397" t="inlineStr">
        <is>
          <t>Marketing</t>
        </is>
      </c>
      <c r="D11" s="398" t="inlineStr">
        <is>
          <t>Creative refresh Meta</t>
        </is>
      </c>
      <c r="E11" s="415" t="inlineStr">
        <is>
          <t>Thay ad 7-10 ngày 1 lần | Freq &gt;3 → cần creative mới ngay</t>
        </is>
      </c>
      <c r="F11" s="416" t="inlineStr">
        <is>
          <t>New creative live</t>
        </is>
      </c>
      <c r="G11" s="417" t="inlineStr">
        <is>
          <t>Thứ 2</t>
        </is>
      </c>
      <c r="H11" s="402" t="inlineStr">
        <is>
          <t>☐</t>
        </is>
      </c>
      <c r="I11" s="403" t="n"/>
    </row>
    <row r="12" ht="27.75" customHeight="1" s="248">
      <c r="B12" s="404" t="n">
        <v>7</v>
      </c>
      <c r="C12" s="405" t="inlineStr">
        <is>
          <t>Marketing</t>
        </is>
      </c>
      <c r="D12" s="269" t="inlineStr">
        <is>
          <t>Audience expansion review</t>
        </is>
      </c>
      <c r="E12" s="412" t="inlineStr">
        <is>
          <t>Lookalike tốt → expand 1% → 2% | Interest test mới</t>
        </is>
      </c>
      <c r="F12" s="413" t="inlineStr">
        <is>
          <t>Audience updated</t>
        </is>
      </c>
      <c r="G12" s="414" t="inlineStr">
        <is>
          <t>Thứ 3</t>
        </is>
      </c>
      <c r="H12" s="408" t="inlineStr">
        <is>
          <t>☐</t>
        </is>
      </c>
      <c r="I12" s="276" t="n"/>
    </row>
    <row r="13" ht="27.75" customHeight="1" s="248">
      <c r="B13" s="396" t="n">
        <v>8</v>
      </c>
      <c r="C13" s="397" t="inlineStr">
        <is>
          <t>Marketing</t>
        </is>
      </c>
      <c r="D13" s="398" t="inlineStr">
        <is>
          <t>Pixel health check</t>
        </is>
      </c>
      <c r="E13" s="415" t="inlineStr">
        <is>
          <t>Events Manager → check pixel events, match rate, deduplication</t>
        </is>
      </c>
      <c r="F13" s="416" t="inlineStr">
        <is>
          <t>Match rate ≥80%</t>
        </is>
      </c>
      <c r="G13" s="417" t="inlineStr">
        <is>
          <t>Thứ 4</t>
        </is>
      </c>
      <c r="H13" s="402" t="inlineStr">
        <is>
          <t>☐</t>
        </is>
      </c>
      <c r="I13" s="403" t="n"/>
    </row>
    <row r="14" ht="27.75" customHeight="1" s="248">
      <c r="B14" s="404" t="n">
        <v>9</v>
      </c>
      <c r="C14" s="405" t="inlineStr">
        <is>
          <t>Marketing</t>
        </is>
      </c>
      <c r="D14" s="269" t="inlineStr">
        <is>
          <t>Budget reallocation Meta</t>
        </is>
      </c>
      <c r="E14" s="412" t="inlineStr">
        <is>
          <t>Ad set thắng → +15-20% | Thua → pause hoặc pivot creative</t>
        </is>
      </c>
      <c r="F14" s="413" t="inlineStr">
        <is>
          <t>Budget optimized</t>
        </is>
      </c>
      <c r="G14" s="414" t="inlineStr">
        <is>
          <t>Thứ 5</t>
        </is>
      </c>
      <c r="H14" s="408" t="inlineStr">
        <is>
          <t>☐</t>
        </is>
      </c>
      <c r="I14" s="276" t="n"/>
    </row>
    <row r="15" ht="27.75" customHeight="1" s="248">
      <c r="B15" s="396" t="n">
        <v>10</v>
      </c>
      <c r="C15" s="397" t="inlineStr">
        <is>
          <t>Marketing</t>
        </is>
      </c>
      <c r="D15" s="398" t="inlineStr">
        <is>
          <t>Retargeting audience update</t>
        </is>
      </c>
      <c r="E15" s="415" t="inlineStr">
        <is>
          <t>Refresh audience lists: 7d/21d/60d | Loại lead đã enrolled</t>
        </is>
      </c>
      <c r="F15" s="416" t="inlineStr">
        <is>
          <t>Audience fresh</t>
        </is>
      </c>
      <c r="G15" s="417" t="inlineStr">
        <is>
          <t>Thứ 5</t>
        </is>
      </c>
      <c r="H15" s="402" t="inlineStr">
        <is>
          <t>☐</t>
        </is>
      </c>
      <c r="I15" s="403" t="n"/>
    </row>
    <row r="16" ht="21.75" customHeight="1" s="248">
      <c r="B16" s="411" t="inlineStr">
        <is>
          <t>── MARKETING – TIKTOK / ZALO / WEBINAR ──</t>
        </is>
      </c>
    </row>
    <row r="17" ht="27.75" customHeight="1" s="248">
      <c r="B17" s="404" t="n">
        <v>11</v>
      </c>
      <c r="C17" s="405" t="inlineStr">
        <is>
          <t>Marketing</t>
        </is>
      </c>
      <c r="D17" s="269" t="inlineStr">
        <is>
          <t>TikTok video performance</t>
        </is>
      </c>
      <c r="E17" s="412" t="inlineStr">
        <is>
          <t>3-second retention, completion rate, CTR | Boost video tốt</t>
        </is>
      </c>
      <c r="F17" s="413" t="inlineStr">
        <is>
          <t>Top 3 identified</t>
        </is>
      </c>
      <c r="G17" s="414" t="inlineStr">
        <is>
          <t>Thứ 3</t>
        </is>
      </c>
      <c r="H17" s="408" t="inlineStr">
        <is>
          <t>☐</t>
        </is>
      </c>
      <c r="I17" s="276" t="n"/>
    </row>
    <row r="18" ht="27.75" customHeight="1" s="248">
      <c r="B18" s="396" t="n">
        <v>12</v>
      </c>
      <c r="C18" s="397" t="inlineStr">
        <is>
          <t>Marketing</t>
        </is>
      </c>
      <c r="D18" s="398" t="inlineStr">
        <is>
          <t>Zalo broadcast lên kế hoạch</t>
        </is>
      </c>
      <c r="E18" s="415" t="inlineStr">
        <is>
          <t>Draft nội dung tuần sau | Segment theo campus, grade, stage</t>
        </is>
      </c>
      <c r="F18" s="416" t="inlineStr">
        <is>
          <t>Draft approved</t>
        </is>
      </c>
      <c r="G18" s="417" t="inlineStr">
        <is>
          <t>Thứ 5</t>
        </is>
      </c>
      <c r="H18" s="402" t="inlineStr">
        <is>
          <t>☐</t>
        </is>
      </c>
      <c r="I18" s="403" t="n"/>
    </row>
    <row r="19" ht="27.75" customHeight="1" s="248">
      <c r="B19" s="404" t="n">
        <v>13</v>
      </c>
      <c r="C19" s="405" t="inlineStr">
        <is>
          <t>Marketing</t>
        </is>
      </c>
      <c r="D19" s="269" t="inlineStr">
        <is>
          <t>Webinar prep (nếu có tuần này)</t>
        </is>
      </c>
      <c r="E19" s="412" t="inlineStr">
        <is>
          <t>Landing page live, email sequence, reminder Zalo, test Zoom link</t>
        </is>
      </c>
      <c r="F19" s="413" t="inlineStr">
        <is>
          <t>Go/No-go</t>
        </is>
      </c>
      <c r="G19" s="414" t="inlineStr">
        <is>
          <t>Thứ 3</t>
        </is>
      </c>
      <c r="H19" s="408" t="inlineStr">
        <is>
          <t>☐</t>
        </is>
      </c>
      <c r="I19" s="276" t="n"/>
    </row>
    <row r="20" ht="21.75" customHeight="1" s="248">
      <c r="B20" s="410" t="inlineStr">
        <is>
          <t>── TUYỂN SINH ──</t>
        </is>
      </c>
    </row>
    <row r="21" ht="27.75" customHeight="1" s="248">
      <c r="B21" s="396" t="n">
        <v>14</v>
      </c>
      <c r="C21" s="397" t="inlineStr">
        <is>
          <t>Tuyển sinh</t>
        </is>
      </c>
      <c r="D21" s="398" t="inlineStr">
        <is>
          <t>Weekly pipeline review</t>
        </is>
      </c>
      <c r="E21" s="415" t="inlineStr">
        <is>
          <t>GHL → Review tất cả pipeline stages | Xác định stuck leads</t>
        </is>
      </c>
      <c r="F21" s="416" t="inlineStr">
        <is>
          <t>Pipeline clean</t>
        </is>
      </c>
      <c r="G21" s="417" t="inlineStr">
        <is>
          <t>Thứ 2</t>
        </is>
      </c>
      <c r="H21" s="402" t="inlineStr">
        <is>
          <t>☐</t>
        </is>
      </c>
      <c r="I21" s="403" t="n"/>
    </row>
    <row r="22" ht="27.75" customHeight="1" s="248">
      <c r="B22" s="404" t="n">
        <v>15</v>
      </c>
      <c r="C22" s="405" t="inlineStr">
        <is>
          <t>Tuyển sinh</t>
        </is>
      </c>
      <c r="D22" s="269" t="inlineStr">
        <is>
          <t>QA cuộc gọi ngẫu nhiên</t>
        </is>
      </c>
      <c r="E22" s="412" t="inlineStr">
        <is>
          <t>Nghe lại 5-10 cuộc gọi/tuần | Score theo 5 tiêu chí | Coaching</t>
        </is>
      </c>
      <c r="F22" s="413" t="inlineStr">
        <is>
          <t>QA report</t>
        </is>
      </c>
      <c r="G22" s="414" t="inlineStr">
        <is>
          <t>Thứ 4</t>
        </is>
      </c>
      <c r="H22" s="408" t="inlineStr">
        <is>
          <t>☐</t>
        </is>
      </c>
      <c r="I22" s="276" t="n"/>
    </row>
    <row r="23" ht="27.75" customHeight="1" s="248">
      <c r="B23" s="396" t="n">
        <v>16</v>
      </c>
      <c r="C23" s="397" t="inlineStr">
        <is>
          <t>Tuyển sinh</t>
        </is>
      </c>
      <c r="D23" s="398" t="inlineStr">
        <is>
          <t>Lost lead analysis</t>
        </is>
      </c>
      <c r="E23" s="415" t="inlineStr">
        <is>
          <t>Tổng hợp top 5 lý do lost | Cập nhật objection script</t>
        </is>
      </c>
      <c r="F23" s="416" t="inlineStr">
        <is>
          <t>Script updated</t>
        </is>
      </c>
      <c r="G23" s="417" t="inlineStr">
        <is>
          <t>Thứ 5</t>
        </is>
      </c>
      <c r="H23" s="402" t="inlineStr">
        <is>
          <t>☐</t>
        </is>
      </c>
      <c r="I23" s="403" t="n"/>
    </row>
    <row r="24" ht="27.75" customHeight="1" s="248">
      <c r="B24" s="404" t="n">
        <v>17</v>
      </c>
      <c r="C24" s="405" t="inlineStr">
        <is>
          <t>Tuyển sinh</t>
        </is>
      </c>
      <c r="D24" s="269" t="inlineStr">
        <is>
          <t>Confirm tours tuần sau</t>
        </is>
      </c>
      <c r="E24" s="412" t="inlineStr">
        <is>
          <t>Gọi tất cả lead đã booked tour tuần sau | Xác nhận 100%</t>
        </is>
      </c>
      <c r="F24" s="413" t="inlineStr">
        <is>
          <t>Confirmation rate</t>
        </is>
      </c>
      <c r="G24" s="414" t="inlineStr">
        <is>
          <t>Thứ 6</t>
        </is>
      </c>
      <c r="H24" s="408" t="inlineStr">
        <is>
          <t>☐</t>
        </is>
      </c>
      <c r="I24" s="276" t="n"/>
    </row>
    <row r="25" ht="27.75" customHeight="1" s="248">
      <c r="B25" s="396" t="n">
        <v>18</v>
      </c>
      <c r="C25" s="397" t="inlineStr">
        <is>
          <t>Tuyển sinh</t>
        </is>
      </c>
      <c r="D25" s="398" t="inlineStr">
        <is>
          <t>CRM data hygiene</t>
        </is>
      </c>
      <c r="E25" s="415" t="inlineStr">
        <is>
          <t>Xóa/merge duplicate | Verify tags | Update lost reasons</t>
        </is>
      </c>
      <c r="F25" s="416" t="inlineStr">
        <is>
          <t>CRM clean</t>
        </is>
      </c>
      <c r="G25" s="417" t="inlineStr">
        <is>
          <t>Thứ 6</t>
        </is>
      </c>
      <c r="H25" s="402" t="inlineStr">
        <is>
          <t>☐</t>
        </is>
      </c>
      <c r="I25" s="403" t="n"/>
    </row>
    <row r="26" ht="21.75" customHeight="1" s="248">
      <c r="B26" s="418" t="inlineStr">
        <is>
          <t>── BAN CƠ SỞ ──</t>
        </is>
      </c>
    </row>
    <row r="27" ht="27.75" customHeight="1" s="248">
      <c r="B27" s="404" t="n">
        <v>19</v>
      </c>
      <c r="C27" s="405" t="inlineStr">
        <is>
          <t>Campus</t>
        </is>
      </c>
      <c r="D27" s="269" t="inlineStr">
        <is>
          <t>Tour slot management</t>
        </is>
      </c>
      <c r="E27" s="412" t="inlineStr">
        <is>
          <t>Update slot availability tuần sau | Thêm slot nếu demand cao</t>
        </is>
      </c>
      <c r="F27" s="413" t="inlineStr">
        <is>
          <t>Slots published</t>
        </is>
      </c>
      <c r="G27" s="414" t="inlineStr">
        <is>
          <t>Thứ 2</t>
        </is>
      </c>
      <c r="H27" s="408" t="inlineStr">
        <is>
          <t>☐</t>
        </is>
      </c>
      <c r="I27" s="276" t="n"/>
    </row>
    <row r="28" ht="27.75" customHeight="1" s="248">
      <c r="B28" s="396" t="n">
        <v>20</v>
      </c>
      <c r="C28" s="397" t="inlineStr">
        <is>
          <t>Campus</t>
        </is>
      </c>
      <c r="D28" s="398" t="inlineStr">
        <is>
          <t>GMB (Google Business) update</t>
        </is>
      </c>
      <c r="E28" s="415" t="inlineStr">
        <is>
          <t>Post 1 bài/tuần | Cập nhật giờ mở cửa | Reply reviews mới</t>
        </is>
      </c>
      <c r="F28" s="416" t="inlineStr">
        <is>
          <t>Post live</t>
        </is>
      </c>
      <c r="G28" s="417" t="inlineStr">
        <is>
          <t>Thứ 3</t>
        </is>
      </c>
      <c r="H28" s="402" t="inlineStr">
        <is>
          <t>☐</t>
        </is>
      </c>
      <c r="I28" s="403" t="n"/>
    </row>
    <row r="29" ht="27.75" customHeight="1" s="248">
      <c r="B29" s="404" t="n">
        <v>21</v>
      </c>
      <c r="C29" s="405" t="inlineStr">
        <is>
          <t>Campus</t>
        </is>
      </c>
      <c r="D29" s="269" t="inlineStr">
        <is>
          <t>Testimonial collection</t>
        </is>
      </c>
      <c r="E29" s="412" t="inlineStr">
        <is>
          <t>Thu thập 1-2 testimonial PH/HS/tuần | Video ngắn hoặc text</t>
        </is>
      </c>
      <c r="F29" s="413" t="inlineStr">
        <is>
          <t>1-2 pieces</t>
        </is>
      </c>
      <c r="G29" s="414" t="inlineStr">
        <is>
          <t>Thứ 5</t>
        </is>
      </c>
      <c r="H29" s="408" t="inlineStr">
        <is>
          <t>☐</t>
        </is>
      </c>
      <c r="I29" s="276" t="n"/>
    </row>
    <row r="30" ht="27.75" customHeight="1" s="248">
      <c r="B30" s="396" t="n">
        <v>22</v>
      </c>
      <c r="C30" s="397" t="inlineStr">
        <is>
          <t>Campus</t>
        </is>
      </c>
      <c r="D30" s="398" t="inlineStr">
        <is>
          <t>Hotline health check</t>
        </is>
      </c>
      <c r="E30" s="415" t="inlineStr">
        <is>
          <t>Test gọi hotline từng cơ sở | Verify pickup trong 3 ring</t>
        </is>
      </c>
      <c r="F30" s="416" t="inlineStr">
        <is>
          <t>100% pickup</t>
        </is>
      </c>
      <c r="G30" s="417" t="inlineStr">
        <is>
          <t>Thứ 6</t>
        </is>
      </c>
      <c r="H30" s="402" t="inlineStr">
        <is>
          <t>☐</t>
        </is>
      </c>
      <c r="I30" s="403" t="n"/>
    </row>
    <row r="31" ht="21.75" customHeight="1" s="248">
      <c r="B31" s="376" t="inlineStr">
        <is>
          <t>── REPORTING &amp; REVIEW TUẦN ──</t>
        </is>
      </c>
    </row>
    <row r="32" ht="27.75" customHeight="1" s="248">
      <c r="B32" s="404" t="n">
        <v>23</v>
      </c>
      <c r="C32" s="405" t="inlineStr">
        <is>
          <t>All</t>
        </is>
      </c>
      <c r="D32" s="269" t="inlineStr">
        <is>
          <t>Weekly KPI report</t>
        </is>
      </c>
      <c r="E32" s="412" t="inlineStr">
        <is>
          <t>Điền đủ vào A. KPI Weekly Tracker | Share với team</t>
        </is>
      </c>
      <c r="F32" s="413" t="inlineStr">
        <is>
          <t>Report sent</t>
        </is>
      </c>
      <c r="G32" s="414" t="inlineStr">
        <is>
          <t>Thứ 6 17:00</t>
        </is>
      </c>
      <c r="H32" s="408" t="inlineStr">
        <is>
          <t>☐</t>
        </is>
      </c>
      <c r="I32" s="276" t="n"/>
    </row>
    <row r="33" ht="27.75" customHeight="1" s="248">
      <c r="B33" s="396" t="n">
        <v>24</v>
      </c>
      <c r="C33" s="397" t="inlineStr">
        <is>
          <t>All</t>
        </is>
      </c>
      <c r="D33" s="398" t="inlineStr">
        <is>
          <t>Campaign Tracker update</t>
        </is>
      </c>
      <c r="E33" s="415" t="inlineStr">
        <is>
          <t>Điền spend, leads, tours, enrolls vào D. Campaign Tracker</t>
        </is>
      </c>
      <c r="F33" s="416" t="inlineStr">
        <is>
          <t>Tracker updated</t>
        </is>
      </c>
      <c r="G33" s="417" t="inlineStr">
        <is>
          <t>Thứ 6 17:00</t>
        </is>
      </c>
      <c r="H33" s="402" t="inlineStr">
        <is>
          <t>☐</t>
        </is>
      </c>
      <c r="I33" s="403" t="n"/>
    </row>
    <row r="34" ht="27.75" customHeight="1" s="248">
      <c r="B34" s="404" t="n">
        <v>25</v>
      </c>
      <c r="C34" s="405" t="inlineStr">
        <is>
          <t>Management</t>
        </is>
      </c>
      <c r="D34" s="269" t="inlineStr">
        <is>
          <t>Weekly review meeting</t>
        </is>
      </c>
      <c r="E34" s="412" t="inlineStr">
        <is>
          <t>Xem 12 KPI | Q: Scale gì, Pause gì, LP nào yếu, Campus nào cần fix</t>
        </is>
      </c>
      <c r="F34" s="413" t="inlineStr">
        <is>
          <t>Decision log</t>
        </is>
      </c>
      <c r="G34" s="414" t="inlineStr">
        <is>
          <t>Thứ 6 16:00</t>
        </is>
      </c>
      <c r="H34" s="408" t="inlineStr">
        <is>
          <t>☐</t>
        </is>
      </c>
      <c r="I34" s="276" t="n"/>
    </row>
    <row r="35" ht="27.75" customHeight="1" s="248">
      <c r="B35" s="396" t="n">
        <v>26</v>
      </c>
      <c r="C35" s="397" t="inlineStr">
        <is>
          <t>All</t>
        </is>
      </c>
      <c r="D35" s="398" t="inlineStr">
        <is>
          <t>Todo tuần sau prep</t>
        </is>
      </c>
      <c r="E35" s="415" t="inlineStr">
        <is>
          <t>Xem Battleplan tuần tiếp → Assign tasks → Set priorities</t>
        </is>
      </c>
      <c r="F35" s="416" t="inlineStr">
        <is>
          <t>Next week ready</t>
        </is>
      </c>
      <c r="G35" s="417" t="inlineStr">
        <is>
          <t>Thứ 6 17:30</t>
        </is>
      </c>
      <c r="H35" s="402" t="inlineStr">
        <is>
          <t>☐</t>
        </is>
      </c>
      <c r="I35" s="403" t="n"/>
    </row>
    <row r="38">
      <c r="A38" s="492" t="inlineStr">
        <is>
          <t>═══ CÔNG VIỆC HÀNG TUẦN CỰC KỲ CHI TIẾT — THEO NGÀY TRONG TUẦN ═══</t>
        </is>
      </c>
    </row>
    <row r="40">
      <c r="A40" s="494" t="inlineStr">
        <is>
          <t>THỨ HAI — Kick-off &amp; Planning</t>
        </is>
      </c>
    </row>
    <row r="41">
      <c r="A41" s="495" t="inlineStr">
        <is>
          <t>STT</t>
        </is>
      </c>
      <c r="B41" s="495" t="inlineStr">
        <is>
          <t>Thời gian</t>
        </is>
      </c>
      <c r="C41" s="495" t="inlineStr">
        <is>
          <t>Kênh</t>
        </is>
      </c>
      <c r="D41" s="495" t="inlineStr">
        <is>
          <t>Công việc</t>
        </is>
      </c>
      <c r="E41" s="495" t="inlineStr">
        <is>
          <t>Chi tiết</t>
        </is>
      </c>
      <c r="F41" s="495" t="inlineStr">
        <is>
          <t>Output</t>
        </is>
      </c>
      <c r="G41" s="495" t="inlineStr">
        <is>
          <t>Người thực hiện</t>
        </is>
      </c>
    </row>
    <row r="42">
      <c r="A42" s="499" t="inlineStr">
        <is>
          <t>1</t>
        </is>
      </c>
      <c r="B42" s="499" t="inlineStr">
        <is>
          <t>8:00-8:30</t>
        </is>
      </c>
      <c r="C42" s="499" t="inlineStr">
        <is>
          <t>Team</t>
        </is>
      </c>
      <c r="D42" s="499" t="inlineStr">
        <is>
          <t>Weekly kickoff meeting</t>
        </is>
      </c>
      <c r="E42" s="499" t="inlineStr">
        <is>
          <t>Review KPIs tuần trước, goals tuần này, phân công việc. 15 phút standup</t>
        </is>
      </c>
      <c r="F42" s="499" t="inlineStr">
        <is>
          <t>Meeting notes, Task list</t>
        </is>
      </c>
      <c r="G42" s="499" t="inlineStr">
        <is>
          <t>Marketing Lead</t>
        </is>
      </c>
    </row>
    <row r="43">
      <c r="A43" s="500" t="inlineStr">
        <is>
          <t>2</t>
        </is>
      </c>
      <c r="B43" s="500" t="inlineStr">
        <is>
          <t>8:30-9:30</t>
        </is>
      </c>
      <c r="C43" s="500" t="inlineStr">
        <is>
          <t>Birch + GHL</t>
        </is>
      </c>
      <c r="D43" s="500" t="inlineStr">
        <is>
          <t>Review weekly ads performance</t>
        </is>
      </c>
      <c r="E43" s="500" t="inlineStr">
        <is>
          <t>Birch → Weekly report. GHL → Pipeline movement. CPA, ROAS, leads by channel. Budget reallocation</t>
        </is>
      </c>
      <c r="F43" s="500" t="inlineStr">
        <is>
          <t>Weekly Ads Report</t>
        </is>
      </c>
      <c r="G43" s="500" t="inlineStr">
        <is>
          <t>Ads Specialist</t>
        </is>
      </c>
    </row>
    <row r="44">
      <c r="A44" s="499" t="inlineStr">
        <is>
          <t>3</t>
        </is>
      </c>
      <c r="B44" s="499" t="inlineStr">
        <is>
          <t>9:30-10:00</t>
        </is>
      </c>
      <c r="C44" s="499" t="inlineStr">
        <is>
          <t>Make.com</t>
        </is>
      </c>
      <c r="D44" s="499" t="inlineStr">
        <is>
          <t>Kiểm tra sync errors tuần qua</t>
        </is>
      </c>
      <c r="E44" s="499" t="inlineStr">
        <is>
          <t>Make.com → Execution history → Failed scenarios. Fix errors, re-run if needed</t>
        </is>
      </c>
      <c r="F44" s="499" t="inlineStr">
        <is>
          <t>Error log clean</t>
        </is>
      </c>
      <c r="G44" s="499" t="inlineStr">
        <is>
          <t>IT Admin</t>
        </is>
      </c>
    </row>
    <row r="45">
      <c r="A45" s="500" t="inlineStr">
        <is>
          <t>4</t>
        </is>
      </c>
      <c r="B45" s="500" t="inlineStr">
        <is>
          <t>10:00-11:00</t>
        </is>
      </c>
      <c r="C45" s="500" t="inlineStr">
        <is>
          <t>Content</t>
        </is>
      </c>
      <c r="D45" s="500" t="inlineStr">
        <is>
          <t>Lên content plan tuần</t>
        </is>
      </c>
      <c r="E45" s="500" t="inlineStr">
        <is>
          <t>Plan 7 ngày: FB (14 bài), TikTok (10 video), IG (7 posts + stories), YT (3 videos), Zalo (7 articles)</t>
        </is>
      </c>
      <c r="F45" s="500" t="inlineStr">
        <is>
          <t>Content calendar tuần</t>
        </is>
      </c>
      <c r="G45" s="500" t="inlineStr">
        <is>
          <t>Content Team Lead</t>
        </is>
      </c>
    </row>
    <row r="46">
      <c r="A46" s="499" t="inlineStr">
        <is>
          <t>5</t>
        </is>
      </c>
      <c r="B46" s="499" t="inlineStr">
        <is>
          <t>11:00-12:00</t>
        </is>
      </c>
      <c r="C46" s="499" t="inlineStr">
        <is>
          <t>Pancake</t>
        </is>
      </c>
      <c r="D46" s="499" t="inlineStr">
        <is>
          <t>Phân tích lead quality tuần trước</t>
        </is>
      </c>
      <c r="E46" s="499" t="inlineStr">
        <is>
          <t>Pancake → Reports → Lead sources, Conversion by source, Response time, Lost reasons</t>
        </is>
      </c>
      <c r="F46" s="499" t="inlineStr">
        <is>
          <t>Lead quality report</t>
        </is>
      </c>
      <c r="G46" s="499" t="inlineStr">
        <is>
          <t>Marketing Lead</t>
        </is>
      </c>
    </row>
    <row r="47">
      <c r="A47" s="500" t="inlineStr">
        <is>
          <t>6</t>
        </is>
      </c>
      <c r="B47" s="500" t="inlineStr">
        <is>
          <t>14:00-15:00</t>
        </is>
      </c>
      <c r="C47" s="500" t="inlineStr">
        <is>
          <t>GHL</t>
        </is>
      </c>
      <c r="D47" s="500" t="inlineStr">
        <is>
          <t>Clean up pipeline</t>
        </is>
      </c>
      <c r="E47" s="500" t="inlineStr">
        <is>
          <t>Move stale leads (&gt;14 days no activity) to "Cold". Update tags. Clean duplicate contacts</t>
        </is>
      </c>
      <c r="F47" s="500" t="inlineStr">
        <is>
          <t>Pipeline cleaned</t>
        </is>
      </c>
      <c r="G47" s="500" t="inlineStr">
        <is>
          <t>Marketing Lead</t>
        </is>
      </c>
    </row>
    <row r="48">
      <c r="A48" s="499" t="inlineStr">
        <is>
          <t>7</t>
        </is>
      </c>
      <c r="B48" s="499" t="inlineStr">
        <is>
          <t>15:00-16:00</t>
        </is>
      </c>
      <c r="C48" s="499" t="inlineStr">
        <is>
          <t>Social Media</t>
        </is>
      </c>
      <c r="D48" s="499" t="inlineStr">
        <is>
          <t>Phân tích social media tuần trước</t>
        </is>
      </c>
      <c r="E48" s="499" t="inlineStr">
        <is>
          <t>FB Insights, IG Insights, TikTok Analytics, YT Studio → Bài nào tốt nhất, worst. Learnings</t>
        </is>
      </c>
      <c r="F48" s="499" t="inlineStr">
        <is>
          <t>SM Weekly Report</t>
        </is>
      </c>
      <c r="G48" s="499" t="inlineStr">
        <is>
          <t>Content Team Lead</t>
        </is>
      </c>
    </row>
    <row r="49">
      <c r="A49" s="500" t="inlineStr">
        <is>
          <t>8</t>
        </is>
      </c>
      <c r="B49" s="500" t="inlineStr">
        <is>
          <t>16:00-17:00</t>
        </is>
      </c>
      <c r="C49" s="500" t="inlineStr">
        <is>
          <t>Email</t>
        </is>
      </c>
      <c r="D49" s="500" t="inlineStr">
        <is>
          <t>Gửi newsletter tuần</t>
        </is>
      </c>
      <c r="E49" s="500" t="inlineStr">
        <is>
          <t>GHL → Email → Newsletter template → Nội dung: recap tuần, upcoming events, tips</t>
        </is>
      </c>
      <c r="F49" s="500" t="inlineStr">
        <is>
          <t>Newsletter sent</t>
        </is>
      </c>
      <c r="G49" s="500" t="inlineStr">
        <is>
          <t>Content Writer</t>
        </is>
      </c>
    </row>
    <row r="51">
      <c r="A51" s="494" t="inlineStr">
        <is>
          <t>THỨ BA — Content Production &amp; Livestream</t>
        </is>
      </c>
    </row>
    <row r="52">
      <c r="A52" s="495" t="inlineStr">
        <is>
          <t>STT</t>
        </is>
      </c>
      <c r="B52" s="495" t="inlineStr">
        <is>
          <t>Thời gian</t>
        </is>
      </c>
      <c r="C52" s="495" t="inlineStr">
        <is>
          <t>Kênh</t>
        </is>
      </c>
      <c r="D52" s="495" t="inlineStr">
        <is>
          <t>Công việc</t>
        </is>
      </c>
      <c r="E52" s="495" t="inlineStr">
        <is>
          <t>Chi tiết</t>
        </is>
      </c>
      <c r="F52" s="495" t="inlineStr">
        <is>
          <t>Output</t>
        </is>
      </c>
      <c r="G52" s="495" t="inlineStr">
        <is>
          <t>Người thực hiện</t>
        </is>
      </c>
    </row>
    <row r="53">
      <c r="A53" s="499" t="inlineStr">
        <is>
          <t>9</t>
        </is>
      </c>
      <c r="B53" s="499" t="inlineStr">
        <is>
          <t>8:00-10:00</t>
        </is>
      </c>
      <c r="C53" s="499" t="inlineStr">
        <is>
          <t>Video</t>
        </is>
      </c>
      <c r="D53" s="499" t="inlineStr">
        <is>
          <t>Quay video batch cho tuần</t>
        </is>
      </c>
      <c r="E53" s="499" t="inlineStr">
        <is>
          <t>Quay 5-10 clips tại trường: hoạt động, phỏng vấn GV, tour mini. Dùng gimbal + mic</t>
        </is>
      </c>
      <c r="F53" s="499" t="inlineStr">
        <is>
          <t>10 raw clips</t>
        </is>
      </c>
      <c r="G53" s="499" t="inlineStr">
        <is>
          <t>Video Team</t>
        </is>
      </c>
    </row>
    <row r="54">
      <c r="A54" s="500" t="inlineStr">
        <is>
          <t>10</t>
        </is>
      </c>
      <c r="B54" s="500" t="inlineStr">
        <is>
          <t>10:00-12:00</t>
        </is>
      </c>
      <c r="C54" s="500" t="inlineStr">
        <is>
          <t>Content</t>
        </is>
      </c>
      <c r="D54" s="500" t="inlineStr">
        <is>
          <t>Edit video TikTok + Reels</t>
        </is>
      </c>
      <c r="E54" s="500" t="inlineStr">
        <is>
          <t>CapCut: edit 5 videos ngắn (30-60s). Add text, music, transitions. Export 1080x1920</t>
        </is>
      </c>
      <c r="F54" s="500" t="inlineStr">
        <is>
          <t>5 videos ready</t>
        </is>
      </c>
      <c r="G54" s="500" t="inlineStr">
        <is>
          <t>TikTok Creator</t>
        </is>
      </c>
    </row>
    <row r="55">
      <c r="A55" s="499" t="inlineStr">
        <is>
          <t>11</t>
        </is>
      </c>
      <c r="B55" s="499" t="inlineStr">
        <is>
          <t>14:00-15:00</t>
        </is>
      </c>
      <c r="C55" s="499" t="inlineStr">
        <is>
          <t>Facebook</t>
        </is>
      </c>
      <c r="D55" s="499" t="inlineStr">
        <is>
          <t>Engage FB Groups</t>
        </is>
      </c>
      <c r="E55" s="499" t="inlineStr">
        <is>
          <t>Comment, reply, start discussions trong 6 nhóm. Welcome new members. Remove spam</t>
        </is>
      </c>
      <c r="F55" s="499" t="inlineStr">
        <is>
          <t>Groups engaged</t>
        </is>
      </c>
      <c r="G55" s="499" t="inlineStr">
        <is>
          <t>Community Mgr</t>
        </is>
      </c>
    </row>
    <row r="56">
      <c r="A56" s="500" t="inlineStr">
        <is>
          <t>12</t>
        </is>
      </c>
      <c r="B56" s="500" t="inlineStr">
        <is>
          <t>15:00-16:00</t>
        </is>
      </c>
      <c r="C56" s="500" t="inlineStr">
        <is>
          <t>Zalo</t>
        </is>
      </c>
      <c r="D56" s="500" t="inlineStr">
        <is>
          <t>Gửi Broadcast T3 (nếu có)</t>
        </is>
      </c>
      <c r="E56" s="500" t="inlineStr">
        <is>
          <t>Broadcast thông báo/tips/sự kiện. Segment theo cấp học. Track open rate</t>
        </is>
      </c>
      <c r="F56" s="500" t="inlineStr">
        <is>
          <t>Broadcast sent</t>
        </is>
      </c>
      <c r="G56" s="500" t="inlineStr">
        <is>
          <t>Zalo Specialist</t>
        </is>
      </c>
    </row>
    <row r="57">
      <c r="A57" s="499" t="inlineStr">
        <is>
          <t>13</t>
        </is>
      </c>
      <c r="B57" s="499" t="inlineStr">
        <is>
          <t>20:00-21:00</t>
        </is>
      </c>
      <c r="C57" s="499" t="inlineStr">
        <is>
          <t>FB + Zalo</t>
        </is>
      </c>
      <c r="D57" s="499" t="inlineStr">
        <is>
          <t>Livestream tư vấn T3</t>
        </is>
      </c>
      <c r="E57" s="499" t="inlineStr">
        <is>
          <t>Chủ đề tuần: MN→TH→THCS→THPT rotate. Setup OBS, slide, Q&amp;A. Record for YT</t>
        </is>
      </c>
      <c r="F57" s="499" t="inlineStr">
        <is>
          <t>Livestream completed</t>
        </is>
      </c>
      <c r="G57" s="499" t="inlineStr">
        <is>
          <t>GV + Marketing Lead</t>
        </is>
      </c>
    </row>
    <row r="59">
      <c r="A59" s="494" t="inlineStr">
        <is>
          <t>THỨ TƯ — Ads Optimization &amp; Midweek Check</t>
        </is>
      </c>
    </row>
    <row r="60">
      <c r="A60" s="495" t="inlineStr">
        <is>
          <t>STT</t>
        </is>
      </c>
      <c r="B60" s="495" t="inlineStr">
        <is>
          <t>Thời gian</t>
        </is>
      </c>
      <c r="C60" s="495" t="inlineStr">
        <is>
          <t>Kênh</t>
        </is>
      </c>
      <c r="D60" s="495" t="inlineStr">
        <is>
          <t>Công việc</t>
        </is>
      </c>
      <c r="E60" s="495" t="inlineStr">
        <is>
          <t>Chi tiết</t>
        </is>
      </c>
      <c r="F60" s="495" t="inlineStr">
        <is>
          <t>Output</t>
        </is>
      </c>
      <c r="G60" s="495" t="inlineStr">
        <is>
          <t>Người thực hiện</t>
        </is>
      </c>
    </row>
    <row r="61">
      <c r="A61" s="499" t="inlineStr">
        <is>
          <t>14</t>
        </is>
      </c>
      <c r="B61" s="499" t="inlineStr">
        <is>
          <t>8:00-9:00</t>
        </is>
      </c>
      <c r="C61" s="499" t="inlineStr">
        <is>
          <t>Birch</t>
        </is>
      </c>
      <c r="D61" s="499" t="inlineStr">
        <is>
          <t>Midweek ads optimization</t>
        </is>
      </c>
      <c r="E61" s="499" t="inlineStr">
        <is>
          <t>Birch → Performance → Pause losers, scale winners. A/B test new creatives. Adjust targeting</t>
        </is>
      </c>
      <c r="F61" s="499" t="inlineStr">
        <is>
          <t>Ads optimized</t>
        </is>
      </c>
      <c r="G61" s="499" t="inlineStr">
        <is>
          <t>Ads Specialist</t>
        </is>
      </c>
    </row>
    <row r="62">
      <c r="A62" s="500" t="inlineStr">
        <is>
          <t>15</t>
        </is>
      </c>
      <c r="B62" s="500" t="inlineStr">
        <is>
          <t>9:00-10:00</t>
        </is>
      </c>
      <c r="C62" s="500" t="inlineStr">
        <is>
          <t>Meta Ads</t>
        </is>
      </c>
      <c r="D62" s="500" t="inlineStr">
        <is>
          <t>Tạo/refresh ad creatives</t>
        </is>
      </c>
      <c r="E62" s="500" t="inlineStr">
        <is>
          <t>Canva → 3-5 new ad images/videos. Upload to Meta Ads. Split test</t>
        </is>
      </c>
      <c r="F62" s="500" t="inlineStr">
        <is>
          <t>New creatives live</t>
        </is>
      </c>
      <c r="G62" s="500" t="inlineStr">
        <is>
          <t>Designer + Ads</t>
        </is>
      </c>
    </row>
    <row r="63">
      <c r="A63" s="499" t="inlineStr">
        <is>
          <t>16</t>
        </is>
      </c>
      <c r="B63" s="499" t="inlineStr">
        <is>
          <t>10:00-11:00</t>
        </is>
      </c>
      <c r="C63" s="499" t="inlineStr">
        <is>
          <t>Google Ads</t>
        </is>
      </c>
      <c r="D63" s="499" t="inlineStr">
        <is>
          <t>Optimize Google Search campaigns</t>
        </is>
      </c>
      <c r="E63" s="499" t="inlineStr">
        <is>
          <t>Search Terms Report → Add negatives, new keywords. Adjust bids. Check Quality Score</t>
        </is>
      </c>
      <c r="F63" s="499" t="inlineStr">
        <is>
          <t>Google Ads optimized</t>
        </is>
      </c>
      <c r="G63" s="499" t="inlineStr">
        <is>
          <t>Ads Specialist</t>
        </is>
      </c>
    </row>
    <row r="64">
      <c r="A64" s="500" t="inlineStr">
        <is>
          <t>17</t>
        </is>
      </c>
      <c r="B64" s="500" t="inlineStr">
        <is>
          <t>14:00-15:00</t>
        </is>
      </c>
      <c r="C64" s="500" t="inlineStr">
        <is>
          <t>GHL</t>
        </is>
      </c>
      <c r="D64" s="500" t="inlineStr">
        <is>
          <t>Review workflows performance</t>
        </is>
      </c>
      <c r="E64" s="500" t="inlineStr">
        <is>
          <t>GHL → Workflows → Check email open rates, SMS delivery, step completion. Adjust timing/content</t>
        </is>
      </c>
      <c r="F64" s="500" t="inlineStr">
        <is>
          <t>Workflow report</t>
        </is>
      </c>
      <c r="G64" s="500" t="inlineStr">
        <is>
          <t>Marketing Lead</t>
        </is>
      </c>
    </row>
    <row r="65">
      <c r="A65" s="499" t="inlineStr">
        <is>
          <t>18</t>
        </is>
      </c>
      <c r="B65" s="499" t="inlineStr">
        <is>
          <t>15:00-16:00</t>
        </is>
      </c>
      <c r="C65" s="499" t="inlineStr">
        <is>
          <t>YouTube</t>
        </is>
      </c>
      <c r="D65" s="499" t="inlineStr">
        <is>
          <t>Upload video dài (nếu có)</t>
        </is>
      </c>
      <c r="E65" s="499" t="inlineStr">
        <is>
          <t>Upload video tour/tips/phỏng vấn. Full SEO: title, description (500 từ), tags, thumbnail, end screen</t>
        </is>
      </c>
      <c r="F65" s="499" t="inlineStr">
        <is>
          <t>YT video live</t>
        </is>
      </c>
      <c r="G65" s="499" t="inlineStr">
        <is>
          <t>Video Team</t>
        </is>
      </c>
    </row>
    <row r="66">
      <c r="A66" s="500" t="inlineStr">
        <is>
          <t>19</t>
        </is>
      </c>
      <c r="B66" s="500" t="inlineStr">
        <is>
          <t>16:00-17:00</t>
        </is>
      </c>
      <c r="C66" s="500" t="inlineStr">
        <is>
          <t>Pancake</t>
        </is>
      </c>
      <c r="D66" s="500" t="inlineStr">
        <is>
          <t>Midweek lead review</t>
        </is>
      </c>
      <c r="E66" s="500" t="inlineStr">
        <is>
          <t>Check lead pipeline. Follow up hot leads. Discuss with tư vấn viên about difficult cases</t>
        </is>
      </c>
      <c r="F66" s="500" t="inlineStr">
        <is>
          <t>Leads followed up</t>
        </is>
      </c>
      <c r="G66" s="500" t="inlineStr">
        <is>
          <t>Marketing Lead + TVV</t>
        </is>
      </c>
    </row>
    <row r="68">
      <c r="A68" s="494" t="inlineStr">
        <is>
          <t>THỨ NĂM — Engagement &amp; Livestream #2</t>
        </is>
      </c>
    </row>
    <row r="69">
      <c r="A69" s="495" t="inlineStr">
        <is>
          <t>STT</t>
        </is>
      </c>
      <c r="B69" s="495" t="inlineStr">
        <is>
          <t>Thời gian</t>
        </is>
      </c>
      <c r="C69" s="495" t="inlineStr">
        <is>
          <t>Kênh</t>
        </is>
      </c>
      <c r="D69" s="495" t="inlineStr">
        <is>
          <t>Công việc</t>
        </is>
      </c>
      <c r="E69" s="495" t="inlineStr">
        <is>
          <t>Chi tiết</t>
        </is>
      </c>
      <c r="F69" s="495" t="inlineStr">
        <is>
          <t>Output</t>
        </is>
      </c>
      <c r="G69" s="495" t="inlineStr">
        <is>
          <t>Người thực hiện</t>
        </is>
      </c>
    </row>
    <row r="70">
      <c r="A70" s="499" t="inlineStr">
        <is>
          <t>20</t>
        </is>
      </c>
      <c r="B70" s="499" t="inlineStr">
        <is>
          <t>8:00-10:00</t>
        </is>
      </c>
      <c r="C70" s="499" t="inlineStr">
        <is>
          <t>Content</t>
        </is>
      </c>
      <c r="D70" s="499" t="inlineStr">
        <is>
          <t>Batch write content weekend</t>
        </is>
      </c>
      <c r="E70" s="499" t="inlineStr">
        <is>
          <t>Viết 4-6 bài cho T6-CN: FB posts, Zalo articles, IG captions. Chuẩn bị hình ảnh</t>
        </is>
      </c>
      <c r="F70" s="499" t="inlineStr">
        <is>
          <t>Weekend content ready</t>
        </is>
      </c>
      <c r="G70" s="499" t="inlineStr">
        <is>
          <t>Content Writer</t>
        </is>
      </c>
    </row>
    <row r="71">
      <c r="A71" s="500" t="inlineStr">
        <is>
          <t>21</t>
        </is>
      </c>
      <c r="B71" s="500" t="inlineStr">
        <is>
          <t>10:00-11:00</t>
        </is>
      </c>
      <c r="C71" s="500" t="inlineStr">
        <is>
          <t>Email</t>
        </is>
      </c>
      <c r="D71" s="500" t="inlineStr">
        <is>
          <t>Chuẩn bị email broadcast (nếu T5 gửi)</t>
        </is>
      </c>
      <c r="E71" s="500" t="inlineStr">
        <is>
          <t>GHL → Email → Create broadcast: tips/event reminder/testimonial. Segment audience</t>
        </is>
      </c>
      <c r="F71" s="500" t="inlineStr">
        <is>
          <t>Email ready to send</t>
        </is>
      </c>
      <c r="G71" s="500" t="inlineStr">
        <is>
          <t>Content Writer</t>
        </is>
      </c>
    </row>
    <row r="72">
      <c r="A72" s="499" t="inlineStr">
        <is>
          <t>22</t>
        </is>
      </c>
      <c r="B72" s="499" t="inlineStr">
        <is>
          <t>14:00-15:00</t>
        </is>
      </c>
      <c r="C72" s="499" t="inlineStr">
        <is>
          <t>TikTok</t>
        </is>
      </c>
      <c r="D72" s="499" t="inlineStr">
        <is>
          <t>TikTok trend research</t>
        </is>
      </c>
      <c r="E72" s="499" t="inlineStr">
        <is>
          <t>Check trending sounds, hashtags, challenges. Plan 3-5 trend videos cho tuần tới</t>
        </is>
      </c>
      <c r="F72" s="499" t="inlineStr">
        <is>
          <t>Trend plan</t>
        </is>
      </c>
      <c r="G72" s="499" t="inlineStr">
        <is>
          <t>TikTok Creator</t>
        </is>
      </c>
    </row>
    <row r="73">
      <c r="A73" s="500" t="inlineStr">
        <is>
          <t>23</t>
        </is>
      </c>
      <c r="B73" s="500" t="inlineStr">
        <is>
          <t>15:00-16:00</t>
        </is>
      </c>
      <c r="C73" s="500" t="inlineStr">
        <is>
          <t>IG</t>
        </is>
      </c>
      <c r="D73" s="500" t="inlineStr">
        <is>
          <t>Instagram engagement boost</t>
        </is>
      </c>
      <c r="E73" s="500" t="inlineStr">
        <is>
          <t>Reply all DMs, engage with followers, comment on relevant accounts. Story polls</t>
        </is>
      </c>
      <c r="F73" s="500" t="inlineStr">
        <is>
          <t>IG engagement done</t>
        </is>
      </c>
      <c r="G73" s="500" t="inlineStr">
        <is>
          <t>IG Specialist</t>
        </is>
      </c>
    </row>
    <row r="74">
      <c r="A74" s="499" t="inlineStr">
        <is>
          <t>24</t>
        </is>
      </c>
      <c r="B74" s="499" t="inlineStr">
        <is>
          <t>20:00-21:00</t>
        </is>
      </c>
      <c r="C74" s="499" t="inlineStr">
        <is>
          <t>FB + Zalo</t>
        </is>
      </c>
      <c r="D74" s="499" t="inlineStr">
        <is>
          <t>Livestream tư vấn T5</t>
        </is>
      </c>
      <c r="E74" s="499" t="inlineStr">
        <is>
          <t>Chủ đề khác T3. Focus: Q&amp;A PH, giải đáp thắc mắc. Interactive</t>
        </is>
      </c>
      <c r="F74" s="499" t="inlineStr">
        <is>
          <t>Livestream completed</t>
        </is>
      </c>
      <c r="G74" s="499" t="inlineStr">
        <is>
          <t>GV + Marketing Lead</t>
        </is>
      </c>
    </row>
    <row r="76">
      <c r="A76" s="494" t="inlineStr">
        <is>
          <t>THỨ SÁU — Optimization &amp; Weekend Prep</t>
        </is>
      </c>
    </row>
    <row r="77">
      <c r="A77" s="495" t="inlineStr">
        <is>
          <t>STT</t>
        </is>
      </c>
      <c r="B77" s="495" t="inlineStr">
        <is>
          <t>Thời gian</t>
        </is>
      </c>
      <c r="C77" s="495" t="inlineStr">
        <is>
          <t>Kênh</t>
        </is>
      </c>
      <c r="D77" s="495" t="inlineStr">
        <is>
          <t>Công việc</t>
        </is>
      </c>
      <c r="E77" s="495" t="inlineStr">
        <is>
          <t>Chi tiết</t>
        </is>
      </c>
      <c r="F77" s="495" t="inlineStr">
        <is>
          <t>Output</t>
        </is>
      </c>
      <c r="G77" s="495" t="inlineStr">
        <is>
          <t>Người thực hiện</t>
        </is>
      </c>
    </row>
    <row r="78">
      <c r="A78" s="499" t="inlineStr">
        <is>
          <t>25</t>
        </is>
      </c>
      <c r="B78" s="499" t="inlineStr">
        <is>
          <t>8:00-9:00</t>
        </is>
      </c>
      <c r="C78" s="499" t="inlineStr">
        <is>
          <t>All Ads</t>
        </is>
      </c>
      <c r="D78" s="499" t="inlineStr">
        <is>
          <t>Friday ads review + weekend adjust</t>
        </is>
      </c>
      <c r="E78" s="499" t="inlineStr">
        <is>
          <t>Birch → Reduce/maintain weekend budgets. Schedule weekend campaigns. Check all pixels</t>
        </is>
      </c>
      <c r="F78" s="499" t="inlineStr">
        <is>
          <t>Weekend ads ready</t>
        </is>
      </c>
      <c r="G78" s="499" t="inlineStr">
        <is>
          <t>Ads Specialist</t>
        </is>
      </c>
    </row>
    <row r="79">
      <c r="A79" s="500" t="inlineStr">
        <is>
          <t>26</t>
        </is>
      </c>
      <c r="B79" s="500" t="inlineStr">
        <is>
          <t>9:00-10:00</t>
        </is>
      </c>
      <c r="C79" s="500" t="inlineStr">
        <is>
          <t>FB Groups</t>
        </is>
      </c>
      <c r="D79" s="500" t="inlineStr">
        <is>
          <t>Mini-game/Contest T6 (nếu 2 lần/tháng)</t>
        </is>
      </c>
      <c r="E79" s="500" t="inlineStr">
        <is>
          <t>Đăng mini-game trong groups. Like+Share+Comment contest. Quà: voucher/sách</t>
        </is>
      </c>
      <c r="F79" s="500" t="inlineStr">
        <is>
          <t>Contest posted</t>
        </is>
      </c>
      <c r="G79" s="500" t="inlineStr">
        <is>
          <t>Community Mgr</t>
        </is>
      </c>
    </row>
    <row r="80">
      <c r="A80" s="499" t="inlineStr">
        <is>
          <t>27</t>
        </is>
      </c>
      <c r="B80" s="499" t="inlineStr">
        <is>
          <t>10:00-11:00</t>
        </is>
      </c>
      <c r="C80" s="499" t="inlineStr">
        <is>
          <t>GHL</t>
        </is>
      </c>
      <c r="D80" s="499" t="inlineStr">
        <is>
          <t>Pipeline cleanup cuối tuần</t>
        </is>
      </c>
      <c r="E80" s="499" t="inlineStr">
        <is>
          <t>Review tất cả leads trong pipeline. Update stages. Ghi notes. Plan follow-up đầu tuần sau</t>
        </is>
      </c>
      <c r="F80" s="499" t="inlineStr">
        <is>
          <t>Pipeline updated</t>
        </is>
      </c>
      <c r="G80" s="499" t="inlineStr">
        <is>
          <t>Marketing Lead</t>
        </is>
      </c>
    </row>
    <row r="81">
      <c r="A81" s="500" t="inlineStr">
        <is>
          <t>28</t>
        </is>
      </c>
      <c r="B81" s="500" t="inlineStr">
        <is>
          <t>14:00-15:00</t>
        </is>
      </c>
      <c r="C81" s="500" t="inlineStr">
        <is>
          <t>Zalo</t>
        </is>
      </c>
      <c r="D81" s="500" t="inlineStr">
        <is>
          <t>Broadcast T6</t>
        </is>
      </c>
      <c r="E81" s="500" t="inlineStr">
        <is>
          <t>Gửi tin nhắn cuối tuần: event reminder, tips, weekend content. Segment phù hợp</t>
        </is>
      </c>
      <c r="F81" s="500" t="inlineStr">
        <is>
          <t>Broadcast sent</t>
        </is>
      </c>
      <c r="G81" s="500" t="inlineStr">
        <is>
          <t>Zalo Specialist</t>
        </is>
      </c>
    </row>
    <row r="82">
      <c r="A82" s="499" t="inlineStr">
        <is>
          <t>29</t>
        </is>
      </c>
      <c r="B82" s="499" t="inlineStr">
        <is>
          <t>15:00-17:00</t>
        </is>
      </c>
      <c r="C82" s="499" t="inlineStr">
        <is>
          <t>Content</t>
        </is>
      </c>
      <c r="D82" s="499" t="inlineStr">
        <is>
          <t>Prepare content tuần tới</t>
        </is>
      </c>
      <c r="E82" s="499" t="inlineStr">
        <is>
          <t>Draft 3-4 ngày đầu tuần tới. Batch edit hình. Lên lịch auto-post nếu tool cho phép</t>
        </is>
      </c>
      <c r="F82" s="499" t="inlineStr">
        <is>
          <t>Next week content started</t>
        </is>
      </c>
      <c r="G82" s="499" t="inlineStr">
        <is>
          <t>Content Team</t>
        </is>
      </c>
    </row>
    <row r="84">
      <c r="A84" s="494" t="inlineStr">
        <is>
          <t>THỨ BẢY — Event Day &amp; Community</t>
        </is>
      </c>
    </row>
    <row r="85">
      <c r="A85" s="495" t="inlineStr">
        <is>
          <t>STT</t>
        </is>
      </c>
      <c r="B85" s="495" t="inlineStr">
        <is>
          <t>Thời gian</t>
        </is>
      </c>
      <c r="C85" s="495" t="inlineStr">
        <is>
          <t>Kênh</t>
        </is>
      </c>
      <c r="D85" s="495" t="inlineStr">
        <is>
          <t>Công việc</t>
        </is>
      </c>
      <c r="E85" s="495" t="inlineStr">
        <is>
          <t>Chi tiết</t>
        </is>
      </c>
      <c r="F85" s="495" t="inlineStr">
        <is>
          <t>Output</t>
        </is>
      </c>
      <c r="G85" s="495" t="inlineStr">
        <is>
          <t>Người thực hiện</t>
        </is>
      </c>
    </row>
    <row r="86">
      <c r="A86" s="499" t="inlineStr">
        <is>
          <t>30</t>
        </is>
      </c>
      <c r="B86" s="499" t="inlineStr">
        <is>
          <t>7:00-8:00</t>
        </is>
      </c>
      <c r="C86" s="499" t="inlineStr">
        <is>
          <t>Social Media</t>
        </is>
      </c>
      <c r="D86" s="499" t="inlineStr">
        <is>
          <t>Đăng bài sáng T7 (scheduled)</t>
        </is>
      </c>
      <c r="E86" s="499" t="inlineStr">
        <is>
          <t>Content đã chuẩn bị. Đăng FB + TikTok + IG. Zalo article</t>
        </is>
      </c>
      <c r="F86" s="499" t="inlineStr">
        <is>
          <t>Posts live</t>
        </is>
      </c>
      <c r="G86" s="499" t="inlineStr">
        <is>
          <t>Content Writer</t>
        </is>
      </c>
    </row>
    <row r="87">
      <c r="A87" s="500" t="inlineStr">
        <is>
          <t>31</t>
        </is>
      </c>
      <c r="B87" s="500" t="inlineStr">
        <is>
          <t>8:00-12:00</t>
        </is>
      </c>
      <c r="C87" s="500" t="inlineStr">
        <is>
          <t>Event</t>
        </is>
      </c>
      <c r="D87" s="500" t="inlineStr">
        <is>
          <t>Hỗ trợ Open Day/Tour (nếu có)</t>
        </is>
      </c>
      <c r="E87" s="500" t="inlineStr">
        <is>
          <t>Photo/video coverage, live story IG/FB, welcome PH, hỗ trợ logistics</t>
        </is>
      </c>
      <c r="F87" s="500" t="inlineStr">
        <is>
          <t>Event coverage</t>
        </is>
      </c>
      <c r="G87" s="500" t="inlineStr">
        <is>
          <t>Cả team</t>
        </is>
      </c>
    </row>
    <row r="88">
      <c r="A88" s="499" t="inlineStr">
        <is>
          <t>32</t>
        </is>
      </c>
      <c r="B88" s="499" t="inlineStr">
        <is>
          <t>10:00-11:00</t>
        </is>
      </c>
      <c r="C88" s="499" t="inlineStr">
        <is>
          <t>FB Group</t>
        </is>
      </c>
      <c r="D88" s="499" t="inlineStr">
        <is>
          <t>Livestream group T7</t>
        </is>
      </c>
      <c r="E88" s="499" t="inlineStr">
        <is>
          <t>Live Q&amp;A trong nhóm. Informal hơn T3/T5. Focus community building</t>
        </is>
      </c>
      <c r="F88" s="499" t="inlineStr">
        <is>
          <t>Live done</t>
        </is>
      </c>
      <c r="G88" s="499" t="inlineStr">
        <is>
          <t>Community Mgr</t>
        </is>
      </c>
    </row>
    <row r="89">
      <c r="A89" s="500" t="inlineStr">
        <is>
          <t>33</t>
        </is>
      </c>
      <c r="B89" s="500" t="inlineStr">
        <is>
          <t>14:00-15:00</t>
        </is>
      </c>
      <c r="C89" s="500" t="inlineStr">
        <is>
          <t>TikTok</t>
        </is>
      </c>
      <c r="D89" s="500" t="inlineStr">
        <is>
          <t>TikTok Livestream T7</t>
        </is>
      </c>
      <c r="E89" s="500" t="inlineStr">
        <is>
          <t>Live tour trường, Q&amp;A, behind the scenes. Target PH trẻ</t>
        </is>
      </c>
      <c r="F89" s="500" t="inlineStr">
        <is>
          <t>TikTok live done</t>
        </is>
      </c>
      <c r="G89" s="500" t="inlineStr">
        <is>
          <t>TikTok Creator</t>
        </is>
      </c>
    </row>
    <row r="90">
      <c r="A90" s="499" t="inlineStr">
        <is>
          <t>34</t>
        </is>
      </c>
      <c r="B90" s="499" t="inlineStr">
        <is>
          <t>15:00-16:00</t>
        </is>
      </c>
      <c r="C90" s="499" t="inlineStr">
        <is>
          <t>Ads</t>
        </is>
      </c>
      <c r="D90" s="499" t="inlineStr">
        <is>
          <t>Quick ads check T7</t>
        </is>
      </c>
      <c r="E90" s="499" t="inlineStr">
        <is>
          <t>Birch → Weekend performance. Quick adjustments if needed</t>
        </is>
      </c>
      <c r="F90" s="499" t="inlineStr">
        <is>
          <t>Ads checked</t>
        </is>
      </c>
      <c r="G90" s="499" t="inlineStr">
        <is>
          <t>Ads Specialist</t>
        </is>
      </c>
    </row>
    <row r="92">
      <c r="A92" s="494" t="inlineStr">
        <is>
          <t>CHỦ NHẬT — Light Work &amp; Next Week Prep</t>
        </is>
      </c>
    </row>
    <row r="93">
      <c r="A93" s="495" t="inlineStr">
        <is>
          <t>STT</t>
        </is>
      </c>
      <c r="B93" s="495" t="inlineStr">
        <is>
          <t>Thời gian</t>
        </is>
      </c>
      <c r="C93" s="495" t="inlineStr">
        <is>
          <t>Kênh</t>
        </is>
      </c>
      <c r="D93" s="495" t="inlineStr">
        <is>
          <t>Công việc</t>
        </is>
      </c>
      <c r="E93" s="495" t="inlineStr">
        <is>
          <t>Chi tiết</t>
        </is>
      </c>
      <c r="F93" s="495" t="inlineStr">
        <is>
          <t>Output</t>
        </is>
      </c>
      <c r="G93" s="495" t="inlineStr">
        <is>
          <t>Người thực hiện</t>
        </is>
      </c>
    </row>
    <row r="94">
      <c r="A94" s="499" t="inlineStr">
        <is>
          <t>35</t>
        </is>
      </c>
      <c r="B94" s="499" t="inlineStr">
        <is>
          <t>9:00-10:00</t>
        </is>
      </c>
      <c r="C94" s="499" t="inlineStr">
        <is>
          <t>Social Media</t>
        </is>
      </c>
      <c r="D94" s="499" t="inlineStr">
        <is>
          <t>Đăng bài CN + Stories</t>
        </is>
      </c>
      <c r="E94" s="499" t="inlineStr">
        <is>
          <t>Bài nhẹ nhàng: throwback, motivation, family content. Stories poll</t>
        </is>
      </c>
      <c r="F94" s="499" t="inlineStr">
        <is>
          <t>Posts live</t>
        </is>
      </c>
      <c r="G94" s="499" t="inlineStr">
        <is>
          <t>Content Writer</t>
        </is>
      </c>
    </row>
    <row r="95">
      <c r="A95" s="500" t="inlineStr">
        <is>
          <t>36</t>
        </is>
      </c>
      <c r="B95" s="500" t="inlineStr">
        <is>
          <t>10:00-11:00</t>
        </is>
      </c>
      <c r="C95" s="500" t="inlineStr">
        <is>
          <t>GHL + Pancake</t>
        </is>
      </c>
      <c r="D95" s="500" t="inlineStr">
        <is>
          <t>Check weekend leads</t>
        </is>
      </c>
      <c r="E95" s="500" t="inlineStr">
        <is>
          <t>Review leads từ T7-CN. Assign nếu urgent. Prepare follow-up T2</t>
        </is>
      </c>
      <c r="F95" s="500" t="inlineStr">
        <is>
          <t>Leads noted</t>
        </is>
      </c>
      <c r="G95" s="500" t="inlineStr">
        <is>
          <t>Marketing Lead</t>
        </is>
      </c>
    </row>
    <row r="96">
      <c r="A96" s="499" t="inlineStr">
        <is>
          <t>37</t>
        </is>
      </c>
      <c r="B96" s="499" t="inlineStr">
        <is>
          <t>14:00-16:00</t>
        </is>
      </c>
      <c r="C96" s="499" t="inlineStr">
        <is>
          <t>Planning</t>
        </is>
      </c>
      <c r="D96" s="499" t="inlineStr">
        <is>
          <t>Chuẩn bị tuần tới</t>
        </is>
      </c>
      <c r="E96" s="499" t="inlineStr">
        <is>
          <t>Finalize content T2-T4. Review tuần qua: what worked, what didn't. Adjust strategy</t>
        </is>
      </c>
      <c r="F96" s="499" t="inlineStr">
        <is>
          <t>Next week plan ready</t>
        </is>
      </c>
      <c r="G96" s="499" t="inlineStr">
        <is>
          <t>Marketing Lead</t>
        </is>
      </c>
    </row>
    <row r="97">
      <c r="A97" s="500" t="inlineStr">
        <is>
          <t>38</t>
        </is>
      </c>
      <c r="B97" s="500" t="inlineStr">
        <is>
          <t>16:00-17:00</t>
        </is>
      </c>
      <c r="C97" s="500" t="inlineStr">
        <is>
          <t>Email</t>
        </is>
      </c>
      <c r="D97" s="500" t="inlineStr">
        <is>
          <t>Schedule weekly newsletter T2 sáng</t>
        </is>
      </c>
      <c r="E97" s="500" t="inlineStr">
        <is>
          <t>GHL → Email → Schedule newsletter cho T2 8:00. Final check content, links</t>
        </is>
      </c>
      <c r="F97" s="500" t="inlineStr">
        <is>
          <t>Newsletter scheduled</t>
        </is>
      </c>
      <c r="G97" s="500" t="inlineStr">
        <is>
          <t>Content Writer</t>
        </is>
      </c>
    </row>
  </sheetData>
  <mergeCells count="8">
    <mergeCell ref="B2:I2"/>
    <mergeCell ref="B16:I16"/>
    <mergeCell ref="B20:I20"/>
    <mergeCell ref="B10:I10"/>
    <mergeCell ref="B31:I31"/>
    <mergeCell ref="B1:I1"/>
    <mergeCell ref="B4:I4"/>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I1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1"/>
    <col width="25" customWidth="1" style="247" min="2" max="2"/>
    <col width="65" customWidth="1" style="247" min="3" max="3"/>
    <col width="38" customWidth="1" style="247" min="4" max="4"/>
    <col width="30" customWidth="1" style="247" min="5" max="5"/>
    <col width="14" customWidth="1" style="247" min="6" max="6"/>
    <col width="10" customWidth="1" style="247" min="7" max="8"/>
    <col width="3" customWidth="1" style="247" min="9" max="9"/>
  </cols>
  <sheetData>
    <row r="1" ht="36" customHeight="1" s="248">
      <c r="B1" s="374" t="inlineStr">
        <is>
          <t>📆 TODO LIST HÀNG THÁNG – REVIEW + PLANNING + TUYỂN SINH (Tháng 4–9/2026)</t>
        </is>
      </c>
    </row>
    <row r="3" ht="21.75" customHeight="1" s="248">
      <c r="B3" s="376" t="inlineStr">
        <is>
          <t>STT</t>
        </is>
      </c>
      <c r="C3" s="376" t="inlineStr">
        <is>
          <t>Tháng/Đội</t>
        </is>
      </c>
      <c r="D3" s="376" t="inlineStr">
        <is>
          <t>Công việc</t>
        </is>
      </c>
      <c r="E3" s="376" t="inlineStr">
        <is>
          <t>Chi tiết / Tiêu chí</t>
        </is>
      </c>
      <c r="F3" s="376" t="inlineStr">
        <is>
          <t>KPI cần đạt</t>
        </is>
      </c>
      <c r="G3" s="376" t="inlineStr">
        <is>
          <t>Deadline</t>
        </is>
      </c>
      <c r="H3" s="376" t="inlineStr">
        <is>
          <t>Owner</t>
        </is>
      </c>
      <c r="I3" s="376" t="inlineStr">
        <is>
          <t>Status</t>
        </is>
      </c>
    </row>
    <row r="4" ht="27.75" customHeight="1" s="248">
      <c r="B4" s="419" t="inlineStr">
        <is>
          <t>THÁNG 4/2026 – SETUP + PILOT</t>
        </is>
      </c>
    </row>
    <row r="5" ht="19.5" customHeight="1" s="248">
      <c r="B5" s="420" t="inlineStr">
        <is>
          <t>📌 Ngân sách: 1,820,000,000đ | Mục tiêu: 1,400 leads / 420 tours</t>
        </is>
      </c>
    </row>
    <row r="6" ht="27.75" customHeight="1" s="248">
      <c r="B6" s="404" t="n">
        <v>1</v>
      </c>
      <c r="C6" s="405" t="inlineStr">
        <is>
          <t>Management</t>
        </is>
      </c>
      <c r="D6" s="269" t="inlineStr">
        <is>
          <t>Go/No-go decision 31/03</t>
        </is>
      </c>
      <c r="E6" s="412" t="inlineStr">
        <is>
          <t>Tracking đã live? GHL nhận lead? LP hoạt động? Birch kết nối?</t>
        </is>
      </c>
      <c r="F6" s="413" t="inlineStr">
        <is>
          <t>All systems GO</t>
        </is>
      </c>
      <c r="G6" s="421" t="inlineStr">
        <is>
          <t>31/03</t>
        </is>
      </c>
      <c r="H6" s="408" t="inlineStr">
        <is>
          <t>☐</t>
        </is>
      </c>
      <c r="I6" s="276" t="n"/>
    </row>
    <row r="7" ht="27.75" customHeight="1" s="248">
      <c r="B7" s="396" t="n">
        <v>2</v>
      </c>
      <c r="C7" s="397" t="inlineStr">
        <is>
          <t>Marketing</t>
        </is>
      </c>
      <c r="D7" s="398" t="inlineStr">
        <is>
          <t>Launch brand + generic search</t>
        </is>
      </c>
      <c r="E7" s="415" t="inlineStr">
        <is>
          <t>Bật Brand Search + Generic cho GV, BT | RSA 2 variant/adgroup</t>
        </is>
      </c>
      <c r="F7" s="416" t="inlineStr">
        <is>
          <t>CTR &gt;6%</t>
        </is>
      </c>
      <c r="G7" s="422" t="inlineStr">
        <is>
          <t>09/04</t>
        </is>
      </c>
      <c r="H7" s="402" t="inlineStr">
        <is>
          <t>☐</t>
        </is>
      </c>
      <c r="I7" s="403" t="n"/>
    </row>
    <row r="8" ht="27.75" customHeight="1" s="248">
      <c r="B8" s="404" t="n">
        <v>3</v>
      </c>
      <c r="C8" s="405" t="inlineStr">
        <is>
          <t>Marketing</t>
        </is>
      </c>
      <c r="D8" s="269" t="inlineStr">
        <is>
          <t>Mở Meta campaign đợt 1</t>
        </is>
      </c>
      <c r="E8" s="412" t="inlineStr">
        <is>
          <t>Prospecting MN+TH | Lead Gen THCS+THPT | Test 10-15 creative</t>
        </is>
      </c>
      <c r="F8" s="413" t="inlineStr">
        <is>
          <t>CPL &lt;150k</t>
        </is>
      </c>
      <c r="G8" s="421" t="inlineStr">
        <is>
          <t>09/04</t>
        </is>
      </c>
      <c r="H8" s="408" t="inlineStr">
        <is>
          <t>☐</t>
        </is>
      </c>
      <c r="I8" s="276" t="n"/>
    </row>
    <row r="9" ht="27.75" customHeight="1" s="248">
      <c r="B9" s="396" t="n">
        <v>4</v>
      </c>
      <c r="C9" s="397" t="inlineStr">
        <is>
          <t>Marketing</t>
        </is>
      </c>
      <c r="D9" s="398" t="inlineStr">
        <is>
          <t>Webinar #1 (THCS)</t>
        </is>
      </c>
      <c r="E9" s="415" t="inlineStr">
        <is>
          <t>Chủ đề: Lộ trình lớp 6 | 100+ đăng ký | Chốt tour sau</t>
        </is>
      </c>
      <c r="F9" s="416" t="inlineStr">
        <is>
          <t>100 reg</t>
        </is>
      </c>
      <c r="G9" s="422" t="inlineStr">
        <is>
          <t>15/04</t>
        </is>
      </c>
      <c r="H9" s="402" t="inlineStr">
        <is>
          <t>☐</t>
        </is>
      </c>
      <c r="I9" s="403" t="n"/>
    </row>
    <row r="10" ht="27.75" customHeight="1" s="248">
      <c r="B10" s="404" t="n">
        <v>5</v>
      </c>
      <c r="C10" s="405" t="inlineStr">
        <is>
          <t>Tuyển sinh</t>
        </is>
      </c>
      <c r="D10" s="269" t="inlineStr">
        <is>
          <t>QA pipeline đầu tiên</t>
        </is>
      </c>
      <c r="E10" s="412" t="inlineStr">
        <is>
          <t>Nghe 20 cuộc gọi đầu | Score | Coaching ngay | Fix script</t>
        </is>
      </c>
      <c r="F10" s="413" t="inlineStr">
        <is>
          <t>QA report</t>
        </is>
      </c>
      <c r="G10" s="421" t="inlineStr">
        <is>
          <t>15/04</t>
        </is>
      </c>
      <c r="H10" s="408" t="inlineStr">
        <is>
          <t>☐</t>
        </is>
      </c>
      <c r="I10" s="276" t="n"/>
    </row>
    <row r="11" ht="27.75" customHeight="1" s="248">
      <c r="B11" s="396" t="n">
        <v>6</v>
      </c>
      <c r="C11" s="397" t="inlineStr">
        <is>
          <t>Campus</t>
        </is>
      </c>
      <c r="D11" s="398" t="inlineStr">
        <is>
          <t>Confirm tour slots tháng 4</t>
        </is>
      </c>
      <c r="E11" s="415" t="inlineStr">
        <is>
          <t>Tối thiểu 2 slot/campus/tuần | Brief campus manager</t>
        </is>
      </c>
      <c r="F11" s="416" t="inlineStr">
        <is>
          <t>Slots live</t>
        </is>
      </c>
      <c r="G11" s="422" t="inlineStr">
        <is>
          <t>07/04</t>
        </is>
      </c>
      <c r="H11" s="402" t="inlineStr">
        <is>
          <t>☐</t>
        </is>
      </c>
      <c r="I11" s="403" t="n"/>
    </row>
    <row r="12" ht="27.75" customHeight="1" s="248">
      <c r="B12" s="404" t="n">
        <v>7</v>
      </c>
      <c r="C12" s="405" t="inlineStr">
        <is>
          <t>Management</t>
        </is>
      </c>
      <c r="D12" s="269" t="inlineStr">
        <is>
          <t>Mid-month CPL review</t>
        </is>
      </c>
      <c r="E12" s="412" t="inlineStr">
        <is>
          <t>CPL từng kênh, từng campus | Scale/pause decision</t>
        </is>
      </c>
      <c r="F12" s="413" t="inlineStr">
        <is>
          <t>Budget adj</t>
        </is>
      </c>
      <c r="G12" s="421" t="inlineStr">
        <is>
          <t>15/04</t>
        </is>
      </c>
      <c r="H12" s="408" t="inlineStr">
        <is>
          <t>☐</t>
        </is>
      </c>
      <c r="I12" s="276" t="n"/>
    </row>
    <row r="13" ht="27.75" customHeight="1" s="248">
      <c r="B13" s="396" t="n">
        <v>8</v>
      </c>
      <c r="C13" s="397" t="inlineStr">
        <is>
          <t>Marketing</t>
        </is>
      </c>
      <c r="D13" s="398" t="inlineStr">
        <is>
          <t>A/B test landing pages</t>
        </is>
      </c>
      <c r="E13" s="415" t="inlineStr">
        <is>
          <t>Test 2 LP version cho THCS/THPT | Measure CVR</t>
        </is>
      </c>
      <c r="F13" s="416" t="inlineStr">
        <is>
          <t>Winner selected</t>
        </is>
      </c>
      <c r="G13" s="422" t="inlineStr">
        <is>
          <t>30/04</t>
        </is>
      </c>
      <c r="H13" s="402" t="inlineStr">
        <is>
          <t>☐</t>
        </is>
      </c>
      <c r="I13" s="403" t="n"/>
    </row>
    <row r="14" ht="27.75" customHeight="1" s="248">
      <c r="B14" s="404" t="n">
        <v>9</v>
      </c>
      <c r="C14" s="405" t="inlineStr">
        <is>
          <t>Management</t>
        </is>
      </c>
      <c r="D14" s="269" t="inlineStr">
        <is>
          <t>Monthly review tháng 4</t>
        </is>
      </c>
      <c r="E14" s="412" t="inlineStr">
        <is>
          <t>So với target: leads, tours, CPL, response rate | Plan tháng 5</t>
        </is>
      </c>
      <c r="F14" s="413" t="inlineStr">
        <is>
          <t>Report + plan</t>
        </is>
      </c>
      <c r="G14" s="421" t="inlineStr">
        <is>
          <t>30/04</t>
        </is>
      </c>
      <c r="H14" s="408" t="inlineStr">
        <is>
          <t>☐</t>
        </is>
      </c>
      <c r="I14" s="276" t="n"/>
    </row>
    <row r="16" ht="27.75" customHeight="1" s="248">
      <c r="B16" s="423" t="inlineStr">
        <is>
          <t>THÁNG 5/2026 – MỞ RỘNG + SCALE</t>
        </is>
      </c>
    </row>
    <row r="17" ht="19.5" customHeight="1" s="248">
      <c r="B17" s="424" t="inlineStr">
        <is>
          <t>📌 Ngân sách: 2,860,000,000đ | Mục tiêu: 2,400 leads / 720 tours</t>
        </is>
      </c>
    </row>
    <row r="18" ht="27.75" customHeight="1" s="248">
      <c r="B18" s="404" t="n">
        <v>1</v>
      </c>
      <c r="C18" s="413" t="inlineStr">
        <is>
          <t>Marketing</t>
        </is>
      </c>
      <c r="D18" s="269" t="inlineStr">
        <is>
          <t>Scale campaign thắng tháng 4</t>
        </is>
      </c>
      <c r="E18" s="412" t="inlineStr">
        <is>
          <t>Top 5 adset/campaign → +20-30% budget | KPI-based scaling</t>
        </is>
      </c>
      <c r="F18" s="413" t="inlineStr">
        <is>
          <t>Budget scaled</t>
        </is>
      </c>
      <c r="G18" s="421" t="inlineStr">
        <is>
          <t>05/05</t>
        </is>
      </c>
      <c r="H18" s="408" t="inlineStr">
        <is>
          <t>☐</t>
        </is>
      </c>
      <c r="I18" s="276" t="n"/>
    </row>
    <row r="19" ht="27.75" customHeight="1" s="248">
      <c r="B19" s="396" t="n">
        <v>2</v>
      </c>
      <c r="C19" s="416" t="inlineStr">
        <is>
          <t>Marketing</t>
        </is>
      </c>
      <c r="D19" s="398" t="inlineStr">
        <is>
          <t>Mở competitor search</t>
        </is>
      </c>
      <c r="E19" s="415" t="inlineStr">
        <is>
          <t>THPT GV chọn lọc | Landing compare mềm | Budget riêng</t>
        </is>
      </c>
      <c r="F19" s="416" t="inlineStr">
        <is>
          <t>CPL competitor</t>
        </is>
      </c>
      <c r="G19" s="422" t="inlineStr">
        <is>
          <t>07/05</t>
        </is>
      </c>
      <c r="H19" s="402" t="inlineStr">
        <is>
          <t>☐</t>
        </is>
      </c>
      <c r="I19" s="403" t="n"/>
    </row>
    <row r="20" ht="27.75" customHeight="1" s="248">
      <c r="B20" s="404" t="n">
        <v>3</v>
      </c>
      <c r="C20" s="413" t="inlineStr">
        <is>
          <t>Marketing</t>
        </is>
      </c>
      <c r="D20" s="269" t="inlineStr">
        <is>
          <t>Webinar #2 (THPT)</t>
        </is>
      </c>
      <c r="E20" s="412" t="inlineStr">
        <is>
          <t>Chủ đề: Tuyển sinh lớp 10, học bổng | 120+ đăng ký</t>
        </is>
      </c>
      <c r="F20" s="413" t="inlineStr">
        <is>
          <t>120 reg</t>
        </is>
      </c>
      <c r="G20" s="421" t="inlineStr">
        <is>
          <t>14/05</t>
        </is>
      </c>
      <c r="H20" s="408" t="inlineStr">
        <is>
          <t>☐</t>
        </is>
      </c>
      <c r="I20" s="276" t="n"/>
    </row>
    <row r="21" ht="27.75" customHeight="1" s="248">
      <c r="B21" s="396" t="n">
        <v>4</v>
      </c>
      <c r="C21" s="416" t="inlineStr">
        <is>
          <t>Marketing</t>
        </is>
      </c>
      <c r="D21" s="398" t="inlineStr">
        <is>
          <t>TikTok scale top videos</t>
        </is>
      </c>
      <c r="E21" s="415" t="inlineStr">
        <is>
          <t>Top 5 video by CPV → Spark Ads | Budget TikTok +30%</t>
        </is>
      </c>
      <c r="F21" s="416" t="inlineStr">
        <is>
          <t>CPV ≤2k</t>
        </is>
      </c>
      <c r="G21" s="422" t="inlineStr">
        <is>
          <t>10/05</t>
        </is>
      </c>
      <c r="H21" s="402" t="inlineStr">
        <is>
          <t>☐</t>
        </is>
      </c>
      <c r="I21" s="403" t="n"/>
    </row>
    <row r="22" ht="27.75" customHeight="1" s="248">
      <c r="B22" s="404" t="n">
        <v>5</v>
      </c>
      <c r="C22" s="413" t="inlineStr">
        <is>
          <t>Tuyển sinh</t>
        </is>
      </c>
      <c r="D22" s="269" t="inlineStr">
        <is>
          <t>Open Day #1</t>
        </is>
      </c>
      <c r="E22" s="412" t="inlineStr">
        <is>
          <t>Tổ chức open campus event | PR + paid + Zalo broadcast</t>
        </is>
      </c>
      <c r="F22" s="413" t="inlineStr">
        <is>
          <t>50+ phụ huynh</t>
        </is>
      </c>
      <c r="G22" s="421" t="inlineStr">
        <is>
          <t>17/05</t>
        </is>
      </c>
      <c r="H22" s="408" t="inlineStr">
        <is>
          <t>☐</t>
        </is>
      </c>
      <c r="I22" s="276" t="n"/>
    </row>
    <row r="23" ht="27.75" customHeight="1" s="248">
      <c r="B23" s="396" t="n">
        <v>6</v>
      </c>
      <c r="C23" s="416" t="inlineStr">
        <is>
          <t>Campus</t>
        </is>
      </c>
      <c r="D23" s="398" t="inlineStr">
        <is>
          <t>Zalo broadcast tỉnh</t>
        </is>
      </c>
      <c r="E23" s="415" t="inlineStr">
        <is>
          <t>Blast toàn bộ Zalo OA subscriber tỉnh | Mời tour tháng 6</t>
        </is>
      </c>
      <c r="F23" s="416" t="inlineStr">
        <is>
          <t>Open ≥40%</t>
        </is>
      </c>
      <c r="G23" s="422" t="inlineStr">
        <is>
          <t>20/05</t>
        </is>
      </c>
      <c r="H23" s="402" t="inlineStr">
        <is>
          <t>☐</t>
        </is>
      </c>
      <c r="I23" s="403" t="n"/>
    </row>
    <row r="24" ht="27.75" customHeight="1" s="248">
      <c r="B24" s="404" t="n">
        <v>7</v>
      </c>
      <c r="C24" s="413" t="inlineStr">
        <is>
          <t>Marketing</t>
        </is>
      </c>
      <c r="D24" s="269" t="inlineStr">
        <is>
          <t>Remarketing ramp-up</t>
        </is>
      </c>
      <c r="E24" s="412" t="inlineStr">
        <is>
          <t>Bật strong retarget: học phí visitors, form-not-submit, video viewers</t>
        </is>
      </c>
      <c r="F24" s="413" t="inlineStr">
        <is>
          <t>ROAS tracking</t>
        </is>
      </c>
      <c r="G24" s="421" t="inlineStr">
        <is>
          <t>15/05</t>
        </is>
      </c>
      <c r="H24" s="408" t="inlineStr">
        <is>
          <t>☐</t>
        </is>
      </c>
      <c r="I24" s="276" t="n"/>
    </row>
    <row r="25" ht="27.75" customHeight="1" s="248">
      <c r="B25" s="396" t="n">
        <v>8</v>
      </c>
      <c r="C25" s="416" t="inlineStr">
        <is>
          <t>Management</t>
        </is>
      </c>
      <c r="D25" s="398" t="inlineStr">
        <is>
          <t>Mid-month review tháng 5</t>
        </is>
      </c>
      <c r="E25" s="415" t="inlineStr">
        <is>
          <t>Check 53% target lead | Lead→Tour rate | School tour quality</t>
        </is>
      </c>
      <c r="F25" s="416" t="inlineStr">
        <is>
          <t>Decision</t>
        </is>
      </c>
      <c r="G25" s="422" t="inlineStr">
        <is>
          <t>15/05</t>
        </is>
      </c>
      <c r="H25" s="402" t="inlineStr">
        <is>
          <t>☐</t>
        </is>
      </c>
      <c r="I25" s="403" t="n"/>
    </row>
    <row r="26" ht="27.75" customHeight="1" s="248">
      <c r="B26" s="404" t="n">
        <v>9</v>
      </c>
      <c r="C26" s="413" t="inlineStr">
        <is>
          <t>Management</t>
        </is>
      </c>
      <c r="D26" s="269" t="inlineStr">
        <is>
          <t>Monthly review tháng 5</t>
        </is>
      </c>
      <c r="E26" s="412" t="inlineStr">
        <is>
          <t>Full KPI review | Budget reallocation tháng 6 | Creative refresh plan</t>
        </is>
      </c>
      <c r="F26" s="413" t="inlineStr">
        <is>
          <t>Report + plan</t>
        </is>
      </c>
      <c r="G26" s="421" t="inlineStr">
        <is>
          <t>31/05</t>
        </is>
      </c>
      <c r="H26" s="408" t="inlineStr">
        <is>
          <t>☐</t>
        </is>
      </c>
      <c r="I26" s="276" t="n"/>
    </row>
    <row r="28" ht="27.75" customHeight="1" s="248">
      <c r="B28" s="425" t="inlineStr">
        <is>
          <t>THÁNG 6/2026 – CAO ĐIỂM TOUR</t>
        </is>
      </c>
    </row>
    <row r="29" ht="19.5" customHeight="1" s="248">
      <c r="B29" s="426" t="inlineStr">
        <is>
          <t>📌 Ngân sách: 3,120,000,000đ | Mục tiêu: 2,800 leads / 840 tours | Check 53% target</t>
        </is>
      </c>
    </row>
    <row r="30" ht="27.75" customHeight="1" s="248">
      <c r="B30" s="404" t="n">
        <v>1</v>
      </c>
      <c r="C30" s="427" t="inlineStr">
        <is>
          <t>Marketing</t>
        </is>
      </c>
      <c r="D30" s="269" t="inlineStr">
        <is>
          <t>Tăng ngân sách THCS/THPT</t>
        </is>
      </c>
      <c r="E30" s="412" t="inlineStr">
        <is>
          <t>THCS PN, THCS GV, THPT GV → +25-30% | Dựa trên booked tour data</t>
        </is>
      </c>
      <c r="F30" s="413" t="inlineStr">
        <is>
          <t>Budget adj</t>
        </is>
      </c>
      <c r="G30" s="421" t="inlineStr">
        <is>
          <t>01/06</t>
        </is>
      </c>
      <c r="H30" s="408" t="inlineStr">
        <is>
          <t>☐</t>
        </is>
      </c>
      <c r="I30" s="276" t="n"/>
    </row>
    <row r="31" ht="27.75" customHeight="1" s="248">
      <c r="B31" s="396" t="n">
        <v>2</v>
      </c>
      <c r="C31" s="428" t="inlineStr">
        <is>
          <t>Marketing</t>
        </is>
      </c>
      <c r="D31" s="398" t="inlineStr">
        <is>
          <t>Test PMax nhỏ</t>
        </is>
      </c>
      <c r="E31" s="415" t="inlineStr">
        <is>
          <t>PMax test 2% Google budget | Chỉ cho THPT | Track riêng quality</t>
        </is>
      </c>
      <c r="F31" s="416" t="inlineStr">
        <is>
          <t>Lead quality</t>
        </is>
      </c>
      <c r="G31" s="422" t="inlineStr">
        <is>
          <t>07/06</t>
        </is>
      </c>
      <c r="H31" s="402" t="inlineStr">
        <is>
          <t>☐</t>
        </is>
      </c>
      <c r="I31" s="403" t="n"/>
    </row>
    <row r="32" ht="27.75" customHeight="1" s="248">
      <c r="B32" s="404" t="n">
        <v>3</v>
      </c>
      <c r="C32" s="427" t="inlineStr">
        <is>
          <t>Marketing</t>
        </is>
      </c>
      <c r="D32" s="269" t="inlineStr">
        <is>
          <t>YouTube/Demand Gen scale</t>
        </is>
      </c>
      <c r="E32" s="412" t="inlineStr">
        <is>
          <t>Testimonial video THCS/THPT → Retarget | Webinar reminder</t>
        </is>
      </c>
      <c r="F32" s="413" t="inlineStr">
        <is>
          <t>View-to-tour</t>
        </is>
      </c>
      <c r="G32" s="421" t="inlineStr">
        <is>
          <t>07/06</t>
        </is>
      </c>
      <c r="H32" s="408" t="inlineStr">
        <is>
          <t>☐</t>
        </is>
      </c>
      <c r="I32" s="276" t="n"/>
    </row>
    <row r="33" ht="27.75" customHeight="1" s="248">
      <c r="B33" s="396" t="n">
        <v>4</v>
      </c>
      <c r="C33" s="428" t="inlineStr">
        <is>
          <t>Marketing</t>
        </is>
      </c>
      <c r="D33" s="398" t="inlineStr">
        <is>
          <t>Webinar #3 (THCS - chuyển cấp)</t>
        </is>
      </c>
      <c r="E33" s="415" t="inlineStr">
        <is>
          <t>Lộ trình con tôi học ở đâu sau lớp 5? | 100+ reg</t>
        </is>
      </c>
      <c r="F33" s="416" t="inlineStr">
        <is>
          <t>100 reg</t>
        </is>
      </c>
      <c r="G33" s="422" t="inlineStr">
        <is>
          <t>11/06</t>
        </is>
      </c>
      <c r="H33" s="402" t="inlineStr">
        <is>
          <t>☐</t>
        </is>
      </c>
      <c r="I33" s="403" t="n"/>
    </row>
    <row r="34" ht="27.75" customHeight="1" s="248">
      <c r="B34" s="404" t="n">
        <v>5</v>
      </c>
      <c r="C34" s="427" t="inlineStr">
        <is>
          <t>Tuyển sinh</t>
        </is>
      </c>
      <c r="D34" s="269" t="inlineStr">
        <is>
          <t>Tăng tour slots + staff</t>
        </is>
      </c>
      <c r="E34" s="412" t="inlineStr">
        <is>
          <t>Mỗi cơ sở có person phụ trách tour đầy đủ | Cuối tuần +1 slot</t>
        </is>
      </c>
      <c r="F34" s="413" t="inlineStr">
        <is>
          <t>Slots full</t>
        </is>
      </c>
      <c r="G34" s="421" t="inlineStr">
        <is>
          <t>05/06</t>
        </is>
      </c>
      <c r="H34" s="408" t="inlineStr">
        <is>
          <t>☐</t>
        </is>
      </c>
      <c r="I34" s="276" t="n"/>
    </row>
    <row r="35" ht="27.75" customHeight="1" s="248">
      <c r="B35" s="396" t="n">
        <v>6</v>
      </c>
      <c r="C35" s="428" t="inlineStr">
        <is>
          <t>Campus</t>
        </is>
      </c>
      <c r="D35" s="398" t="inlineStr">
        <is>
          <t>Open Day #2</t>
        </is>
      </c>
      <c r="E35" s="415" t="inlineStr">
        <is>
          <t>1 event lớn toàn hệ thống hoặc từng campus | PR mạnh</t>
        </is>
      </c>
      <c r="F35" s="416" t="inlineStr">
        <is>
          <t>100+ phụ huynh</t>
        </is>
      </c>
      <c r="G35" s="422" t="inlineStr">
        <is>
          <t>21/06</t>
        </is>
      </c>
      <c r="H35" s="402" t="inlineStr">
        <is>
          <t>☐</t>
        </is>
      </c>
      <c r="I35" s="403" t="n"/>
    </row>
    <row r="36" ht="27.75" customHeight="1" s="248">
      <c r="B36" s="404" t="n">
        <v>7</v>
      </c>
      <c r="C36" s="427" t="inlineStr">
        <is>
          <t>Marketing</t>
        </is>
      </c>
      <c r="D36" s="269" t="inlineStr">
        <is>
          <t>Creative refresh tháng 6</t>
        </is>
      </c>
      <c r="E36" s="412" t="inlineStr">
        <is>
          <t>Làm mới toàn bộ creative Meta + TikTok sau 4 tuần chạy</t>
        </is>
      </c>
      <c r="F36" s="413" t="inlineStr">
        <is>
          <t>New creative</t>
        </is>
      </c>
      <c r="G36" s="421" t="inlineStr">
        <is>
          <t>10/06</t>
        </is>
      </c>
      <c r="H36" s="408" t="inlineStr">
        <is>
          <t>☐</t>
        </is>
      </c>
      <c r="I36" s="276" t="n"/>
    </row>
    <row r="37" ht="27.75" customHeight="1" s="248">
      <c r="B37" s="396" t="n">
        <v>8</v>
      </c>
      <c r="C37" s="428" t="inlineStr">
        <is>
          <t>Management</t>
        </is>
      </c>
      <c r="D37" s="398" t="inlineStr">
        <is>
          <t>Mid-month check 53% target</t>
        </is>
      </c>
      <c r="E37" s="415" t="inlineStr">
        <is>
          <t>Nếu &lt;53% cumulative → trigger dự phòng ngân sách</t>
        </is>
      </c>
      <c r="F37" s="416" t="inlineStr">
        <is>
          <t>Go/escalate</t>
        </is>
      </c>
      <c r="G37" s="422" t="inlineStr">
        <is>
          <t>15/06</t>
        </is>
      </c>
      <c r="H37" s="402" t="inlineStr">
        <is>
          <t>☐</t>
        </is>
      </c>
      <c r="I37" s="403" t="n"/>
    </row>
    <row r="38" ht="27.75" customHeight="1" s="248">
      <c r="B38" s="404" t="n">
        <v>9</v>
      </c>
      <c r="C38" s="427" t="inlineStr">
        <is>
          <t>Management</t>
        </is>
      </c>
      <c r="D38" s="269" t="inlineStr">
        <is>
          <t>Monthly review tháng 6</t>
        </is>
      </c>
      <c r="E38" s="412" t="inlineStr">
        <is>
          <t>Full KPI | Tour quality | Campus gap analysis | Plan tháng 7</t>
        </is>
      </c>
      <c r="F38" s="413" t="inlineStr">
        <is>
          <t>Report + plan</t>
        </is>
      </c>
      <c r="G38" s="421" t="inlineStr">
        <is>
          <t>30/06</t>
        </is>
      </c>
      <c r="H38" s="408" t="inlineStr">
        <is>
          <t>☐</t>
        </is>
      </c>
      <c r="I38" s="276" t="n"/>
    </row>
    <row r="40" ht="27.75" customHeight="1" s="248">
      <c r="B40" s="429" t="inlineStr">
        <is>
          <t>THÁNG 7/2026 – CHỐT SALE</t>
        </is>
      </c>
    </row>
    <row r="41" ht="19.5" customHeight="1" s="248">
      <c r="B41" s="430" t="inlineStr">
        <is>
          <t>📌 Ngân sách: 2,860,000,000đ | Mục tiêu: 2,400 leads / 720 tours | &lt;73% target → dự phòng</t>
        </is>
      </c>
    </row>
    <row r="42" ht="27.75" customHeight="1" s="248">
      <c r="B42" s="404" t="n">
        <v>1</v>
      </c>
      <c r="C42" s="431" t="inlineStr">
        <is>
          <t>Marketing</t>
        </is>
      </c>
      <c r="D42" s="269" t="inlineStr">
        <is>
          <t>Dồn budget vào high-intent</t>
        </is>
      </c>
      <c r="E42" s="412" t="inlineStr">
        <is>
          <t>Học bổng, lớp 6, lớp 10, chốt hồ sơ, deadline | Scale mạnh</t>
        </is>
      </c>
      <c r="F42" s="413" t="inlineStr">
        <is>
          <t>CPL stable</t>
        </is>
      </c>
      <c r="G42" s="421" t="inlineStr">
        <is>
          <t>01/07</t>
        </is>
      </c>
      <c r="H42" s="408" t="inlineStr">
        <is>
          <t>☐</t>
        </is>
      </c>
      <c r="I42" s="276" t="n"/>
    </row>
    <row r="43" ht="27.75" customHeight="1" s="248">
      <c r="B43" s="396" t="n">
        <v>2</v>
      </c>
      <c r="C43" s="432" t="inlineStr">
        <is>
          <t>Marketing</t>
        </is>
      </c>
      <c r="D43" s="398" t="inlineStr">
        <is>
          <t>Học bổng campaign</t>
        </is>
      </c>
      <c r="E43" s="415" t="inlineStr">
        <is>
          <t>Meta + Google "học bổng lớp 10", "ưu đãi tuyển sinh" | Deadline rõ</t>
        </is>
      </c>
      <c r="F43" s="416" t="inlineStr">
        <is>
          <t>Lead quality</t>
        </is>
      </c>
      <c r="G43" s="422" t="inlineStr">
        <is>
          <t>05/07</t>
        </is>
      </c>
      <c r="H43" s="402" t="inlineStr">
        <is>
          <t>☐</t>
        </is>
      </c>
      <c r="I43" s="403" t="n"/>
    </row>
    <row r="44" ht="27.75" customHeight="1" s="248">
      <c r="B44" s="404" t="n">
        <v>3</v>
      </c>
      <c r="C44" s="431" t="inlineStr">
        <is>
          <t>Tuyển sinh</t>
        </is>
      </c>
      <c r="D44" s="269" t="inlineStr">
        <is>
          <t>Retarget pipeline stuck</t>
        </is>
      </c>
      <c r="E44" s="412" t="inlineStr">
        <is>
          <t>GHL → Opportunity "No response 7d" → Personal follow-up call</t>
        </is>
      </c>
      <c r="F44" s="413" t="inlineStr">
        <is>
          <t>Reactivation</t>
        </is>
      </c>
      <c r="G44" s="421" t="inlineStr">
        <is>
          <t>07/07</t>
        </is>
      </c>
      <c r="H44" s="408" t="inlineStr">
        <is>
          <t>☐</t>
        </is>
      </c>
      <c r="I44" s="276" t="n"/>
    </row>
    <row r="45" ht="27.75" customHeight="1" s="248">
      <c r="B45" s="396" t="n">
        <v>4</v>
      </c>
      <c r="C45" s="432" t="inlineStr">
        <is>
          <t>Marketing</t>
        </is>
      </c>
      <c r="D45" s="398" t="inlineStr">
        <is>
          <t>Brand defense mạnh</t>
        </is>
      </c>
      <c r="E45" s="415" t="inlineStr">
        <is>
          <t>Brand search impression share ≥95% | Monitor competitor bids</t>
        </is>
      </c>
      <c r="F45" s="416" t="inlineStr">
        <is>
          <t>IS ≥95%</t>
        </is>
      </c>
      <c r="G45" s="422" t="inlineStr">
        <is>
          <t>01/07</t>
        </is>
      </c>
      <c r="H45" s="402" t="inlineStr">
        <is>
          <t>☐</t>
        </is>
      </c>
      <c r="I45" s="403" t="n"/>
    </row>
    <row r="46" ht="27.75" customHeight="1" s="248">
      <c r="B46" s="404" t="n">
        <v>5</v>
      </c>
      <c r="C46" s="431" t="inlineStr">
        <is>
          <t>Campus</t>
        </is>
      </c>
      <c r="D46" s="269" t="inlineStr">
        <is>
          <t>Webinar #4 (THPT học bổng)</t>
        </is>
      </c>
      <c r="E46" s="412" t="inlineStr">
        <is>
          <t>Chủ đề học bổng, đầu ra, lộ trình | 120+ reg | Chốt ngay sau</t>
        </is>
      </c>
      <c r="F46" s="413" t="inlineStr">
        <is>
          <t>120 reg</t>
        </is>
      </c>
      <c r="G46" s="421" t="inlineStr">
        <is>
          <t>16/07</t>
        </is>
      </c>
      <c r="H46" s="408" t="inlineStr">
        <is>
          <t>☐</t>
        </is>
      </c>
      <c r="I46" s="276" t="n"/>
    </row>
    <row r="47" ht="27.75" customHeight="1" s="248">
      <c r="B47" s="396" t="n">
        <v>6</v>
      </c>
      <c r="C47" s="432" t="inlineStr">
        <is>
          <t>Tuyển sinh</t>
        </is>
      </c>
      <c r="D47" s="398" t="inlineStr">
        <is>
          <t>7-day follow-up sequence</t>
        </is>
      </c>
      <c r="E47" s="415" t="inlineStr">
        <is>
          <t>Phụ huynh đã tour chưa chốt → 5 điểm chạm trong 7 ngày</t>
        </is>
      </c>
      <c r="F47" s="416" t="inlineStr">
        <is>
          <t>Conversion rate</t>
        </is>
      </c>
      <c r="G47" s="422" t="inlineStr">
        <is>
          <t>01/07</t>
        </is>
      </c>
      <c r="H47" s="402" t="inlineStr">
        <is>
          <t>☐</t>
        </is>
      </c>
      <c r="I47" s="403" t="n"/>
    </row>
    <row r="48" ht="27.75" customHeight="1" s="248">
      <c r="B48" s="404" t="n">
        <v>7</v>
      </c>
      <c r="C48" s="431" t="inlineStr">
        <is>
          <t>Management</t>
        </is>
      </c>
      <c r="D48" s="269" t="inlineStr">
        <is>
          <t>Dự phòng ngân sách check</t>
        </is>
      </c>
      <c r="E48" s="412" t="inlineStr">
        <is>
          <t>Nếu &lt;73% target → Giải ngân quỹ dự phòng theo kịch bản</t>
        </is>
      </c>
      <c r="F48" s="413" t="inlineStr">
        <is>
          <t>Decision</t>
        </is>
      </c>
      <c r="G48" s="421" t="inlineStr">
        <is>
          <t>15/07</t>
        </is>
      </c>
      <c r="H48" s="408" t="inlineStr">
        <is>
          <t>☐</t>
        </is>
      </c>
      <c r="I48" s="276" t="n"/>
    </row>
    <row r="49" ht="27.75" customHeight="1" s="248">
      <c r="B49" s="396" t="n">
        <v>8</v>
      </c>
      <c r="C49" s="432" t="inlineStr">
        <is>
          <t>Management</t>
        </is>
      </c>
      <c r="D49" s="398" t="inlineStr">
        <is>
          <t>Monthly review tháng 7</t>
        </is>
      </c>
      <c r="E49" s="415" t="inlineStr">
        <is>
          <t>Full KPI | Lost reason analysis | Plan tháng 8 chốt cuối</t>
        </is>
      </c>
      <c r="F49" s="416" t="inlineStr">
        <is>
          <t>Report + plan</t>
        </is>
      </c>
      <c r="G49" s="422" t="inlineStr">
        <is>
          <t>31/07</t>
        </is>
      </c>
      <c r="H49" s="402" t="inlineStr">
        <is>
          <t>☐</t>
        </is>
      </c>
      <c r="I49" s="403" t="n"/>
    </row>
    <row r="51" ht="27.75" customHeight="1" s="248">
      <c r="B51" s="433" t="inlineStr">
        <is>
          <t>THÁNG 8/2026 – VÉT CHỈ TIÊU</t>
        </is>
      </c>
    </row>
    <row r="52" ht="19.5" customHeight="1" s="248">
      <c r="B52" s="434" t="inlineStr">
        <is>
          <t>📌 Ngân sách: 1,300,000,000đ | Mục tiêu: 1,200 leads / 360 tours | Gần đạt target</t>
        </is>
      </c>
    </row>
    <row r="53" ht="27.75" customHeight="1" s="248">
      <c r="B53" s="404" t="n">
        <v>1</v>
      </c>
      <c r="C53" s="435" t="inlineStr">
        <is>
          <t>Marketing</t>
        </is>
      </c>
      <c r="D53" s="269" t="inlineStr">
        <is>
          <t>Retarget mạnh database cũ</t>
        </is>
      </c>
      <c r="E53" s="412" t="inlineStr">
        <is>
          <t>Toàn bộ leads chưa enroll → Remarketing 7d + email + Zalo</t>
        </is>
      </c>
      <c r="F53" s="413" t="inlineStr">
        <is>
          <t>Reactivation</t>
        </is>
      </c>
      <c r="G53" s="421" t="inlineStr">
        <is>
          <t>01/08</t>
        </is>
      </c>
      <c r="H53" s="408" t="inlineStr">
        <is>
          <t>☐</t>
        </is>
      </c>
      <c r="I53" s="276" t="n"/>
    </row>
    <row r="54" ht="27.75" customHeight="1" s="248">
      <c r="B54" s="396" t="n">
        <v>2</v>
      </c>
      <c r="C54" s="436" t="inlineStr">
        <is>
          <t>Marketing</t>
        </is>
      </c>
      <c r="D54" s="398" t="inlineStr">
        <is>
          <t>Landing "số chỗ có hạn"</t>
        </is>
      </c>
      <c r="E54" s="415" t="inlineStr">
        <is>
          <t>Urgency landing page | CTA "Chốt chỗ ngay" | Countdown timer</t>
        </is>
      </c>
      <c r="F54" s="416" t="inlineStr">
        <is>
          <t>CVR boost</t>
        </is>
      </c>
      <c r="G54" s="422" t="inlineStr">
        <is>
          <t>05/08</t>
        </is>
      </c>
      <c r="H54" s="402" t="inlineStr">
        <is>
          <t>☐</t>
        </is>
      </c>
      <c r="I54" s="403" t="n"/>
    </row>
    <row r="55" ht="27.75" customHeight="1" s="248">
      <c r="B55" s="404" t="n">
        <v>3</v>
      </c>
      <c r="C55" s="435" t="inlineStr">
        <is>
          <t>Marketing</t>
        </is>
      </c>
      <c r="D55" s="269" t="inlineStr">
        <is>
          <t>Giảm broad awareness</t>
        </is>
      </c>
      <c r="E55" s="412" t="inlineStr">
        <is>
          <t>Tắt cold audience broad | Giữ brand + high-intent + retarget</t>
        </is>
      </c>
      <c r="F55" s="413" t="inlineStr">
        <is>
          <t>Budget efficient</t>
        </is>
      </c>
      <c r="G55" s="421" t="inlineStr">
        <is>
          <t>01/08</t>
        </is>
      </c>
      <c r="H55" s="408" t="inlineStr">
        <is>
          <t>☐</t>
        </is>
      </c>
      <c r="I55" s="276" t="n"/>
    </row>
    <row r="56" ht="27.75" customHeight="1" s="248">
      <c r="B56" s="396" t="n">
        <v>4</v>
      </c>
      <c r="C56" s="436" t="inlineStr">
        <is>
          <t>Tuyển sinh</t>
        </is>
      </c>
      <c r="D56" s="398" t="inlineStr">
        <is>
          <t>Gọi lại toàn bộ pending</t>
        </is>
      </c>
      <c r="E56" s="415" t="inlineStr">
        <is>
          <t>GHL filter: tour attended nhưng chưa deposit → Personal call</t>
        </is>
      </c>
      <c r="F56" s="416" t="inlineStr">
        <is>
          <t>Conversion</t>
        </is>
      </c>
      <c r="G56" s="422" t="inlineStr">
        <is>
          <t>03/08</t>
        </is>
      </c>
      <c r="H56" s="402" t="inlineStr">
        <is>
          <t>☐</t>
        </is>
      </c>
      <c r="I56" s="403" t="n"/>
    </row>
    <row r="57" ht="27.75" customHeight="1" s="248">
      <c r="B57" s="404" t="n">
        <v>5</v>
      </c>
      <c r="C57" s="435" t="inlineStr">
        <is>
          <t>Campus</t>
        </is>
      </c>
      <c r="D57" s="269" t="inlineStr">
        <is>
          <t>Cập nhật số chỗ real-time</t>
        </is>
      </c>
      <c r="E57" s="412" t="inlineStr">
        <is>
          <t>Marketing cần biết campus nào còn chỗ → Daily update</t>
        </is>
      </c>
      <c r="F57" s="413" t="inlineStr">
        <is>
          <t>Transparency</t>
        </is>
      </c>
      <c r="G57" s="421" t="inlineStr">
        <is>
          <t>01/08</t>
        </is>
      </c>
      <c r="H57" s="408" t="inlineStr">
        <is>
          <t>☐</t>
        </is>
      </c>
      <c r="I57" s="276" t="n"/>
    </row>
    <row r="58" ht="27.75" customHeight="1" s="248">
      <c r="B58" s="396" t="n">
        <v>6</v>
      </c>
      <c r="C58" s="436" t="inlineStr">
        <is>
          <t>Management</t>
        </is>
      </c>
      <c r="D58" s="398" t="inlineStr">
        <is>
          <t>CAC final review từng campus</t>
        </is>
      </c>
      <c r="E58" s="415" t="inlineStr">
        <is>
          <t>Tính CAC thực từ spend + tour + enroll | So với target</t>
        </is>
      </c>
      <c r="F58" s="416" t="inlineStr">
        <is>
          <t>CAC report</t>
        </is>
      </c>
      <c r="G58" s="422" t="inlineStr">
        <is>
          <t>15/08</t>
        </is>
      </c>
      <c r="H58" s="402" t="inlineStr">
        <is>
          <t>☐</t>
        </is>
      </c>
      <c r="I58" s="403" t="n"/>
    </row>
    <row r="59" ht="27.75" customHeight="1" s="248">
      <c r="B59" s="404" t="n">
        <v>7</v>
      </c>
      <c r="C59" s="435" t="inlineStr">
        <is>
          <t>Management</t>
        </is>
      </c>
      <c r="D59" s="269" t="inlineStr">
        <is>
          <t>Monthly review tháng 8</t>
        </is>
      </c>
      <c r="E59" s="412" t="inlineStr">
        <is>
          <t>Full KPI | Forecast tháng 9 | Late intake plan | Post-mortem prep</t>
        </is>
      </c>
      <c r="F59" s="413" t="inlineStr">
        <is>
          <t>Report + plan</t>
        </is>
      </c>
      <c r="G59" s="421" t="inlineStr">
        <is>
          <t>31/08</t>
        </is>
      </c>
      <c r="H59" s="408" t="inlineStr">
        <is>
          <t>☐</t>
        </is>
      </c>
      <c r="I59" s="276" t="n"/>
    </row>
    <row r="61" ht="27.75" customHeight="1" s="248">
      <c r="B61" s="437" t="inlineStr">
        <is>
          <t>THÁNG 9/2026 – LATE INTAKE + KẾT MÙA</t>
        </is>
      </c>
    </row>
    <row r="62" ht="19.5" customHeight="1" s="248">
      <c r="B62" s="438" t="inlineStr">
        <is>
          <t>📌 Ngân sách: 520,000,000đ | Mục tiêu: 400 leads / 120 tours | Late intake + chuyển trường</t>
        </is>
      </c>
    </row>
    <row r="63" ht="27.75" customHeight="1" s="248">
      <c r="B63" s="404" t="n">
        <v>1</v>
      </c>
      <c r="C63" s="439" t="inlineStr">
        <is>
          <t>Marketing</t>
        </is>
      </c>
      <c r="D63" s="269" t="inlineStr">
        <is>
          <t>Chuyển trường campaign</t>
        </is>
      </c>
      <c r="E63" s="412" t="inlineStr">
        <is>
          <t>"Chuyển trường THPT", "còn nhận hồ sơ", "nhập học muộn"</t>
        </is>
      </c>
      <c r="F63" s="413" t="inlineStr">
        <is>
          <t>Late leads</t>
        </is>
      </c>
      <c r="G63" s="421" t="inlineStr">
        <is>
          <t>01/09</t>
        </is>
      </c>
      <c r="H63" s="408" t="inlineStr">
        <is>
          <t>☐</t>
        </is>
      </c>
      <c r="I63" s="276" t="n"/>
    </row>
    <row r="64" ht="27.75" customHeight="1" s="248">
      <c r="B64" s="396" t="n">
        <v>2</v>
      </c>
      <c r="C64" s="440" t="inlineStr">
        <is>
          <t>Marketing</t>
        </is>
      </c>
      <c r="D64" s="398" t="inlineStr">
        <is>
          <t>Brand search only Google</t>
        </is>
      </c>
      <c r="E64" s="415" t="inlineStr">
        <is>
          <t>Chỉ giữ brand + late-intent | Cắt generic broad</t>
        </is>
      </c>
      <c r="F64" s="416" t="inlineStr">
        <is>
          <t>CPL efficient</t>
        </is>
      </c>
      <c r="G64" s="422" t="inlineStr">
        <is>
          <t>01/09</t>
        </is>
      </c>
      <c r="H64" s="402" t="inlineStr">
        <is>
          <t>☐</t>
        </is>
      </c>
      <c r="I64" s="403" t="n"/>
    </row>
    <row r="65" ht="27.75" customHeight="1" s="248">
      <c r="B65" s="404" t="n">
        <v>3</v>
      </c>
      <c r="C65" s="439" t="inlineStr">
        <is>
          <t>Tuyển sinh</t>
        </is>
      </c>
      <c r="D65" s="269" t="inlineStr">
        <is>
          <t>Reactivation database</t>
        </is>
      </c>
      <c r="E65" s="412" t="inlineStr">
        <is>
          <t>Gọi lại ALL leads từ tháng 4-8 chưa enroll | Personal touch</t>
        </is>
      </c>
      <c r="F65" s="413" t="inlineStr">
        <is>
          <t>Reactivation</t>
        </is>
      </c>
      <c r="G65" s="421" t="inlineStr">
        <is>
          <t>05/09</t>
        </is>
      </c>
      <c r="H65" s="408" t="inlineStr">
        <is>
          <t>☐</t>
        </is>
      </c>
      <c r="I65" s="276" t="n"/>
    </row>
    <row r="66" ht="27.75" customHeight="1" s="248">
      <c r="B66" s="396" t="n">
        <v>4</v>
      </c>
      <c r="C66" s="440" t="inlineStr">
        <is>
          <t>Campus</t>
        </is>
      </c>
      <c r="D66" s="398" t="inlineStr">
        <is>
          <t>Late enrollment process</t>
        </is>
      </c>
      <c r="E66" s="415" t="inlineStr">
        <is>
          <t>Quy trình hồ sơ nhanh 48h | Brief staff xử lý gấp</t>
        </is>
      </c>
      <c r="F66" s="416" t="inlineStr">
        <is>
          <t>Process ready</t>
        </is>
      </c>
      <c r="G66" s="422" t="inlineStr">
        <is>
          <t>01/09</t>
        </is>
      </c>
      <c r="H66" s="402" t="inlineStr">
        <is>
          <t>☐</t>
        </is>
      </c>
      <c r="I66" s="403" t="n"/>
    </row>
    <row r="67" ht="27.75" customHeight="1" s="248">
      <c r="B67" s="404" t="n">
        <v>5</v>
      </c>
      <c r="C67" s="439" t="inlineStr">
        <is>
          <t>Management</t>
        </is>
      </c>
      <c r="D67" s="269" t="inlineStr">
        <is>
          <t>Post-mortem session</t>
        </is>
      </c>
      <c r="E67" s="412" t="inlineStr">
        <is>
          <t>Full mùa review: Kênh nào thắng? Kênh nào waste? Học gì?</t>
        </is>
      </c>
      <c r="F67" s="413" t="inlineStr">
        <is>
          <t>Learnings doc</t>
        </is>
      </c>
      <c r="G67" s="421" t="inlineStr">
        <is>
          <t>25/09</t>
        </is>
      </c>
      <c r="H67" s="408" t="inlineStr">
        <is>
          <t>☐</t>
        </is>
      </c>
      <c r="I67" s="276" t="n"/>
    </row>
    <row r="68" ht="27.75" customHeight="1" s="248">
      <c r="B68" s="396" t="n">
        <v>6</v>
      </c>
      <c r="C68" s="440" t="inlineStr">
        <is>
          <t>Management</t>
        </is>
      </c>
      <c r="D68" s="398" t="inlineStr">
        <is>
          <t>Kế hoạch 2027 đề xuất</t>
        </is>
      </c>
      <c r="E68" s="415" t="inlineStr">
        <is>
          <t>Dựa trên data thực → Đề xuất ngân sách, kênh, campus, KPI 2027</t>
        </is>
      </c>
      <c r="F68" s="416" t="inlineStr">
        <is>
          <t>Draft plan</t>
        </is>
      </c>
      <c r="G68" s="422" t="inlineStr">
        <is>
          <t>30/09</t>
        </is>
      </c>
      <c r="H68" s="402" t="inlineStr">
        <is>
          <t>☐</t>
        </is>
      </c>
      <c r="I68" s="403" t="n"/>
    </row>
    <row r="71">
      <c r="A71" s="492" t="inlineStr">
        <is>
          <t>═══ KẾ HOẠCH CHI TIẾT TỪNG THÁNG 04-09/2026 — TẤT CẢ KÊNH ═══</t>
        </is>
      </c>
    </row>
    <row r="73">
      <c r="A73" s="494" t="inlineStr">
        <is>
          <t>THÁNG 4/2026 — SETUP &amp; SOFT LAUNCH</t>
        </is>
      </c>
    </row>
    <row r="74">
      <c r="A74" s="495" t="inlineStr">
        <is>
          <t>Thời gian</t>
        </is>
      </c>
      <c r="B74" s="495" t="inlineStr">
        <is>
          <t>Nhóm công việc</t>
        </is>
      </c>
      <c r="C74" s="495" t="inlineStr">
        <is>
          <t>Chi tiết hoạt động</t>
        </is>
      </c>
      <c r="D74" s="495" t="inlineStr">
        <is>
          <t>Người thực hiện</t>
        </is>
      </c>
      <c r="E74" s="495" t="inlineStr">
        <is>
          <t>Output/Milestone</t>
        </is>
      </c>
      <c r="F74" s="495" t="inlineStr">
        <is>
          <t>Ưu tiên</t>
        </is>
      </c>
    </row>
    <row r="75">
      <c r="A75" s="499" t="inlineStr">
        <is>
          <t>Tuần 1 (01-06/04)</t>
        </is>
      </c>
      <c r="B75" s="499" t="inlineStr">
        <is>
          <t>Setup hệ thống</t>
        </is>
      </c>
      <c r="C75" s="499" t="inlineStr">
        <is>
          <t>Setup GHL (bước 1-18), Pancake (bước 1-10), Make.com (bước 1-6), Birch (bước 1-5)</t>
        </is>
      </c>
      <c r="D75" s="499" t="inlineStr">
        <is>
          <t>Cả team IT + Marketing</t>
        </is>
      </c>
      <c r="E75" s="499" t="inlineStr">
        <is>
          <t>Hệ thống cơ bản sẵn sàng</t>
        </is>
      </c>
      <c r="F75" s="499" t="inlineStr">
        <is>
          <t>CAO</t>
        </is>
      </c>
    </row>
    <row r="76">
      <c r="A76" s="500" t="inlineStr">
        <is>
          <t>Tuần 1</t>
        </is>
      </c>
      <c r="B76" s="500" t="inlineStr">
        <is>
          <t>Chuẩn bị content</t>
        </is>
      </c>
      <c r="C76" s="500" t="inlineStr">
        <is>
          <t>Chụp hình tất cả 6 cơ sở (500+ hình). Quay 20 video clips. Viết 30 bài FB, 30 Zalo articles</t>
        </is>
      </c>
      <c r="D76" s="500" t="inlineStr">
        <is>
          <t>Content Team</t>
        </is>
      </c>
      <c r="E76" s="500" t="inlineStr">
        <is>
          <t>Content bank ready</t>
        </is>
      </c>
      <c r="F76" s="500" t="inlineStr">
        <is>
          <t>CAO</t>
        </is>
      </c>
    </row>
    <row r="77">
      <c r="A77" s="499" t="inlineStr">
        <is>
          <t>Tuần 2 (07-13/04)</t>
        </is>
      </c>
      <c r="B77" s="499" t="inlineStr">
        <is>
          <t>Hoàn thiện automation</t>
        </is>
      </c>
      <c r="C77" s="499" t="inlineStr">
        <is>
          <t>GHL workflows (bước 19-28), Pancake chatbot (bước 11-12), Make.com scenarios (bước 7-12)</t>
        </is>
      </c>
      <c r="D77" s="499" t="inlineStr">
        <is>
          <t>Marketing Lead + IT</t>
        </is>
      </c>
      <c r="E77" s="499" t="inlineStr">
        <is>
          <t>Automation hoàn chỉnh</t>
        </is>
      </c>
      <c r="F77" s="499" t="inlineStr">
        <is>
          <t>CAO</t>
        </is>
      </c>
    </row>
    <row r="78">
      <c r="A78" s="500" t="inlineStr">
        <is>
          <t>Tuần 2</t>
        </is>
      </c>
      <c r="B78" s="500" t="inlineStr">
        <is>
          <t>Launch ads soft</t>
        </is>
      </c>
      <c r="C78" s="500" t="inlineStr">
        <is>
          <t>Meta Ads: 3 campaigns (Awareness, Lead Gen, Retargeting). Google Ads: Search brand + generic. Budget: 30% tháng</t>
        </is>
      </c>
      <c r="D78" s="500" t="inlineStr">
        <is>
          <t>Ads Specialist</t>
        </is>
      </c>
      <c r="E78" s="500" t="inlineStr">
        <is>
          <t>Ads live, data collecting</t>
        </is>
      </c>
      <c r="F78" s="500" t="inlineStr">
        <is>
          <t>CAO</t>
        </is>
      </c>
    </row>
    <row r="79">
      <c r="A79" s="499" t="inlineStr">
        <is>
          <t>Tuần 2</t>
        </is>
      </c>
      <c r="B79" s="499" t="inlineStr">
        <is>
          <t>Social Media kick-off</t>
        </is>
      </c>
      <c r="C79" s="499" t="inlineStr">
        <is>
          <t>Đăng daily trên FB, Zalo, IG, TikTok. Grow FB Groups. First YouTube videos</t>
        </is>
      </c>
      <c r="D79" s="499" t="inlineStr">
        <is>
          <t>Content Team</t>
        </is>
      </c>
      <c r="E79" s="499" t="inlineStr">
        <is>
          <t>All channels active</t>
        </is>
      </c>
      <c r="F79" s="499" t="inlineStr">
        <is>
          <t>CAO</t>
        </is>
      </c>
    </row>
    <row r="80">
      <c r="A80" s="500" t="inlineStr">
        <is>
          <t>Tuần 3 (14-20/04)</t>
        </is>
      </c>
      <c r="B80" s="500" t="inlineStr">
        <is>
          <t>Testing &amp; Training</t>
        </is>
      </c>
      <c r="C80" s="500" t="inlineStr">
        <is>
          <t>UAT toàn bộ hệ thống. Training 3 sessions cho team. Fix bugs</t>
        </is>
      </c>
      <c r="D80" s="500" t="inlineStr">
        <is>
          <t>Cả team</t>
        </is>
      </c>
      <c r="E80" s="500" t="inlineStr">
        <is>
          <t>UAT passed, team trained</t>
        </is>
      </c>
      <c r="F80" s="500" t="inlineStr">
        <is>
          <t>CAO</t>
        </is>
      </c>
    </row>
    <row r="81">
      <c r="A81" s="499" t="inlineStr">
        <is>
          <t>Tuần 3</t>
        </is>
      </c>
      <c r="B81" s="499" t="inlineStr">
        <is>
          <t>First Webinar</t>
        </is>
      </c>
      <c r="C81" s="499" t="inlineStr">
        <is>
          <t>Webinar tư vấn tuyển sinh MN + TH. Promote 1 tuần trước. Target: 100 đăng ký</t>
        </is>
      </c>
      <c r="D81" s="499" t="inlineStr">
        <is>
          <t>Event + Marketing</t>
        </is>
      </c>
      <c r="E81" s="499" t="inlineStr">
        <is>
          <t>100 registrations</t>
        </is>
      </c>
      <c r="F81" s="499" t="inlineStr">
        <is>
          <t>TRUNG BÌNH</t>
        </is>
      </c>
    </row>
    <row r="82">
      <c r="A82" s="500" t="inlineStr">
        <is>
          <t>Tuần 4 (21-30/04)</t>
        </is>
      </c>
      <c r="B82" s="500" t="inlineStr">
        <is>
          <t>GO-LIVE</t>
        </is>
      </c>
      <c r="C82" s="500" t="inlineStr">
        <is>
          <t>Full launch GHL + Pancake + Make.com + Birch. Tăng ads budget 50%. Daily monitoring</t>
        </is>
      </c>
      <c r="D82" s="500" t="inlineStr">
        <is>
          <t>Cả team</t>
        </is>
      </c>
      <c r="E82" s="500" t="inlineStr">
        <is>
          <t>🚀 System live</t>
        </is>
      </c>
      <c r="F82" s="500" t="inlineStr">
        <is>
          <t>CAO</t>
        </is>
      </c>
    </row>
    <row r="83">
      <c r="A83" s="499" t="inlineStr">
        <is>
          <t>Tuần 4</t>
        </is>
      </c>
      <c r="B83" s="499" t="inlineStr">
        <is>
          <t>First Open Day</t>
        </is>
      </c>
      <c r="C83" s="499" t="inlineStr">
        <is>
          <t>Open Day tại MN VA Gò Vấp + TH VA Gò Vấp. Target: 50 PH/cơ sở. Photo/Video coverage</t>
        </is>
      </c>
      <c r="D83" s="499" t="inlineStr">
        <is>
          <t>Event Team</t>
        </is>
      </c>
      <c r="E83" s="499" t="inlineStr">
        <is>
          <t>100 PH tham dự</t>
        </is>
      </c>
      <c r="F83" s="499" t="inlineStr">
        <is>
          <t>CAO</t>
        </is>
      </c>
    </row>
    <row r="84">
      <c r="A84" s="500" t="inlineStr">
        <is>
          <t>Cả tháng</t>
        </is>
      </c>
      <c r="B84" s="500" t="inlineStr">
        <is>
          <t>KPI mục tiêu T4</t>
        </is>
      </c>
      <c r="C84" s="500" t="inlineStr">
        <is>
          <t>Leads: 100 | Tours: 30 | Enrollments: 15 | Ad spend: 1.5 tỷ | Social followers: +5,000</t>
        </is>
      </c>
      <c r="D84" s="500" t="inlineStr">
        <is>
          <t>Marketing Lead</t>
        </is>
      </c>
      <c r="E84" s="500" t="inlineStr">
        <is>
          <t>KPI dashboard updated</t>
        </is>
      </c>
      <c r="F84" s="500" t="inlineStr">
        <is>
          <t>CAO</t>
        </is>
      </c>
    </row>
    <row r="86">
      <c r="A86" s="494" t="inlineStr">
        <is>
          <t>THÁNG 5/2026 — SCALE UP &amp; OPTIMIZE</t>
        </is>
      </c>
    </row>
    <row r="87">
      <c r="A87" s="495" t="inlineStr">
        <is>
          <t>Thời gian</t>
        </is>
      </c>
      <c r="B87" s="495" t="inlineStr">
        <is>
          <t>Nhóm công việc</t>
        </is>
      </c>
      <c r="C87" s="495" t="inlineStr">
        <is>
          <t>Chi tiết hoạt động</t>
        </is>
      </c>
      <c r="D87" s="495" t="inlineStr">
        <is>
          <t>Người thực hiện</t>
        </is>
      </c>
      <c r="E87" s="495" t="inlineStr">
        <is>
          <t>Output/Milestone</t>
        </is>
      </c>
      <c r="F87" s="495" t="inlineStr">
        <is>
          <t>Ưu tiên</t>
        </is>
      </c>
    </row>
    <row r="88">
      <c r="A88" s="499" t="inlineStr">
        <is>
          <t>Tuần 1 (01-04/05)</t>
        </is>
      </c>
      <c r="B88" s="499" t="inlineStr">
        <is>
          <t>Tối ưu từ data T4</t>
        </is>
      </c>
      <c r="C88" s="499" t="inlineStr">
        <is>
          <t>Phân tích data T4: best performing ads, content, channels. Reallocate budget. Kill losers, scale winners</t>
        </is>
      </c>
      <c r="D88" s="499" t="inlineStr">
        <is>
          <t>Ads + Marketing Lead</t>
        </is>
      </c>
      <c r="E88" s="499" t="inlineStr">
        <is>
          <t>Optimization report</t>
        </is>
      </c>
      <c r="F88" s="499" t="inlineStr">
        <is>
          <t>CAO</t>
        </is>
      </c>
    </row>
    <row r="89">
      <c r="A89" s="500" t="inlineStr">
        <is>
          <t>Tuần 1</t>
        </is>
      </c>
      <c r="B89" s="500" t="inlineStr">
        <is>
          <t>Video production T5</t>
        </is>
      </c>
      <c r="C89" s="500" t="inlineStr">
        <is>
          <t>Quay 15 video mới: testimonials (5), tour (3), tips (4), behind scenes (3). Edit batch</t>
        </is>
      </c>
      <c r="D89" s="500" t="inlineStr">
        <is>
          <t>Video Team</t>
        </is>
      </c>
      <c r="E89" s="500" t="inlineStr">
        <is>
          <t>15 videos ready</t>
        </is>
      </c>
      <c r="F89" s="500" t="inlineStr">
        <is>
          <t>CAO</t>
        </is>
      </c>
    </row>
    <row r="90">
      <c r="A90" s="499" t="inlineStr">
        <is>
          <t>Tuần 2 (05-11/05)</t>
        </is>
      </c>
      <c r="B90" s="499" t="inlineStr">
        <is>
          <t>Scale ads 50%</t>
        </is>
      </c>
      <c r="C90" s="499" t="inlineStr">
        <is>
          <t>Tăng budget ads tổng. Expand audience: Lookalike 1-3%, new interests. TikTok Ads bắt đầu</t>
        </is>
      </c>
      <c r="D90" s="499" t="inlineStr">
        <is>
          <t>Ads Specialist</t>
        </is>
      </c>
      <c r="E90" s="499" t="inlineStr">
        <is>
          <t>Ads scaled</t>
        </is>
      </c>
      <c r="F90" s="499" t="inlineStr">
        <is>
          <t>CAO</t>
        </is>
      </c>
    </row>
    <row r="91">
      <c r="A91" s="500" t="inlineStr">
        <is>
          <t>Tuần 2</t>
        </is>
      </c>
      <c r="B91" s="500" t="inlineStr">
        <is>
          <t>Webinar T5</t>
        </is>
      </c>
      <c r="C91" s="500" t="inlineStr">
        <is>
          <t>Webinar THCS + THPT. Promote FB + Zalo + Email. Target: 150 registrations</t>
        </is>
      </c>
      <c r="D91" s="500" t="inlineStr">
        <is>
          <t>Event + Marketing</t>
        </is>
      </c>
      <c r="E91" s="500" t="inlineStr">
        <is>
          <t>150 registrations</t>
        </is>
      </c>
      <c r="F91" s="500" t="inlineStr">
        <is>
          <t>TRUNG BÌNH</t>
        </is>
      </c>
    </row>
    <row r="92">
      <c r="A92" s="499" t="inlineStr">
        <is>
          <t>Tuần 3 (12-18/05)</t>
        </is>
      </c>
      <c r="B92" s="499" t="inlineStr">
        <is>
          <t>Open Day T5</t>
        </is>
      </c>
      <c r="C92" s="499" t="inlineStr">
        <is>
          <t>Open Day tại 4 cơ sở (MN Nhân Lễ, MN+TH Thái Sơn, MN+TH Mekong Xanh, TH VA Bình Tân)</t>
        </is>
      </c>
      <c r="D92" s="499" t="inlineStr">
        <is>
          <t>Event Team</t>
        </is>
      </c>
      <c r="E92" s="499" t="inlineStr">
        <is>
          <t>200 PH tổng</t>
        </is>
      </c>
      <c r="F92" s="499" t="inlineStr">
        <is>
          <t>CAO</t>
        </is>
      </c>
    </row>
    <row r="93">
      <c r="A93" s="500" t="inlineStr">
        <is>
          <t>Tuần 3</t>
        </is>
      </c>
      <c r="B93" s="500" t="inlineStr">
        <is>
          <t>Influencer campaign</t>
        </is>
      </c>
      <c r="C93" s="500" t="inlineStr">
        <is>
          <t>Mời 2 mommy bloggers đến trường. Collab content. Budget: 20M/blogger</t>
        </is>
      </c>
      <c r="D93" s="500" t="inlineStr">
        <is>
          <t>Marketing Lead</t>
        </is>
      </c>
      <c r="E93" s="500" t="inlineStr">
        <is>
          <t>2 collab posts</t>
        </is>
      </c>
      <c r="F93" s="500" t="inlineStr">
        <is>
          <t>TRUNG BÌNH</t>
        </is>
      </c>
    </row>
    <row r="94">
      <c r="A94" s="499" t="inlineStr">
        <is>
          <t>Tuần 4 (19-31/05)</t>
        </is>
      </c>
      <c r="B94" s="499" t="inlineStr">
        <is>
          <t>Email nurture push</t>
        </is>
      </c>
      <c r="C94" s="499" t="inlineStr">
        <is>
          <t>Activate email sequences cho all leads chưa convert. Scholarship campaign email</t>
        </is>
      </c>
      <c r="D94" s="499" t="inlineStr">
        <is>
          <t>Marketing Lead</t>
        </is>
      </c>
      <c r="E94" s="499" t="inlineStr">
        <is>
          <t>Emails sent, leads nurtured</t>
        </is>
      </c>
      <c r="F94" s="499" t="inlineStr">
        <is>
          <t>TRUNG BÌNH</t>
        </is>
      </c>
    </row>
    <row r="95">
      <c r="A95" s="500" t="inlineStr">
        <is>
          <t>Tuần 4</t>
        </is>
      </c>
      <c r="B95" s="500" t="inlineStr">
        <is>
          <t>Community building</t>
        </is>
      </c>
      <c r="C95" s="500" t="inlineStr">
        <is>
          <t>FB Group members target: 13,000. Organize 2 online events/contests trong group</t>
        </is>
      </c>
      <c r="D95" s="500" t="inlineStr">
        <is>
          <t>Community Mgr</t>
        </is>
      </c>
      <c r="E95" s="500" t="inlineStr">
        <is>
          <t>Groups growing</t>
        </is>
      </c>
      <c r="F95" s="500" t="inlineStr">
        <is>
          <t>TRUNG BÌNH</t>
        </is>
      </c>
    </row>
    <row r="96">
      <c r="A96" s="499" t="inlineStr">
        <is>
          <t>Cả tháng</t>
        </is>
      </c>
      <c r="B96" s="499" t="inlineStr">
        <is>
          <t>KPI mục tiêu T5</t>
        </is>
      </c>
      <c r="C96" s="499" t="inlineStr">
        <is>
          <t>Leads: 180 | Tours: 60 | Enrollments: 40 | Ad spend: 2 tỷ | Social followers: +10,000</t>
        </is>
      </c>
      <c r="D96" s="499" t="inlineStr">
        <is>
          <t>Marketing Lead</t>
        </is>
      </c>
      <c r="E96" s="499" t="inlineStr">
        <is>
          <t>KPI tracked</t>
        </is>
      </c>
      <c r="F96" s="499" t="inlineStr">
        <is>
          <t>CAO</t>
        </is>
      </c>
    </row>
    <row r="98">
      <c r="A98" s="494" t="inlineStr">
        <is>
          <t>THÁNG 6/2026 — PEAK SEASON PUSH</t>
        </is>
      </c>
    </row>
    <row r="99">
      <c r="A99" s="495" t="inlineStr">
        <is>
          <t>Thời gian</t>
        </is>
      </c>
      <c r="B99" s="495" t="inlineStr">
        <is>
          <t>Nhóm công việc</t>
        </is>
      </c>
      <c r="C99" s="495" t="inlineStr">
        <is>
          <t>Chi tiết hoạt động</t>
        </is>
      </c>
      <c r="D99" s="495" t="inlineStr">
        <is>
          <t>Người thực hiện</t>
        </is>
      </c>
      <c r="E99" s="495" t="inlineStr">
        <is>
          <t>Output/Milestone</t>
        </is>
      </c>
      <c r="F99" s="495" t="inlineStr">
        <is>
          <t>Ưu tiên</t>
        </is>
      </c>
    </row>
    <row r="100">
      <c r="A100" s="499" t="inlineStr">
        <is>
          <t>Tuần 1 (01-07/06)</t>
        </is>
      </c>
      <c r="B100" s="499" t="inlineStr">
        <is>
          <t>Chiến dịch hè sôi động</t>
        </is>
      </c>
      <c r="C100" s="499" t="inlineStr">
        <is>
          <t>Launch campaign "Hè Sôi Động Cùng Việt Anh". Mega ads push: tăng budget 100%. Content blitz</t>
        </is>
      </c>
      <c r="D100" s="499" t="inlineStr">
        <is>
          <t>Cả team</t>
        </is>
      </c>
      <c r="E100" s="499" t="inlineStr">
        <is>
          <t>Campaign launched</t>
        </is>
      </c>
      <c r="F100" s="499" t="inlineStr">
        <is>
          <t>CAO</t>
        </is>
      </c>
    </row>
    <row r="101">
      <c r="A101" s="500" t="inlineStr">
        <is>
          <t>Tuần 1</t>
        </is>
      </c>
      <c r="B101" s="500" t="inlineStr">
        <is>
          <t>TikTok viral push</t>
        </is>
      </c>
      <c r="C101" s="500" t="inlineStr">
        <is>
          <t>Chạy TikTok challenge: #HeSoiDongVietAnh. Invite HS tham gia. Giải thưởng hấp dẫn</t>
        </is>
      </c>
      <c r="D101" s="500" t="inlineStr">
        <is>
          <t>TikTok Creator</t>
        </is>
      </c>
      <c r="E101" s="500" t="inlineStr">
        <is>
          <t>Challenge live</t>
        </is>
      </c>
      <c r="F101" s="500" t="inlineStr">
        <is>
          <t>CAO</t>
        </is>
      </c>
    </row>
    <row r="102">
      <c r="A102" s="499" t="inlineStr">
        <is>
          <t>Tuần 2 (08-14/06)</t>
        </is>
      </c>
      <c r="B102" s="499" t="inlineStr">
        <is>
          <t>Open Day lớn nhất</t>
        </is>
      </c>
      <c r="C102" s="499" t="inlineStr">
        <is>
          <t>Mega Open Day tại TẤT CẢ 6 cơ sở cùng ngày. Target: 500 PH tổng. Full coverage</t>
        </is>
      </c>
      <c r="D102" s="499" t="inlineStr">
        <is>
          <t>Event Team + All</t>
        </is>
      </c>
      <c r="E102" s="499" t="inlineStr">
        <is>
          <t>500 PH tham dự</t>
        </is>
      </c>
      <c r="F102" s="499" t="inlineStr">
        <is>
          <t>CAO</t>
        </is>
      </c>
    </row>
    <row r="103">
      <c r="A103" s="500" t="inlineStr">
        <is>
          <t>Tuần 2</t>
        </is>
      </c>
      <c r="B103" s="500" t="inlineStr">
        <is>
          <t>Scholarship campaign</t>
        </is>
      </c>
      <c r="C103" s="500" t="inlineStr">
        <is>
          <t>Mở đơn học bổng. Landing page + Forms. Promote heavy trên all channels</t>
        </is>
      </c>
      <c r="D103" s="500" t="inlineStr">
        <is>
          <t>Marketing Lead</t>
        </is>
      </c>
      <c r="E103" s="500" t="inlineStr">
        <is>
          <t>Scholarship apps received</t>
        </is>
      </c>
      <c r="F103" s="500" t="inlineStr">
        <is>
          <t>CAO</t>
        </is>
      </c>
    </row>
    <row r="104">
      <c r="A104" s="499" t="inlineStr">
        <is>
          <t>Tuần 3 (15-21/06)</t>
        </is>
      </c>
      <c r="B104" s="499" t="inlineStr">
        <is>
          <t>Remarketing aggressive</t>
        </is>
      </c>
      <c r="C104" s="499" t="inlineStr">
        <is>
          <t>Retarget ALL leads chưa convert. Custom audience: page visitors, form abandoners, video viewers</t>
        </is>
      </c>
      <c r="D104" s="499" t="inlineStr">
        <is>
          <t>Ads Specialist</t>
        </is>
      </c>
      <c r="E104" s="499" t="inlineStr">
        <is>
          <t>Remarketing live</t>
        </is>
      </c>
      <c r="F104" s="499" t="inlineStr">
        <is>
          <t>CAO</t>
        </is>
      </c>
    </row>
    <row r="105">
      <c r="A105" s="500" t="inlineStr">
        <is>
          <t>Tuần 3</t>
        </is>
      </c>
      <c r="B105" s="500" t="inlineStr">
        <is>
          <t>YouTube series launch</t>
        </is>
      </c>
      <c r="C105" s="500" t="inlineStr">
        <is>
          <t>Launch series "Cùng Con Lớn Khôn" — 1 tập/tuần. Promote cross-platform</t>
        </is>
      </c>
      <c r="D105" s="500" t="inlineStr">
        <is>
          <t>Video Team</t>
        </is>
      </c>
      <c r="E105" s="500" t="inlineStr">
        <is>
          <t>Series episode 1 live</t>
        </is>
      </c>
      <c r="F105" s="500" t="inlineStr">
        <is>
          <t>TRUNG BÌNH</t>
        </is>
      </c>
    </row>
    <row r="106">
      <c r="A106" s="499" t="inlineStr">
        <is>
          <t>Tuần 4 (22-30/06)</t>
        </is>
      </c>
      <c r="B106" s="499" t="inlineStr">
        <is>
          <t>Mid-year review</t>
        </is>
      </c>
      <c r="C106" s="499" t="inlineStr">
        <is>
          <t>Tổng kết nửa mùa tuyển sinh. So sánh actual vs target. Adjust strategy cho Q3</t>
        </is>
      </c>
      <c r="D106" s="499" t="inlineStr">
        <is>
          <t>Marketing Lead</t>
        </is>
      </c>
      <c r="E106" s="499" t="inlineStr">
        <is>
          <t>Mid-year report</t>
        </is>
      </c>
      <c r="F106" s="499" t="inlineStr">
        <is>
          <t>CAO</t>
        </is>
      </c>
    </row>
    <row r="107">
      <c r="A107" s="500" t="inlineStr">
        <is>
          <t>Tuần 4</t>
        </is>
      </c>
      <c r="B107" s="500" t="inlineStr">
        <is>
          <t>Webinar marathon</t>
        </is>
      </c>
      <c r="C107" s="500" t="inlineStr">
        <is>
          <t>3 webinars trong 1 tuần: MN (T3), TH (T5), THCS+THPT (T7). Mass registration</t>
        </is>
      </c>
      <c r="D107" s="500" t="inlineStr">
        <is>
          <t>Event Team</t>
        </is>
      </c>
      <c r="E107" s="500" t="inlineStr">
        <is>
          <t>500 registrations tổng</t>
        </is>
      </c>
      <c r="F107" s="500" t="inlineStr">
        <is>
          <t>CAO</t>
        </is>
      </c>
    </row>
    <row r="108">
      <c r="A108" s="499" t="inlineStr">
        <is>
          <t>Cả tháng</t>
        </is>
      </c>
      <c r="B108" s="499" t="inlineStr">
        <is>
          <t>KPI mục tiêu T6</t>
        </is>
      </c>
      <c r="C108" s="499" t="inlineStr">
        <is>
          <t>Leads: 300 | Tours: 120 | Enrollments: 80 | Ad spend: 3 tỷ | Social followers: +15,000</t>
        </is>
      </c>
      <c r="D108" s="499" t="inlineStr">
        <is>
          <t>Marketing Lead</t>
        </is>
      </c>
      <c r="E108" s="499" t="inlineStr">
        <is>
          <t>KPI tracked</t>
        </is>
      </c>
      <c r="F108" s="499" t="inlineStr">
        <is>
          <t>CAO</t>
        </is>
      </c>
    </row>
    <row r="110">
      <c r="A110" s="494" t="inlineStr">
        <is>
          <t>THÁNG 7/2026 — PEAK ENROLLMENT</t>
        </is>
      </c>
    </row>
    <row r="111">
      <c r="A111" s="495" t="inlineStr">
        <is>
          <t>Thời gian</t>
        </is>
      </c>
      <c r="B111" s="495" t="inlineStr">
        <is>
          <t>Nhóm công việc</t>
        </is>
      </c>
      <c r="C111" s="495" t="inlineStr">
        <is>
          <t>Chi tiết hoạt động</t>
        </is>
      </c>
      <c r="D111" s="495" t="inlineStr">
        <is>
          <t>Người thực hiện</t>
        </is>
      </c>
      <c r="E111" s="495" t="inlineStr">
        <is>
          <t>Output/Milestone</t>
        </is>
      </c>
      <c r="F111" s="495" t="inlineStr">
        <is>
          <t>Ưu tiên</t>
        </is>
      </c>
    </row>
    <row r="112">
      <c r="A112" s="499" t="inlineStr">
        <is>
          <t>Tuần 1 (01-05/07)</t>
        </is>
      </c>
      <c r="B112" s="499" t="inlineStr">
        <is>
          <t>Urgency campaign</t>
        </is>
      </c>
      <c r="C112" s="499" t="inlineStr">
        <is>
          <t>Launch "Chỉ còn 3 tháng — Đăng ký ngay!". Countdown trên tất cả kênh. Limited seats messaging</t>
        </is>
      </c>
      <c r="D112" s="499" t="inlineStr">
        <is>
          <t>Cả team</t>
        </is>
      </c>
      <c r="E112" s="499" t="inlineStr">
        <is>
          <t>Urgency campaign live</t>
        </is>
      </c>
      <c r="F112" s="499" t="inlineStr">
        <is>
          <t>CAO</t>
        </is>
      </c>
    </row>
    <row r="113">
      <c r="A113" s="500" t="inlineStr">
        <is>
          <t>Tuần 1</t>
        </is>
      </c>
      <c r="B113" s="500" t="inlineStr">
        <is>
          <t>Referral program boost</t>
        </is>
      </c>
      <c r="C113" s="500" t="inlineStr">
        <is>
          <t>PH giới thiệu PH: thưởng 2M/enrollment thành công. Promote qua Zalo groups + email</t>
        </is>
      </c>
      <c r="D113" s="500" t="inlineStr">
        <is>
          <t>Marketing Lead</t>
        </is>
      </c>
      <c r="E113" s="500" t="inlineStr">
        <is>
          <t>Referral program active</t>
        </is>
      </c>
      <c r="F113" s="500" t="inlineStr">
        <is>
          <t>CAO</t>
        </is>
      </c>
    </row>
    <row r="114">
      <c r="A114" s="499" t="inlineStr">
        <is>
          <t>Tuần 2 (06-12/07)</t>
        </is>
      </c>
      <c r="B114" s="499" t="inlineStr">
        <is>
          <t>Conversion push</t>
        </is>
      </c>
      <c r="C114" s="499" t="inlineStr">
        <is>
          <t>Focus convert leads to tours. Call marathon: tư vấn viên gọi tất cả leads hot. Double follow up</t>
        </is>
      </c>
      <c r="D114" s="499" t="inlineStr">
        <is>
          <t>Tư vấn viên</t>
        </is>
      </c>
      <c r="E114" s="499" t="inlineStr">
        <is>
          <t>Tour bookings surge</t>
        </is>
      </c>
      <c r="F114" s="499" t="inlineStr">
        <is>
          <t>CAO</t>
        </is>
      </c>
    </row>
    <row r="115">
      <c r="A115" s="500" t="inlineStr">
        <is>
          <t>Tuần 2</t>
        </is>
      </c>
      <c r="B115" s="500" t="inlineStr">
        <is>
          <t>Video testimonial drive</t>
        </is>
      </c>
      <c r="C115" s="500" t="inlineStr">
        <is>
          <t>Quay 20 testimonial PH mới enrolled. Chia sẻ cross-platform. Use in ads</t>
        </is>
      </c>
      <c r="D115" s="500" t="inlineStr">
        <is>
          <t>Video Team</t>
        </is>
      </c>
      <c r="E115" s="500" t="inlineStr">
        <is>
          <t>20 testimonials</t>
        </is>
      </c>
      <c r="F115" s="500" t="inlineStr">
        <is>
          <t>CAO</t>
        </is>
      </c>
    </row>
    <row r="116">
      <c r="A116" s="499" t="inlineStr">
        <is>
          <t>Tuần 3 (13-19/07)</t>
        </is>
      </c>
      <c r="B116" s="499" t="inlineStr">
        <is>
          <t>Open Day T7</t>
        </is>
      </c>
      <c r="C116" s="499" t="inlineStr">
        <is>
          <t>Open Day lần 3 — focus cơ sở có enrollment thấp. Extra budget cho weak campuses</t>
        </is>
      </c>
      <c r="D116" s="499" t="inlineStr">
        <is>
          <t>Event Team</t>
        </is>
      </c>
      <c r="E116" s="499" t="inlineStr">
        <is>
          <t>Targeted Open Day</t>
        </is>
      </c>
      <c r="F116" s="499" t="inlineStr">
        <is>
          <t>CAO</t>
        </is>
      </c>
    </row>
    <row r="117">
      <c r="A117" s="500" t="inlineStr">
        <is>
          <t>Tuần 3</t>
        </is>
      </c>
      <c r="B117" s="500" t="inlineStr">
        <is>
          <t>Scholarship results</t>
        </is>
      </c>
      <c r="C117" s="500" t="inlineStr">
        <is>
          <t>Công bố kết quả học bổng. Celebrate trên social media. Convert scholarship winners</t>
        </is>
      </c>
      <c r="D117" s="500" t="inlineStr">
        <is>
          <t>Marketing Lead</t>
        </is>
      </c>
      <c r="E117" s="500" t="inlineStr">
        <is>
          <t>Scholarship announced</t>
        </is>
      </c>
      <c r="F117" s="500" t="inlineStr">
        <is>
          <t>TRUNG BÌNH</t>
        </is>
      </c>
    </row>
    <row r="118">
      <c r="A118" s="499" t="inlineStr">
        <is>
          <t>Tuần 4 (20-31/07)</t>
        </is>
      </c>
      <c r="B118" s="499" t="inlineStr">
        <is>
          <t>Retarget cold leads</t>
        </is>
      </c>
      <c r="C118" s="499" t="inlineStr">
        <is>
          <t>Win-back campaign cho leads cold &gt;30 ngày. Special offer: giảm phí ghi danh nếu enroll trước 31/7</t>
        </is>
      </c>
      <c r="D118" s="499" t="inlineStr">
        <is>
          <t>Ads + Email</t>
        </is>
      </c>
      <c r="E118" s="499" t="inlineStr">
        <is>
          <t>Cold leads reactivated</t>
        </is>
      </c>
      <c r="F118" s="499" t="inlineStr">
        <is>
          <t>CAO</t>
        </is>
      </c>
    </row>
    <row r="119">
      <c r="A119" s="500" t="inlineStr">
        <is>
          <t>Cả tháng</t>
        </is>
      </c>
      <c r="B119" s="500" t="inlineStr">
        <is>
          <t>KPI mục tiêu T7</t>
        </is>
      </c>
      <c r="C119" s="500" t="inlineStr">
        <is>
          <t>Leads: 350 | Tours: 150 | Enrollments: 120 | Ad spend: 3 tỷ | Social followers: +10,000</t>
        </is>
      </c>
      <c r="D119" s="500" t="inlineStr">
        <is>
          <t>Marketing Lead</t>
        </is>
      </c>
      <c r="E119" s="500" t="inlineStr">
        <is>
          <t>KPI tracked</t>
        </is>
      </c>
      <c r="F119" s="500" t="inlineStr">
        <is>
          <t>CAO</t>
        </is>
      </c>
    </row>
    <row r="121">
      <c r="A121" s="494" t="inlineStr">
        <is>
          <t>THÁNG 8/2026 — CLOSING &amp; LAST PUSH</t>
        </is>
      </c>
    </row>
    <row r="122">
      <c r="A122" s="495" t="inlineStr">
        <is>
          <t>Thời gian</t>
        </is>
      </c>
      <c r="B122" s="495" t="inlineStr">
        <is>
          <t>Nhóm công việc</t>
        </is>
      </c>
      <c r="C122" s="495" t="inlineStr">
        <is>
          <t>Chi tiết hoạt động</t>
        </is>
      </c>
      <c r="D122" s="495" t="inlineStr">
        <is>
          <t>Người thực hiện</t>
        </is>
      </c>
      <c r="E122" s="495" t="inlineStr">
        <is>
          <t>Output/Milestone</t>
        </is>
      </c>
      <c r="F122" s="495" t="inlineStr">
        <is>
          <t>Ưu tiên</t>
        </is>
      </c>
    </row>
    <row r="123">
      <c r="A123" s="499" t="inlineStr">
        <is>
          <t>Tuần 1 (01-09/08)</t>
        </is>
      </c>
      <c r="B123" s="499" t="inlineStr">
        <is>
          <t>Final enrollment push</t>
        </is>
      </c>
      <c r="C123" s="499" t="inlineStr">
        <is>
          <t>"Chỉ còn 2 tháng — Ưu đãi cuối cùng!" Early bird discount cho enrollment trước 15/8</t>
        </is>
      </c>
      <c r="D123" s="499" t="inlineStr">
        <is>
          <t>Cả team</t>
        </is>
      </c>
      <c r="E123" s="499" t="inlineStr">
        <is>
          <t>Final push campaign</t>
        </is>
      </c>
      <c r="F123" s="499" t="inlineStr">
        <is>
          <t>CAO</t>
        </is>
      </c>
    </row>
    <row r="124">
      <c r="A124" s="500" t="inlineStr">
        <is>
          <t>Tuần 1</t>
        </is>
      </c>
      <c r="B124" s="500" t="inlineStr">
        <is>
          <t>Content tổng kết hè</t>
        </is>
      </c>
      <c r="C124" s="500" t="inlineStr">
        <is>
          <t>Chia sẻ highlights summer activities: trại hè, hoạt động ngoại khóa, chuẩn bị năm mới</t>
        </is>
      </c>
      <c r="D124" s="500" t="inlineStr">
        <is>
          <t>Content Team</t>
        </is>
      </c>
      <c r="E124" s="500" t="inlineStr">
        <is>
          <t>Summer recap content</t>
        </is>
      </c>
      <c r="F124" s="500" t="inlineStr">
        <is>
          <t>TRUNG BÌNH</t>
        </is>
      </c>
    </row>
    <row r="125">
      <c r="A125" s="499" t="inlineStr">
        <is>
          <t>Tuần 2 (10-16/08)</t>
        </is>
      </c>
      <c r="B125" s="499" t="inlineStr">
        <is>
          <t>Open Day cuối cùng</t>
        </is>
      </c>
      <c r="C125" s="499" t="inlineStr">
        <is>
          <t>Final Open Day — "Cơ hội cuối". Tất cả 6 cơ sở. Extra incentive: miễn phí xe 1 tháng</t>
        </is>
      </c>
      <c r="D125" s="499" t="inlineStr">
        <is>
          <t>Event Team</t>
        </is>
      </c>
      <c r="E125" s="499" t="inlineStr">
        <is>
          <t>Final Open Day</t>
        </is>
      </c>
      <c r="F125" s="499" t="inlineStr">
        <is>
          <t>CAO</t>
        </is>
      </c>
    </row>
    <row r="126">
      <c r="A126" s="500" t="inlineStr">
        <is>
          <t>Tuần 3 (17-23/08)</t>
        </is>
      </c>
      <c r="B126" s="500" t="inlineStr">
        <is>
          <t>Chốt enrollment</t>
        </is>
      </c>
      <c r="C126" s="500" t="inlineStr">
        <is>
          <t>Call tất cả leads còn pending. SMS/Zalo blast: deadline reminder. Enrollment team full speed</t>
        </is>
      </c>
      <c r="D126" s="500" t="inlineStr">
        <is>
          <t>Tư vấn viên</t>
        </is>
      </c>
      <c r="E126" s="500" t="inlineStr">
        <is>
          <t>Enrollments closing</t>
        </is>
      </c>
      <c r="F126" s="500" t="inlineStr">
        <is>
          <t>CAO</t>
        </is>
      </c>
    </row>
    <row r="127">
      <c r="A127" s="499" t="inlineStr">
        <is>
          <t>Tuần 4 (24-31/08)</t>
        </is>
      </c>
      <c r="B127" s="499" t="inlineStr">
        <is>
          <t>Giảm budget ads</t>
        </is>
      </c>
      <c r="C127" s="499" t="inlineStr">
        <is>
          <t>Reduce ads budget 50%. Focus retargeting only. Pause awareness campaigns</t>
        </is>
      </c>
      <c r="D127" s="499" t="inlineStr">
        <is>
          <t>Ads Specialist</t>
        </is>
      </c>
      <c r="E127" s="499" t="inlineStr">
        <is>
          <t>Budget reduced</t>
        </is>
      </c>
      <c r="F127" s="499" t="inlineStr">
        <is>
          <t>TRUNG BÌNH</t>
        </is>
      </c>
    </row>
    <row r="128">
      <c r="A128" s="500" t="inlineStr">
        <is>
          <t>Tuần 4</t>
        </is>
      </c>
      <c r="B128" s="500" t="inlineStr">
        <is>
          <t>Chuẩn bị welcome kit</t>
        </is>
      </c>
      <c r="C128" s="500" t="inlineStr">
        <is>
          <t>Chuẩn bị welcome kit cho HS mới enrolled: email welcome, thông tin khai giảng, hướng dẫn</t>
        </is>
      </c>
      <c r="D128" s="500" t="inlineStr">
        <is>
          <t>Marketing + Event</t>
        </is>
      </c>
      <c r="E128" s="500" t="inlineStr">
        <is>
          <t>Welcome materials ready</t>
        </is>
      </c>
      <c r="F128" s="500" t="inlineStr">
        <is>
          <t>TRUNG BÌNH</t>
        </is>
      </c>
    </row>
    <row r="129">
      <c r="A129" s="499" t="inlineStr">
        <is>
          <t>Cả tháng</t>
        </is>
      </c>
      <c r="B129" s="499" t="inlineStr">
        <is>
          <t>KPI mục tiêu T8</t>
        </is>
      </c>
      <c r="C129" s="499" t="inlineStr">
        <is>
          <t>Leads: 200 | Tours: 80 | Enrollments: 100 | Ad spend: 2 tỷ | Social followers: +5,000</t>
        </is>
      </c>
      <c r="D129" s="499" t="inlineStr">
        <is>
          <t>Marketing Lead</t>
        </is>
      </c>
      <c r="E129" s="499" t="inlineStr">
        <is>
          <t>KPI tracked</t>
        </is>
      </c>
      <c r="F129" s="499" t="inlineStr">
        <is>
          <t>CAO</t>
        </is>
      </c>
    </row>
    <row r="131">
      <c r="A131" s="494" t="inlineStr">
        <is>
          <t>THÁNG 9/2026 — WRAP UP &amp; KHAI GIẢNG</t>
        </is>
      </c>
    </row>
    <row r="132">
      <c r="A132" s="495" t="inlineStr">
        <is>
          <t>Thời gian</t>
        </is>
      </c>
      <c r="B132" s="495" t="inlineStr">
        <is>
          <t>Nhóm công việc</t>
        </is>
      </c>
      <c r="C132" s="495" t="inlineStr">
        <is>
          <t>Chi tiết hoạt động</t>
        </is>
      </c>
      <c r="D132" s="495" t="inlineStr">
        <is>
          <t>Người thực hiện</t>
        </is>
      </c>
      <c r="E132" s="495" t="inlineStr">
        <is>
          <t>Output/Milestone</t>
        </is>
      </c>
      <c r="F132" s="495" t="inlineStr">
        <is>
          <t>Ưu tiên</t>
        </is>
      </c>
    </row>
    <row r="133">
      <c r="A133" s="499" t="inlineStr">
        <is>
          <t>Tuần 1 (01-07/09)</t>
        </is>
      </c>
      <c r="B133" s="499" t="inlineStr">
        <is>
          <t>Last chance enrollment</t>
        </is>
      </c>
      <c r="C133" s="499" t="inlineStr">
        <is>
          <t>"Chốt đơn cuối!" Cho phép enrollment muộn với phí thêm. Focus THCS + THPT (seats còn)</t>
        </is>
      </c>
      <c r="D133" s="499" t="inlineStr">
        <is>
          <t>Tư vấn viên</t>
        </is>
      </c>
      <c r="E133" s="499" t="inlineStr">
        <is>
          <t>Last enrollments</t>
        </is>
      </c>
      <c r="F133" s="499" t="inlineStr">
        <is>
          <t>CAO</t>
        </is>
      </c>
    </row>
    <row r="134">
      <c r="A134" s="500" t="inlineStr">
        <is>
          <t>Tuần 1</t>
        </is>
      </c>
      <c r="B134" s="500" t="inlineStr">
        <is>
          <t>Chuẩn bị khai giảng</t>
        </is>
      </c>
      <c r="C134" s="500" t="inlineStr">
        <is>
          <t>Content khai giảng: banner, video, schedule. Invite PH dự lễ. Photo/video team ready</t>
        </is>
      </c>
      <c r="D134" s="500" t="inlineStr">
        <is>
          <t>Event + Content</t>
        </is>
      </c>
      <c r="E134" s="500" t="inlineStr">
        <is>
          <t>Khai giảng materials</t>
        </is>
      </c>
      <c r="F134" s="500" t="inlineStr">
        <is>
          <t>CAO</t>
        </is>
      </c>
    </row>
    <row r="135">
      <c r="A135" s="499" t="inlineStr">
        <is>
          <t>Tuần 2 (08-14/09)</t>
        </is>
      </c>
      <c r="B135" s="499" t="inlineStr">
        <is>
          <t>KHAI GIẢNG</t>
        </is>
      </c>
      <c r="C135" s="499" t="inlineStr">
        <is>
          <t>Lễ khai giảng tại 6 cơ sở. Live coverage FB + TikTok. Photo session. PH testimonials</t>
        </is>
      </c>
      <c r="D135" s="499" t="inlineStr">
        <is>
          <t>Cả team</t>
        </is>
      </c>
      <c r="E135" s="499" t="inlineStr">
        <is>
          <t>🎓 Khai giảng thành công</t>
        </is>
      </c>
      <c r="F135" s="499" t="inlineStr">
        <is>
          <t>CAO</t>
        </is>
      </c>
    </row>
    <row r="136">
      <c r="A136" s="500" t="inlineStr">
        <is>
          <t>Tuần 2</t>
        </is>
      </c>
      <c r="B136" s="500" t="inlineStr">
        <is>
          <t>Welcome series</t>
        </is>
      </c>
      <c r="C136" s="500" t="inlineStr">
        <is>
          <t>GHL: trigger welcome email series cho tất cả HS mới. Zalo group onboarding</t>
        </is>
      </c>
      <c r="D136" s="500" t="inlineStr">
        <is>
          <t>Marketing Lead</t>
        </is>
      </c>
      <c r="E136" s="500" t="inlineStr">
        <is>
          <t>Welcome emails sent</t>
        </is>
      </c>
      <c r="F136" s="500" t="inlineStr">
        <is>
          <t>TRUNG BÌNH</t>
        </is>
      </c>
    </row>
    <row r="137">
      <c r="A137" s="499" t="inlineStr">
        <is>
          <t>Tuần 3 (15-21/09)</t>
        </is>
      </c>
      <c r="B137" s="499" t="inlineStr">
        <is>
          <t>Campaign wrap up</t>
        </is>
      </c>
      <c r="C137" s="499" t="inlineStr">
        <is>
          <t>Tắt tất cả ads tuyển sinh. Archive campaigns. Export all data</t>
        </is>
      </c>
      <c r="D137" s="499" t="inlineStr">
        <is>
          <t>Ads Specialist</t>
        </is>
      </c>
      <c r="E137" s="499" t="inlineStr">
        <is>
          <t>Campaigns archived</t>
        </is>
      </c>
      <c r="F137" s="499" t="inlineStr">
        <is>
          <t>TRUNG BÌNH</t>
        </is>
      </c>
    </row>
    <row r="138">
      <c r="A138" s="500" t="inlineStr">
        <is>
          <t>Tuần 3</t>
        </is>
      </c>
      <c r="B138" s="500" t="inlineStr">
        <is>
          <t>Tổng kết mùa tuyển sinh</t>
        </is>
      </c>
      <c r="C138" s="500" t="inlineStr">
        <is>
          <t>Báo cáo tổng: actual vs target, cost per enrollment, best channels, lessons learned</t>
        </is>
      </c>
      <c r="D138" s="500" t="inlineStr">
        <is>
          <t>Marketing Lead</t>
        </is>
      </c>
      <c r="E138" s="500" t="inlineStr">
        <is>
          <t>📊 Final Report</t>
        </is>
      </c>
      <c r="F138" s="500" t="inlineStr">
        <is>
          <t>CAO</t>
        </is>
      </c>
    </row>
    <row r="139">
      <c r="A139" s="499" t="inlineStr">
        <is>
          <t>Tuần 4 (22-30/09)</t>
        </is>
      </c>
      <c r="B139" s="499" t="inlineStr">
        <is>
          <t>Database cleanup</t>
        </is>
      </c>
      <c r="C139" s="499" t="inlineStr">
        <is>
          <t>Clean all CRM data. Archive completed leads. Prepare for retention marketing</t>
        </is>
      </c>
      <c r="D139" s="499" t="inlineStr">
        <is>
          <t>Marketing Lead + IT</t>
        </is>
      </c>
      <c r="E139" s="499" t="inlineStr">
        <is>
          <t>Database cleaned</t>
        </is>
      </c>
      <c r="F139" s="499" t="inlineStr">
        <is>
          <t>TRUNG BÌNH</t>
        </is>
      </c>
    </row>
    <row r="140">
      <c r="A140" s="500" t="inlineStr">
        <is>
          <t>Tuần 4</t>
        </is>
      </c>
      <c r="B140" s="500" t="inlineStr">
        <is>
          <t>Plan retention marketing</t>
        </is>
      </c>
      <c r="C140" s="500" t="inlineStr">
        <is>
          <t>Lên kế hoạch giữ chân: monthly newsletter, PH events, birthday wishes, referral ongoing</t>
        </is>
      </c>
      <c r="D140" s="500" t="inlineStr">
        <is>
          <t>Marketing Lead</t>
        </is>
      </c>
      <c r="E140" s="500" t="inlineStr">
        <is>
          <t>Retention plan</t>
        </is>
      </c>
      <c r="F140" s="500" t="inlineStr">
        <is>
          <t>TRUNG BÌNH</t>
        </is>
      </c>
    </row>
    <row r="141">
      <c r="A141" s="499" t="inlineStr">
        <is>
          <t>Cả tháng</t>
        </is>
      </c>
      <c r="B141" s="499" t="inlineStr">
        <is>
          <t>KPI mục tiêu T9</t>
        </is>
      </c>
      <c r="C141" s="499" t="inlineStr">
        <is>
          <t>Leads: 100 | Tours: 30 | Enrollments: 50 | Ad spend: 1.5 tỷ | TỔNG: 1,300 HS enrolled</t>
        </is>
      </c>
      <c r="D141" s="499" t="inlineStr">
        <is>
          <t>Marketing Lead</t>
        </is>
      </c>
      <c r="E141" s="499" t="inlineStr">
        <is>
          <t>🎯 TARGET ĐẠT</t>
        </is>
      </c>
      <c r="F141" s="499" t="inlineStr">
        <is>
          <t>CAO</t>
        </is>
      </c>
    </row>
  </sheetData>
  <mergeCells count="13">
    <mergeCell ref="B52:I52"/>
    <mergeCell ref="B62:I62"/>
    <mergeCell ref="B17:I17"/>
    <mergeCell ref="B29:I29"/>
    <mergeCell ref="B16:I16"/>
    <mergeCell ref="B51:I51"/>
    <mergeCell ref="B28:I28"/>
    <mergeCell ref="B5:I5"/>
    <mergeCell ref="B61:I61"/>
    <mergeCell ref="B41:I41"/>
    <mergeCell ref="B1:I1"/>
    <mergeCell ref="B4:I4"/>
    <mergeCell ref="B40:I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P1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2" customWidth="1" style="247" min="2" max="2"/>
    <col width="8" customWidth="1" style="247" min="3" max="4"/>
    <col width="10" customWidth="1" style="247" min="5" max="15"/>
    <col width="3" customWidth="1" style="247" min="16" max="16"/>
  </cols>
  <sheetData>
    <row r="1" ht="36" customHeight="1" s="248">
      <c r="B1" s="441" t="inlineStr">
        <is>
          <t>📊 CAMPAIGN TRACKER – THEO DÕI TỪNG CAMPAIGN THEO TUẦN (GOOGLE + META + TIKTOK + ZALO)</t>
        </is>
      </c>
    </row>
    <row r="2" ht="27.75" customHeight="1" s="248">
      <c r="B2" s="375" t="inlineStr">
        <is>
          <t>Nhập dữ liệu thực tế mỗi tuần vào cột tương ứng. Cột màu xanh = auto-calculated. Liên kết với A. KPI Weekly Tracker.</t>
        </is>
      </c>
    </row>
    <row r="3" ht="21.75" customHeight="1" s="248">
      <c r="B3" s="376" t="inlineStr">
        <is>
          <t>Campaign Name</t>
        </is>
      </c>
      <c r="C3" s="376" t="inlineStr">
        <is>
          <t>Kênh</t>
        </is>
      </c>
      <c r="D3" s="376" t="inlineStr">
        <is>
          <t>Campus</t>
        </is>
      </c>
      <c r="E3" s="376" t="inlineStr">
        <is>
          <t>Spend (đ)</t>
        </is>
      </c>
      <c r="F3" s="376" t="inlineStr">
        <is>
          <t>Impressions</t>
        </is>
      </c>
      <c r="G3" s="376" t="inlineStr">
        <is>
          <t>Clicks</t>
        </is>
      </c>
      <c r="H3" s="376" t="inlineStr">
        <is>
          <t>CTR</t>
        </is>
      </c>
      <c r="I3" s="376" t="inlineStr">
        <is>
          <t>Leads</t>
        </is>
      </c>
      <c r="J3" s="376" t="inlineStr">
        <is>
          <t>Q.Leads</t>
        </is>
      </c>
      <c r="K3" s="376" t="inlineStr">
        <is>
          <t>CPL (đ)</t>
        </is>
      </c>
      <c r="L3" s="376" t="inlineStr">
        <is>
          <t>Q.Rate</t>
        </is>
      </c>
      <c r="M3" s="376" t="inlineStr">
        <is>
          <t>Tours</t>
        </is>
      </c>
      <c r="N3" s="376" t="inlineStr">
        <is>
          <t>Cost/Tour</t>
        </is>
      </c>
      <c r="O3" s="376" t="inlineStr">
        <is>
          <t>Enrolls</t>
        </is>
      </c>
      <c r="P3" s="376" t="inlineStr">
        <is>
          <t>Status</t>
        </is>
      </c>
    </row>
    <row r="4" ht="19.5" customHeight="1" s="248">
      <c r="B4" s="301" t="inlineStr">
        <is>
          <t>S_BRAND_System</t>
        </is>
      </c>
      <c r="C4" s="315" t="inlineStr">
        <is>
          <t>G.Search</t>
        </is>
      </c>
      <c r="D4" s="302" t="inlineStr">
        <is>
          <t>Hệ thống</t>
        </is>
      </c>
      <c r="E4" s="379" t="n">
        <v>0</v>
      </c>
      <c r="F4" s="379" t="n">
        <v>0</v>
      </c>
      <c r="G4" s="379" t="n">
        <v>0</v>
      </c>
      <c r="H4" s="442">
        <f>IF(F4&gt;0,G4/F4,0)</f>
        <v/>
      </c>
      <c r="I4" s="379" t="n">
        <v>0</v>
      </c>
      <c r="J4" s="379" t="n">
        <v>0</v>
      </c>
      <c r="K4" s="303">
        <f>IF(I4&gt;0,E4/I4,0)</f>
        <v/>
      </c>
      <c r="L4" s="442">
        <f>IF(I4&gt;0,J4/I4,0)</f>
        <v/>
      </c>
      <c r="M4" s="379" t="n">
        <v>0</v>
      </c>
      <c r="N4" s="303">
        <f>IF(M4&gt;0,E4/M4,0)</f>
        <v/>
      </c>
      <c r="O4" s="379" t="n">
        <v>0</v>
      </c>
      <c r="P4" s="443" t="inlineStr">
        <is>
          <t>☐ Active</t>
        </is>
      </c>
    </row>
    <row r="5" ht="19.5" customHeight="1" s="248">
      <c r="B5" s="301" t="inlineStr">
        <is>
          <t>S_MN_GV_Brand</t>
        </is>
      </c>
      <c r="C5" s="315" t="inlineStr">
        <is>
          <t>G.Search</t>
        </is>
      </c>
      <c r="D5" s="302" t="inlineStr">
        <is>
          <t>MN GV</t>
        </is>
      </c>
      <c r="E5" s="379" t="n">
        <v>0</v>
      </c>
      <c r="F5" s="379" t="n">
        <v>0</v>
      </c>
      <c r="G5" s="379" t="n">
        <v>0</v>
      </c>
      <c r="H5" s="442">
        <f>IF(F5&gt;0,G5/F5,0)</f>
        <v/>
      </c>
      <c r="I5" s="379" t="n">
        <v>0</v>
      </c>
      <c r="J5" s="379" t="n">
        <v>0</v>
      </c>
      <c r="K5" s="303">
        <f>IF(I5&gt;0,E5/I5,0)</f>
        <v/>
      </c>
      <c r="L5" s="442">
        <f>IF(I5&gt;0,J5/I5,0)</f>
        <v/>
      </c>
      <c r="M5" s="379" t="n">
        <v>0</v>
      </c>
      <c r="N5" s="303">
        <f>IF(M5&gt;0,E5/M5,0)</f>
        <v/>
      </c>
      <c r="O5" s="379" t="n">
        <v>0</v>
      </c>
      <c r="P5" s="443" t="inlineStr">
        <is>
          <t>☐ Active</t>
        </is>
      </c>
    </row>
    <row r="6" ht="19.5" customHeight="1" s="248">
      <c r="B6" s="301" t="inlineStr">
        <is>
          <t>S_MN_GV_Generic</t>
        </is>
      </c>
      <c r="C6" s="315" t="inlineStr">
        <is>
          <t>G.Search</t>
        </is>
      </c>
      <c r="D6" s="302" t="inlineStr">
        <is>
          <t>MN GV</t>
        </is>
      </c>
      <c r="E6" s="379" t="n">
        <v>0</v>
      </c>
      <c r="F6" s="379" t="n">
        <v>0</v>
      </c>
      <c r="G6" s="379" t="n">
        <v>0</v>
      </c>
      <c r="H6" s="442">
        <f>IF(F6&gt;0,G6/F6,0)</f>
        <v/>
      </c>
      <c r="I6" s="379" t="n">
        <v>0</v>
      </c>
      <c r="J6" s="379" t="n">
        <v>0</v>
      </c>
      <c r="K6" s="303">
        <f>IF(I6&gt;0,E6/I6,0)</f>
        <v/>
      </c>
      <c r="L6" s="442">
        <f>IF(I6&gt;0,J6/I6,0)</f>
        <v/>
      </c>
      <c r="M6" s="379" t="n">
        <v>0</v>
      </c>
      <c r="N6" s="303">
        <f>IF(M6&gt;0,E6/M6,0)</f>
        <v/>
      </c>
      <c r="O6" s="379" t="n">
        <v>0</v>
      </c>
      <c r="P6" s="443" t="inlineStr">
        <is>
          <t>☐ Active</t>
        </is>
      </c>
    </row>
    <row r="7" ht="19.5" customHeight="1" s="248">
      <c r="B7" s="301" t="inlineStr">
        <is>
          <t>S_MN_GV_HighIntent</t>
        </is>
      </c>
      <c r="C7" s="315" t="inlineStr">
        <is>
          <t>G.Search</t>
        </is>
      </c>
      <c r="D7" s="302" t="inlineStr">
        <is>
          <t>MN GV</t>
        </is>
      </c>
      <c r="E7" s="379" t="n">
        <v>0</v>
      </c>
      <c r="F7" s="379" t="n">
        <v>0</v>
      </c>
      <c r="G7" s="379" t="n">
        <v>0</v>
      </c>
      <c r="H7" s="442">
        <f>IF(F7&gt;0,G7/F7,0)</f>
        <v/>
      </c>
      <c r="I7" s="379" t="n">
        <v>0</v>
      </c>
      <c r="J7" s="379" t="n">
        <v>0</v>
      </c>
      <c r="K7" s="303">
        <f>IF(I7&gt;0,E7/I7,0)</f>
        <v/>
      </c>
      <c r="L7" s="442">
        <f>IF(I7&gt;0,J7/I7,0)</f>
        <v/>
      </c>
      <c r="M7" s="379" t="n">
        <v>0</v>
      </c>
      <c r="N7" s="303">
        <f>IF(M7&gt;0,E7/M7,0)</f>
        <v/>
      </c>
      <c r="O7" s="379" t="n">
        <v>0</v>
      </c>
      <c r="P7" s="443" t="inlineStr">
        <is>
          <t>☐ Active</t>
        </is>
      </c>
    </row>
    <row r="8" ht="19.5" customHeight="1" s="248">
      <c r="B8" s="301" t="inlineStr">
        <is>
          <t>S_TH_GV_Generic</t>
        </is>
      </c>
      <c r="C8" s="315" t="inlineStr">
        <is>
          <t>G.Search</t>
        </is>
      </c>
      <c r="D8" s="302" t="inlineStr">
        <is>
          <t>TH GV</t>
        </is>
      </c>
      <c r="E8" s="379" t="n">
        <v>0</v>
      </c>
      <c r="F8" s="379" t="n">
        <v>0</v>
      </c>
      <c r="G8" s="379" t="n">
        <v>0</v>
      </c>
      <c r="H8" s="442">
        <f>IF(F8&gt;0,G8/F8,0)</f>
        <v/>
      </c>
      <c r="I8" s="379" t="n">
        <v>0</v>
      </c>
      <c r="J8" s="379" t="n">
        <v>0</v>
      </c>
      <c r="K8" s="303">
        <f>IF(I8&gt;0,E8/I8,0)</f>
        <v/>
      </c>
      <c r="L8" s="442">
        <f>IF(I8&gt;0,J8/I8,0)</f>
        <v/>
      </c>
      <c r="M8" s="379" t="n">
        <v>0</v>
      </c>
      <c r="N8" s="303">
        <f>IF(M8&gt;0,E8/M8,0)</f>
        <v/>
      </c>
      <c r="O8" s="379" t="n">
        <v>0</v>
      </c>
      <c r="P8" s="443" t="inlineStr">
        <is>
          <t>☐ Active</t>
        </is>
      </c>
    </row>
    <row r="9" ht="19.5" customHeight="1" s="248">
      <c r="B9" s="301" t="inlineStr">
        <is>
          <t>S_TH_GV_HighIntent</t>
        </is>
      </c>
      <c r="C9" s="315" t="inlineStr">
        <is>
          <t>G.Search</t>
        </is>
      </c>
      <c r="D9" s="302" t="inlineStr">
        <is>
          <t>TH GV</t>
        </is>
      </c>
      <c r="E9" s="379" t="n">
        <v>0</v>
      </c>
      <c r="F9" s="379" t="n">
        <v>0</v>
      </c>
      <c r="G9" s="379" t="n">
        <v>0</v>
      </c>
      <c r="H9" s="442">
        <f>IF(F9&gt;0,G9/F9,0)</f>
        <v/>
      </c>
      <c r="I9" s="379" t="n">
        <v>0</v>
      </c>
      <c r="J9" s="379" t="n">
        <v>0</v>
      </c>
      <c r="K9" s="303">
        <f>IF(I9&gt;0,E9/I9,0)</f>
        <v/>
      </c>
      <c r="L9" s="442">
        <f>IF(I9&gt;0,J9/I9,0)</f>
        <v/>
      </c>
      <c r="M9" s="379" t="n">
        <v>0</v>
      </c>
      <c r="N9" s="303">
        <f>IF(M9&gt;0,E9/M9,0)</f>
        <v/>
      </c>
      <c r="O9" s="379" t="n">
        <v>0</v>
      </c>
      <c r="P9" s="443" t="inlineStr">
        <is>
          <t>☐ Active</t>
        </is>
      </c>
    </row>
    <row r="10" ht="19.5" customHeight="1" s="248">
      <c r="B10" s="301" t="inlineStr">
        <is>
          <t>S_TH_BT_Generic</t>
        </is>
      </c>
      <c r="C10" s="315" t="inlineStr">
        <is>
          <t>G.Search</t>
        </is>
      </c>
      <c r="D10" s="302" t="inlineStr">
        <is>
          <t>TH BT</t>
        </is>
      </c>
      <c r="E10" s="379" t="n">
        <v>0</v>
      </c>
      <c r="F10" s="379" t="n">
        <v>0</v>
      </c>
      <c r="G10" s="379" t="n">
        <v>0</v>
      </c>
      <c r="H10" s="442">
        <f>IF(F10&gt;0,G10/F10,0)</f>
        <v/>
      </c>
      <c r="I10" s="379" t="n">
        <v>0</v>
      </c>
      <c r="J10" s="379" t="n">
        <v>0</v>
      </c>
      <c r="K10" s="303">
        <f>IF(I10&gt;0,E10/I10,0)</f>
        <v/>
      </c>
      <c r="L10" s="442">
        <f>IF(I10&gt;0,J10/I10,0)</f>
        <v/>
      </c>
      <c r="M10" s="379" t="n">
        <v>0</v>
      </c>
      <c r="N10" s="303">
        <f>IF(M10&gt;0,E10/M10,0)</f>
        <v/>
      </c>
      <c r="O10" s="379" t="n">
        <v>0</v>
      </c>
      <c r="P10" s="443" t="inlineStr">
        <is>
          <t>☐ Active</t>
        </is>
      </c>
    </row>
    <row r="11" ht="19.5" customHeight="1" s="248">
      <c r="B11" s="301" t="inlineStr">
        <is>
          <t>S_TH_BT_HighIntent</t>
        </is>
      </c>
      <c r="C11" s="315" t="inlineStr">
        <is>
          <t>G.Search</t>
        </is>
      </c>
      <c r="D11" s="302" t="inlineStr">
        <is>
          <t>TH BT</t>
        </is>
      </c>
      <c r="E11" s="379" t="n">
        <v>0</v>
      </c>
      <c r="F11" s="379" t="n">
        <v>0</v>
      </c>
      <c r="G11" s="379" t="n">
        <v>0</v>
      </c>
      <c r="H11" s="442">
        <f>IF(F11&gt;0,G11/F11,0)</f>
        <v/>
      </c>
      <c r="I11" s="379" t="n">
        <v>0</v>
      </c>
      <c r="J11" s="379" t="n">
        <v>0</v>
      </c>
      <c r="K11" s="303">
        <f>IF(I11&gt;0,E11/I11,0)</f>
        <v/>
      </c>
      <c r="L11" s="442">
        <f>IF(I11&gt;0,J11/I11,0)</f>
        <v/>
      </c>
      <c r="M11" s="379" t="n">
        <v>0</v>
      </c>
      <c r="N11" s="303">
        <f>IF(M11&gt;0,E11/M11,0)</f>
        <v/>
      </c>
      <c r="O11" s="379" t="n">
        <v>0</v>
      </c>
      <c r="P11" s="443" t="inlineStr">
        <is>
          <t>☐ Active</t>
        </is>
      </c>
    </row>
    <row r="12" ht="19.5" customHeight="1" s="248">
      <c r="B12" s="301" t="inlineStr">
        <is>
          <t>S_THCS_GV_Generic</t>
        </is>
      </c>
      <c r="C12" s="315" t="inlineStr">
        <is>
          <t>G.Search</t>
        </is>
      </c>
      <c r="D12" s="302" t="inlineStr">
        <is>
          <t>THCS GV</t>
        </is>
      </c>
      <c r="E12" s="379" t="n">
        <v>0</v>
      </c>
      <c r="F12" s="379" t="n">
        <v>0</v>
      </c>
      <c r="G12" s="379" t="n">
        <v>0</v>
      </c>
      <c r="H12" s="442">
        <f>IF(F12&gt;0,G12/F12,0)</f>
        <v/>
      </c>
      <c r="I12" s="379" t="n">
        <v>0</v>
      </c>
      <c r="J12" s="379" t="n">
        <v>0</v>
      </c>
      <c r="K12" s="303">
        <f>IF(I12&gt;0,E12/I12,0)</f>
        <v/>
      </c>
      <c r="L12" s="442">
        <f>IF(I12&gt;0,J12/I12,0)</f>
        <v/>
      </c>
      <c r="M12" s="379" t="n">
        <v>0</v>
      </c>
      <c r="N12" s="303">
        <f>IF(M12&gt;0,E12/M12,0)</f>
        <v/>
      </c>
      <c r="O12" s="379" t="n">
        <v>0</v>
      </c>
      <c r="P12" s="443" t="inlineStr">
        <is>
          <t>☐ Active</t>
        </is>
      </c>
    </row>
    <row r="13" ht="19.5" customHeight="1" s="248">
      <c r="B13" s="301" t="inlineStr">
        <is>
          <t>S_THCS_GV_HighIntent</t>
        </is>
      </c>
      <c r="C13" s="315" t="inlineStr">
        <is>
          <t>G.Search</t>
        </is>
      </c>
      <c r="D13" s="302" t="inlineStr">
        <is>
          <t>THCS GV</t>
        </is>
      </c>
      <c r="E13" s="379" t="n">
        <v>0</v>
      </c>
      <c r="F13" s="379" t="n">
        <v>0</v>
      </c>
      <c r="G13" s="379" t="n">
        <v>0</v>
      </c>
      <c r="H13" s="442">
        <f>IF(F13&gt;0,G13/F13,0)</f>
        <v/>
      </c>
      <c r="I13" s="379" t="n">
        <v>0</v>
      </c>
      <c r="J13" s="379" t="n">
        <v>0</v>
      </c>
      <c r="K13" s="303">
        <f>IF(I13&gt;0,E13/I13,0)</f>
        <v/>
      </c>
      <c r="L13" s="442">
        <f>IF(I13&gt;0,J13/I13,0)</f>
        <v/>
      </c>
      <c r="M13" s="379" t="n">
        <v>0</v>
      </c>
      <c r="N13" s="303">
        <f>IF(M13&gt;0,E13/M13,0)</f>
        <v/>
      </c>
      <c r="O13" s="379" t="n">
        <v>0</v>
      </c>
      <c r="P13" s="443" t="inlineStr">
        <is>
          <t>☐ Active</t>
        </is>
      </c>
    </row>
    <row r="14" ht="19.5" customHeight="1" s="248">
      <c r="B14" s="301" t="inlineStr">
        <is>
          <t>S_THCS_GV_Webinar</t>
        </is>
      </c>
      <c r="C14" s="315" t="inlineStr">
        <is>
          <t>G.Search</t>
        </is>
      </c>
      <c r="D14" s="302" t="inlineStr">
        <is>
          <t>THCS GV</t>
        </is>
      </c>
      <c r="E14" s="379" t="n">
        <v>0</v>
      </c>
      <c r="F14" s="379" t="n">
        <v>0</v>
      </c>
      <c r="G14" s="379" t="n">
        <v>0</v>
      </c>
      <c r="H14" s="442">
        <f>IF(F14&gt;0,G14/F14,0)</f>
        <v/>
      </c>
      <c r="I14" s="379" t="n">
        <v>0</v>
      </c>
      <c r="J14" s="379" t="n">
        <v>0</v>
      </c>
      <c r="K14" s="303">
        <f>IF(I14&gt;0,E14/I14,0)</f>
        <v/>
      </c>
      <c r="L14" s="442">
        <f>IF(I14&gt;0,J14/I14,0)</f>
        <v/>
      </c>
      <c r="M14" s="379" t="n">
        <v>0</v>
      </c>
      <c r="N14" s="303">
        <f>IF(M14&gt;0,E14/M14,0)</f>
        <v/>
      </c>
      <c r="O14" s="379" t="n">
        <v>0</v>
      </c>
      <c r="P14" s="443" t="inlineStr">
        <is>
          <t>☐ Active</t>
        </is>
      </c>
    </row>
    <row r="15" ht="19.5" customHeight="1" s="248">
      <c r="B15" s="301" t="inlineStr">
        <is>
          <t>S_THPT_GV_Generic</t>
        </is>
      </c>
      <c r="C15" s="315" t="inlineStr">
        <is>
          <t>G.Search</t>
        </is>
      </c>
      <c r="D15" s="302" t="inlineStr">
        <is>
          <t>THPT GV</t>
        </is>
      </c>
      <c r="E15" s="379" t="n">
        <v>0</v>
      </c>
      <c r="F15" s="379" t="n">
        <v>0</v>
      </c>
      <c r="G15" s="379" t="n">
        <v>0</v>
      </c>
      <c r="H15" s="442">
        <f>IF(F15&gt;0,G15/F15,0)</f>
        <v/>
      </c>
      <c r="I15" s="379" t="n">
        <v>0</v>
      </c>
      <c r="J15" s="379" t="n">
        <v>0</v>
      </c>
      <c r="K15" s="303">
        <f>IF(I15&gt;0,E15/I15,0)</f>
        <v/>
      </c>
      <c r="L15" s="442">
        <f>IF(I15&gt;0,J15/I15,0)</f>
        <v/>
      </c>
      <c r="M15" s="379" t="n">
        <v>0</v>
      </c>
      <c r="N15" s="303">
        <f>IF(M15&gt;0,E15/M15,0)</f>
        <v/>
      </c>
      <c r="O15" s="379" t="n">
        <v>0</v>
      </c>
      <c r="P15" s="443" t="inlineStr">
        <is>
          <t>☐ Active</t>
        </is>
      </c>
    </row>
    <row r="16" ht="19.5" customHeight="1" s="248">
      <c r="B16" s="301" t="inlineStr">
        <is>
          <t>S_THPT_GV_HighIntent</t>
        </is>
      </c>
      <c r="C16" s="315" t="inlineStr">
        <is>
          <t>G.Search</t>
        </is>
      </c>
      <c r="D16" s="302" t="inlineStr">
        <is>
          <t>THPT GV</t>
        </is>
      </c>
      <c r="E16" s="379" t="n">
        <v>0</v>
      </c>
      <c r="F16" s="379" t="n">
        <v>0</v>
      </c>
      <c r="G16" s="379" t="n">
        <v>0</v>
      </c>
      <c r="H16" s="442">
        <f>IF(F16&gt;0,G16/F16,0)</f>
        <v/>
      </c>
      <c r="I16" s="379" t="n">
        <v>0</v>
      </c>
      <c r="J16" s="379" t="n">
        <v>0</v>
      </c>
      <c r="K16" s="303">
        <f>IF(I16&gt;0,E16/I16,0)</f>
        <v/>
      </c>
      <c r="L16" s="442">
        <f>IF(I16&gt;0,J16/I16,0)</f>
        <v/>
      </c>
      <c r="M16" s="379" t="n">
        <v>0</v>
      </c>
      <c r="N16" s="303">
        <f>IF(M16&gt;0,E16/M16,0)</f>
        <v/>
      </c>
      <c r="O16" s="379" t="n">
        <v>0</v>
      </c>
      <c r="P16" s="443" t="inlineStr">
        <is>
          <t>☐ Active</t>
        </is>
      </c>
    </row>
    <row r="17" ht="19.5" customHeight="1" s="248">
      <c r="B17" s="301" t="inlineStr">
        <is>
          <t>S_THPT_GV_Webinar</t>
        </is>
      </c>
      <c r="C17" s="315" t="inlineStr">
        <is>
          <t>G.Search</t>
        </is>
      </c>
      <c r="D17" s="302" t="inlineStr">
        <is>
          <t>THPT GV</t>
        </is>
      </c>
      <c r="E17" s="379" t="n">
        <v>0</v>
      </c>
      <c r="F17" s="379" t="n">
        <v>0</v>
      </c>
      <c r="G17" s="379" t="n">
        <v>0</v>
      </c>
      <c r="H17" s="442">
        <f>IF(F17&gt;0,G17/F17,0)</f>
        <v/>
      </c>
      <c r="I17" s="379" t="n">
        <v>0</v>
      </c>
      <c r="J17" s="379" t="n">
        <v>0</v>
      </c>
      <c r="K17" s="303">
        <f>IF(I17&gt;0,E17/I17,0)</f>
        <v/>
      </c>
      <c r="L17" s="442">
        <f>IF(I17&gt;0,J17/I17,0)</f>
        <v/>
      </c>
      <c r="M17" s="379" t="n">
        <v>0</v>
      </c>
      <c r="N17" s="303">
        <f>IF(M17&gt;0,E17/M17,0)</f>
        <v/>
      </c>
      <c r="O17" s="379" t="n">
        <v>0</v>
      </c>
      <c r="P17" s="443" t="inlineStr">
        <is>
          <t>☐ Active</t>
        </is>
      </c>
    </row>
    <row r="18" ht="19.5" customHeight="1" s="248">
      <c r="B18" s="301" t="inlineStr">
        <is>
          <t>S_THPT_GV_Competitor</t>
        </is>
      </c>
      <c r="C18" s="315" t="inlineStr">
        <is>
          <t>G.Search</t>
        </is>
      </c>
      <c r="D18" s="302" t="inlineStr">
        <is>
          <t>THPT GV</t>
        </is>
      </c>
      <c r="E18" s="379" t="n">
        <v>0</v>
      </c>
      <c r="F18" s="379" t="n">
        <v>0</v>
      </c>
      <c r="G18" s="379" t="n">
        <v>0</v>
      </c>
      <c r="H18" s="442">
        <f>IF(F18&gt;0,G18/F18,0)</f>
        <v/>
      </c>
      <c r="I18" s="379" t="n">
        <v>0</v>
      </c>
      <c r="J18" s="379" t="n">
        <v>0</v>
      </c>
      <c r="K18" s="303">
        <f>IF(I18&gt;0,E18/I18,0)</f>
        <v/>
      </c>
      <c r="L18" s="442">
        <f>IF(I18&gt;0,J18/I18,0)</f>
        <v/>
      </c>
      <c r="M18" s="379" t="n">
        <v>0</v>
      </c>
      <c r="N18" s="303">
        <f>IF(M18&gt;0,E18/M18,0)</f>
        <v/>
      </c>
      <c r="O18" s="379" t="n">
        <v>0</v>
      </c>
      <c r="P18" s="443" t="inlineStr">
        <is>
          <t>☐ Active</t>
        </is>
      </c>
    </row>
    <row r="19" ht="19.5" customHeight="1" s="248">
      <c r="B19" s="444" t="inlineStr">
        <is>
          <t>RMKT_AllVisitors</t>
        </is>
      </c>
      <c r="C19" s="445" t="inlineStr">
        <is>
          <t>G.Display</t>
        </is>
      </c>
      <c r="D19" s="446" t="inlineStr">
        <is>
          <t>All</t>
        </is>
      </c>
      <c r="E19" s="379" t="n">
        <v>0</v>
      </c>
      <c r="F19" s="379" t="n">
        <v>0</v>
      </c>
      <c r="G19" s="379" t="n">
        <v>0</v>
      </c>
      <c r="H19" s="442">
        <f>IF(F19&gt;0,G19/F19,0)</f>
        <v/>
      </c>
      <c r="I19" s="379" t="n">
        <v>0</v>
      </c>
      <c r="J19" s="379" t="n">
        <v>0</v>
      </c>
      <c r="K19" s="303">
        <f>IF(I19&gt;0,E19/I19,0)</f>
        <v/>
      </c>
      <c r="L19" s="442">
        <f>IF(I19&gt;0,J19/I19,0)</f>
        <v/>
      </c>
      <c r="M19" s="379" t="n">
        <v>0</v>
      </c>
      <c r="N19" s="303">
        <f>IF(M19&gt;0,E19/M19,0)</f>
        <v/>
      </c>
      <c r="O19" s="379" t="n">
        <v>0</v>
      </c>
      <c r="P19" s="443" t="inlineStr">
        <is>
          <t>☐ Active</t>
        </is>
      </c>
    </row>
    <row r="20" ht="19.5" customHeight="1" s="248">
      <c r="B20" s="444" t="inlineStr">
        <is>
          <t>RMKT_HocPhiVisitors</t>
        </is>
      </c>
      <c r="C20" s="445" t="inlineStr">
        <is>
          <t>G.Display</t>
        </is>
      </c>
      <c r="D20" s="446" t="inlineStr">
        <is>
          <t>All</t>
        </is>
      </c>
      <c r="E20" s="379" t="n">
        <v>0</v>
      </c>
      <c r="F20" s="379" t="n">
        <v>0</v>
      </c>
      <c r="G20" s="379" t="n">
        <v>0</v>
      </c>
      <c r="H20" s="442">
        <f>IF(F20&gt;0,G20/F20,0)</f>
        <v/>
      </c>
      <c r="I20" s="379" t="n">
        <v>0</v>
      </c>
      <c r="J20" s="379" t="n">
        <v>0</v>
      </c>
      <c r="K20" s="303">
        <f>IF(I20&gt;0,E20/I20,0)</f>
        <v/>
      </c>
      <c r="L20" s="442">
        <f>IF(I20&gt;0,J20/I20,0)</f>
        <v/>
      </c>
      <c r="M20" s="379" t="n">
        <v>0</v>
      </c>
      <c r="N20" s="303">
        <f>IF(M20&gt;0,E20/M20,0)</f>
        <v/>
      </c>
      <c r="O20" s="379" t="n">
        <v>0</v>
      </c>
      <c r="P20" s="443" t="inlineStr">
        <is>
          <t>☐ Active</t>
        </is>
      </c>
    </row>
    <row r="21" ht="19.5" customHeight="1" s="248">
      <c r="B21" s="444" t="inlineStr">
        <is>
          <t>YT_THCS_THPT_Testi</t>
        </is>
      </c>
      <c r="C21" s="445" t="inlineStr">
        <is>
          <t>G.YouTube</t>
        </is>
      </c>
      <c r="D21" s="446" t="inlineStr">
        <is>
          <t>All</t>
        </is>
      </c>
      <c r="E21" s="379" t="n">
        <v>0</v>
      </c>
      <c r="F21" s="379" t="n">
        <v>0</v>
      </c>
      <c r="G21" s="379" t="n">
        <v>0</v>
      </c>
      <c r="H21" s="442">
        <f>IF(F21&gt;0,G21/F21,0)</f>
        <v/>
      </c>
      <c r="I21" s="379" t="n">
        <v>0</v>
      </c>
      <c r="J21" s="379" t="n">
        <v>0</v>
      </c>
      <c r="K21" s="303">
        <f>IF(I21&gt;0,E21/I21,0)</f>
        <v/>
      </c>
      <c r="L21" s="442">
        <f>IF(I21&gt;0,J21/I21,0)</f>
        <v/>
      </c>
      <c r="M21" s="379" t="n">
        <v>0</v>
      </c>
      <c r="N21" s="303">
        <f>IF(M21&gt;0,E21/M21,0)</f>
        <v/>
      </c>
      <c r="O21" s="379" t="n">
        <v>0</v>
      </c>
      <c r="P21" s="443" t="inlineStr">
        <is>
          <t>☐ Active</t>
        </is>
      </c>
    </row>
    <row r="22" ht="19.5" customHeight="1" s="248">
      <c r="B22" s="305" t="inlineStr">
        <is>
          <t>PMax_Test_THPT</t>
        </is>
      </c>
      <c r="C22" s="447" t="inlineStr">
        <is>
          <t>G.PMax</t>
        </is>
      </c>
      <c r="D22" s="306" t="inlineStr">
        <is>
          <t>THPT GV</t>
        </is>
      </c>
      <c r="E22" s="379" t="n">
        <v>0</v>
      </c>
      <c r="F22" s="379" t="n">
        <v>0</v>
      </c>
      <c r="G22" s="379" t="n">
        <v>0</v>
      </c>
      <c r="H22" s="442">
        <f>IF(F22&gt;0,G22/F22,0)</f>
        <v/>
      </c>
      <c r="I22" s="379" t="n">
        <v>0</v>
      </c>
      <c r="J22" s="379" t="n">
        <v>0</v>
      </c>
      <c r="K22" s="303">
        <f>IF(I22&gt;0,E22/I22,0)</f>
        <v/>
      </c>
      <c r="L22" s="442">
        <f>IF(I22&gt;0,J22/I22,0)</f>
        <v/>
      </c>
      <c r="M22" s="379" t="n">
        <v>0</v>
      </c>
      <c r="N22" s="303">
        <f>IF(M22&gt;0,E22/M22,0)</f>
        <v/>
      </c>
      <c r="O22" s="379" t="n">
        <v>0</v>
      </c>
      <c r="P22" s="443" t="inlineStr">
        <is>
          <t>☐ Active</t>
        </is>
      </c>
    </row>
    <row r="23" ht="19.5" customHeight="1" s="248">
      <c r="B23" s="261" t="inlineStr">
        <is>
          <t>MN_GV_LeadGen</t>
        </is>
      </c>
      <c r="C23" s="448" t="inlineStr">
        <is>
          <t>Meta</t>
        </is>
      </c>
      <c r="D23" s="298" t="inlineStr">
        <is>
          <t>MN GV</t>
        </is>
      </c>
      <c r="E23" s="379" t="n">
        <v>0</v>
      </c>
      <c r="F23" s="379" t="n">
        <v>0</v>
      </c>
      <c r="G23" s="379" t="n">
        <v>0</v>
      </c>
      <c r="H23" s="442">
        <f>IF(F23&gt;0,G23/F23,0)</f>
        <v/>
      </c>
      <c r="I23" s="379" t="n">
        <v>0</v>
      </c>
      <c r="J23" s="379" t="n">
        <v>0</v>
      </c>
      <c r="K23" s="303">
        <f>IF(I23&gt;0,E23/I23,0)</f>
        <v/>
      </c>
      <c r="L23" s="442">
        <f>IF(I23&gt;0,J23/I23,0)</f>
        <v/>
      </c>
      <c r="M23" s="379" t="n">
        <v>0</v>
      </c>
      <c r="N23" s="303">
        <f>IF(M23&gt;0,E23/M23,0)</f>
        <v/>
      </c>
      <c r="O23" s="379" t="n">
        <v>0</v>
      </c>
      <c r="P23" s="443" t="inlineStr">
        <is>
          <t>☐ Active</t>
        </is>
      </c>
    </row>
    <row r="24" ht="19.5" customHeight="1" s="248">
      <c r="B24" s="261" t="inlineStr">
        <is>
          <t>MN_NL_Local</t>
        </is>
      </c>
      <c r="C24" s="448" t="inlineStr">
        <is>
          <t>Meta</t>
        </is>
      </c>
      <c r="D24" s="298" t="inlineStr">
        <is>
          <t>MN NL</t>
        </is>
      </c>
      <c r="E24" s="379" t="n">
        <v>0</v>
      </c>
      <c r="F24" s="379" t="n">
        <v>0</v>
      </c>
      <c r="G24" s="379" t="n">
        <v>0</v>
      </c>
      <c r="H24" s="442">
        <f>IF(F24&gt;0,G24/F24,0)</f>
        <v/>
      </c>
      <c r="I24" s="379" t="n">
        <v>0</v>
      </c>
      <c r="J24" s="379" t="n">
        <v>0</v>
      </c>
      <c r="K24" s="303">
        <f>IF(I24&gt;0,E24/I24,0)</f>
        <v/>
      </c>
      <c r="L24" s="442">
        <f>IF(I24&gt;0,J24/I24,0)</f>
        <v/>
      </c>
      <c r="M24" s="379" t="n">
        <v>0</v>
      </c>
      <c r="N24" s="303">
        <f>IF(M24&gt;0,E24/M24,0)</f>
        <v/>
      </c>
      <c r="O24" s="379" t="n">
        <v>0</v>
      </c>
      <c r="P24" s="443" t="inlineStr">
        <is>
          <t>☐ Active</t>
        </is>
      </c>
    </row>
    <row r="25" ht="19.5" customHeight="1" s="248">
      <c r="B25" s="261" t="inlineStr">
        <is>
          <t>MN_TS_Local</t>
        </is>
      </c>
      <c r="C25" s="448" t="inlineStr">
        <is>
          <t>Meta</t>
        </is>
      </c>
      <c r="D25" s="298" t="inlineStr">
        <is>
          <t>MN TS</t>
        </is>
      </c>
      <c r="E25" s="379" t="n">
        <v>0</v>
      </c>
      <c r="F25" s="379" t="n">
        <v>0</v>
      </c>
      <c r="G25" s="379" t="n">
        <v>0</v>
      </c>
      <c r="H25" s="442">
        <f>IF(F25&gt;0,G25/F25,0)</f>
        <v/>
      </c>
      <c r="I25" s="379" t="n">
        <v>0</v>
      </c>
      <c r="J25" s="379" t="n">
        <v>0</v>
      </c>
      <c r="K25" s="303">
        <f>IF(I25&gt;0,E25/I25,0)</f>
        <v/>
      </c>
      <c r="L25" s="442">
        <f>IF(I25&gt;0,J25/I25,0)</f>
        <v/>
      </c>
      <c r="M25" s="379" t="n">
        <v>0</v>
      </c>
      <c r="N25" s="303">
        <f>IF(M25&gt;0,E25/M25,0)</f>
        <v/>
      </c>
      <c r="O25" s="379" t="n">
        <v>0</v>
      </c>
      <c r="P25" s="443" t="inlineStr">
        <is>
          <t>☐ Active</t>
        </is>
      </c>
    </row>
    <row r="26" ht="19.5" customHeight="1" s="248">
      <c r="B26" s="261" t="inlineStr">
        <is>
          <t>MN_MX_Local</t>
        </is>
      </c>
      <c r="C26" s="448" t="inlineStr">
        <is>
          <t>Meta</t>
        </is>
      </c>
      <c r="D26" s="298" t="inlineStr">
        <is>
          <t>MN MX</t>
        </is>
      </c>
      <c r="E26" s="379" t="n">
        <v>0</v>
      </c>
      <c r="F26" s="379" t="n">
        <v>0</v>
      </c>
      <c r="G26" s="379" t="n">
        <v>0</v>
      </c>
      <c r="H26" s="442">
        <f>IF(F26&gt;0,G26/F26,0)</f>
        <v/>
      </c>
      <c r="I26" s="379" t="n">
        <v>0</v>
      </c>
      <c r="J26" s="379" t="n">
        <v>0</v>
      </c>
      <c r="K26" s="303">
        <f>IF(I26&gt;0,E26/I26,0)</f>
        <v/>
      </c>
      <c r="L26" s="442">
        <f>IF(I26&gt;0,J26/I26,0)</f>
        <v/>
      </c>
      <c r="M26" s="379" t="n">
        <v>0</v>
      </c>
      <c r="N26" s="303">
        <f>IF(M26&gt;0,E26/M26,0)</f>
        <v/>
      </c>
      <c r="O26" s="379" t="n">
        <v>0</v>
      </c>
      <c r="P26" s="443" t="inlineStr">
        <is>
          <t>☐ Active</t>
        </is>
      </c>
    </row>
    <row r="27" ht="19.5" customHeight="1" s="248">
      <c r="B27" s="261" t="inlineStr">
        <is>
          <t>TH_GV_LeadGen</t>
        </is>
      </c>
      <c r="C27" s="448" t="inlineStr">
        <is>
          <t>Meta</t>
        </is>
      </c>
      <c r="D27" s="298" t="inlineStr">
        <is>
          <t>TH GV</t>
        </is>
      </c>
      <c r="E27" s="379" t="n">
        <v>0</v>
      </c>
      <c r="F27" s="379" t="n">
        <v>0</v>
      </c>
      <c r="G27" s="379" t="n">
        <v>0</v>
      </c>
      <c r="H27" s="442">
        <f>IF(F27&gt;0,G27/F27,0)</f>
        <v/>
      </c>
      <c r="I27" s="379" t="n">
        <v>0</v>
      </c>
      <c r="J27" s="379" t="n">
        <v>0</v>
      </c>
      <c r="K27" s="303">
        <f>IF(I27&gt;0,E27/I27,0)</f>
        <v/>
      </c>
      <c r="L27" s="442">
        <f>IF(I27&gt;0,J27/I27,0)</f>
        <v/>
      </c>
      <c r="M27" s="379" t="n">
        <v>0</v>
      </c>
      <c r="N27" s="303">
        <f>IF(M27&gt;0,E27/M27,0)</f>
        <v/>
      </c>
      <c r="O27" s="379" t="n">
        <v>0</v>
      </c>
      <c r="P27" s="443" t="inlineStr">
        <is>
          <t>☐ Active</t>
        </is>
      </c>
    </row>
    <row r="28" ht="19.5" customHeight="1" s="248">
      <c r="B28" s="261" t="inlineStr">
        <is>
          <t>TH_BT_LeadGen</t>
        </is>
      </c>
      <c r="C28" s="448" t="inlineStr">
        <is>
          <t>Meta</t>
        </is>
      </c>
      <c r="D28" s="298" t="inlineStr">
        <is>
          <t>TH BT</t>
        </is>
      </c>
      <c r="E28" s="379" t="n">
        <v>0</v>
      </c>
      <c r="F28" s="379" t="n">
        <v>0</v>
      </c>
      <c r="G28" s="379" t="n">
        <v>0</v>
      </c>
      <c r="H28" s="442">
        <f>IF(F28&gt;0,G28/F28,0)</f>
        <v/>
      </c>
      <c r="I28" s="379" t="n">
        <v>0</v>
      </c>
      <c r="J28" s="379" t="n">
        <v>0</v>
      </c>
      <c r="K28" s="303">
        <f>IF(I28&gt;0,E28/I28,0)</f>
        <v/>
      </c>
      <c r="L28" s="442">
        <f>IF(I28&gt;0,J28/I28,0)</f>
        <v/>
      </c>
      <c r="M28" s="379" t="n">
        <v>0</v>
      </c>
      <c r="N28" s="303">
        <f>IF(M28&gt;0,E28/M28,0)</f>
        <v/>
      </c>
      <c r="O28" s="379" t="n">
        <v>0</v>
      </c>
      <c r="P28" s="443" t="inlineStr">
        <is>
          <t>☐ Active</t>
        </is>
      </c>
    </row>
    <row r="29" ht="19.5" customHeight="1" s="248">
      <c r="B29" s="261" t="inlineStr">
        <is>
          <t>THCS_GV_Webinar</t>
        </is>
      </c>
      <c r="C29" s="448" t="inlineStr">
        <is>
          <t>Meta</t>
        </is>
      </c>
      <c r="D29" s="298" t="inlineStr">
        <is>
          <t>THCS GV</t>
        </is>
      </c>
      <c r="E29" s="379" t="n">
        <v>0</v>
      </c>
      <c r="F29" s="379" t="n">
        <v>0</v>
      </c>
      <c r="G29" s="379" t="n">
        <v>0</v>
      </c>
      <c r="H29" s="442">
        <f>IF(F29&gt;0,G29/F29,0)</f>
        <v/>
      </c>
      <c r="I29" s="379" t="n">
        <v>0</v>
      </c>
      <c r="J29" s="379" t="n">
        <v>0</v>
      </c>
      <c r="K29" s="303">
        <f>IF(I29&gt;0,E29/I29,0)</f>
        <v/>
      </c>
      <c r="L29" s="442">
        <f>IF(I29&gt;0,J29/I29,0)</f>
        <v/>
      </c>
      <c r="M29" s="379" t="n">
        <v>0</v>
      </c>
      <c r="N29" s="303">
        <f>IF(M29&gt;0,E29/M29,0)</f>
        <v/>
      </c>
      <c r="O29" s="379" t="n">
        <v>0</v>
      </c>
      <c r="P29" s="443" t="inlineStr">
        <is>
          <t>☐ Active</t>
        </is>
      </c>
    </row>
    <row r="30" ht="19.5" customHeight="1" s="248">
      <c r="B30" s="261" t="inlineStr">
        <is>
          <t>THPT_GV_LeadGen</t>
        </is>
      </c>
      <c r="C30" s="448" t="inlineStr">
        <is>
          <t>Meta</t>
        </is>
      </c>
      <c r="D30" s="298" t="inlineStr">
        <is>
          <t>THPT GV</t>
        </is>
      </c>
      <c r="E30" s="379" t="n">
        <v>0</v>
      </c>
      <c r="F30" s="379" t="n">
        <v>0</v>
      </c>
      <c r="G30" s="379" t="n">
        <v>0</v>
      </c>
      <c r="H30" s="442">
        <f>IF(F30&gt;0,G30/F30,0)</f>
        <v/>
      </c>
      <c r="I30" s="379" t="n">
        <v>0</v>
      </c>
      <c r="J30" s="379" t="n">
        <v>0</v>
      </c>
      <c r="K30" s="303">
        <f>IF(I30&gt;0,E30/I30,0)</f>
        <v/>
      </c>
      <c r="L30" s="442">
        <f>IF(I30&gt;0,J30/I30,0)</f>
        <v/>
      </c>
      <c r="M30" s="379" t="n">
        <v>0</v>
      </c>
      <c r="N30" s="303">
        <f>IF(M30&gt;0,E30/M30,0)</f>
        <v/>
      </c>
      <c r="O30" s="379" t="n">
        <v>0</v>
      </c>
      <c r="P30" s="443" t="inlineStr">
        <is>
          <t>☐ Active</t>
        </is>
      </c>
    </row>
    <row r="31" ht="19.5" customHeight="1" s="248">
      <c r="B31" s="261" t="inlineStr">
        <is>
          <t>THPT_GV_Webinar</t>
        </is>
      </c>
      <c r="C31" s="448" t="inlineStr">
        <is>
          <t>Meta</t>
        </is>
      </c>
      <c r="D31" s="298" t="inlineStr">
        <is>
          <t>THPT GV</t>
        </is>
      </c>
      <c r="E31" s="379" t="n">
        <v>0</v>
      </c>
      <c r="F31" s="379" t="n">
        <v>0</v>
      </c>
      <c r="G31" s="379" t="n">
        <v>0</v>
      </c>
      <c r="H31" s="442">
        <f>IF(F31&gt;0,G31/F31,0)</f>
        <v/>
      </c>
      <c r="I31" s="379" t="n">
        <v>0</v>
      </c>
      <c r="J31" s="379" t="n">
        <v>0</v>
      </c>
      <c r="K31" s="303">
        <f>IF(I31&gt;0,E31/I31,0)</f>
        <v/>
      </c>
      <c r="L31" s="442">
        <f>IF(I31&gt;0,J31/I31,0)</f>
        <v/>
      </c>
      <c r="M31" s="379" t="n">
        <v>0</v>
      </c>
      <c r="N31" s="303">
        <f>IF(M31&gt;0,E31/M31,0)</f>
        <v/>
      </c>
      <c r="O31" s="379" t="n">
        <v>0</v>
      </c>
      <c r="P31" s="443" t="inlineStr">
        <is>
          <t>☐ Active</t>
        </is>
      </c>
    </row>
    <row r="32" ht="19.5" customHeight="1" s="248">
      <c r="B32" s="261" t="inlineStr">
        <is>
          <t>RMKT_Meta_HotAudience</t>
        </is>
      </c>
      <c r="C32" s="448" t="inlineStr">
        <is>
          <t>Meta</t>
        </is>
      </c>
      <c r="D32" s="298" t="inlineStr">
        <is>
          <t>All</t>
        </is>
      </c>
      <c r="E32" s="379" t="n">
        <v>0</v>
      </c>
      <c r="F32" s="379" t="n">
        <v>0</v>
      </c>
      <c r="G32" s="379" t="n">
        <v>0</v>
      </c>
      <c r="H32" s="442">
        <f>IF(F32&gt;0,G32/F32,0)</f>
        <v/>
      </c>
      <c r="I32" s="379" t="n">
        <v>0</v>
      </c>
      <c r="J32" s="379" t="n">
        <v>0</v>
      </c>
      <c r="K32" s="303">
        <f>IF(I32&gt;0,E32/I32,0)</f>
        <v/>
      </c>
      <c r="L32" s="442">
        <f>IF(I32&gt;0,J32/I32,0)</f>
        <v/>
      </c>
      <c r="M32" s="379" t="n">
        <v>0</v>
      </c>
      <c r="N32" s="303">
        <f>IF(M32&gt;0,E32/M32,0)</f>
        <v/>
      </c>
      <c r="O32" s="379" t="n">
        <v>0</v>
      </c>
      <c r="P32" s="443" t="inlineStr">
        <is>
          <t>☐ Active</t>
        </is>
      </c>
    </row>
    <row r="33" ht="19.5" customHeight="1" s="248">
      <c r="B33" s="261" t="inlineStr">
        <is>
          <t>RMKT_Meta_VideoViews</t>
        </is>
      </c>
      <c r="C33" s="448" t="inlineStr">
        <is>
          <t>Meta</t>
        </is>
      </c>
      <c r="D33" s="298" t="inlineStr">
        <is>
          <t>All</t>
        </is>
      </c>
      <c r="E33" s="379" t="n">
        <v>0</v>
      </c>
      <c r="F33" s="379" t="n">
        <v>0</v>
      </c>
      <c r="G33" s="379" t="n">
        <v>0</v>
      </c>
      <c r="H33" s="442">
        <f>IF(F33&gt;0,G33/F33,0)</f>
        <v/>
      </c>
      <c r="I33" s="379" t="n">
        <v>0</v>
      </c>
      <c r="J33" s="379" t="n">
        <v>0</v>
      </c>
      <c r="K33" s="303">
        <f>IF(I33&gt;0,E33/I33,0)</f>
        <v/>
      </c>
      <c r="L33" s="442">
        <f>IF(I33&gt;0,J33/I33,0)</f>
        <v/>
      </c>
      <c r="M33" s="379" t="n">
        <v>0</v>
      </c>
      <c r="N33" s="303">
        <f>IF(M33&gt;0,E33/M33,0)</f>
        <v/>
      </c>
      <c r="O33" s="379" t="n">
        <v>0</v>
      </c>
      <c r="P33" s="443" t="inlineStr">
        <is>
          <t>☐ Active</t>
        </is>
      </c>
    </row>
    <row r="34" ht="19.5" customHeight="1" s="248">
      <c r="B34" s="449" t="inlineStr">
        <is>
          <t>Spark_Testi_MN</t>
        </is>
      </c>
      <c r="C34" s="450" t="inlineStr">
        <is>
          <t>TikTok</t>
        </is>
      </c>
      <c r="D34" s="451" t="inlineStr">
        <is>
          <t>MN All</t>
        </is>
      </c>
      <c r="E34" s="379" t="n">
        <v>0</v>
      </c>
      <c r="F34" s="379" t="n">
        <v>0</v>
      </c>
      <c r="G34" s="379" t="n">
        <v>0</v>
      </c>
      <c r="H34" s="442">
        <f>IF(F34&gt;0,G34/F34,0)</f>
        <v/>
      </c>
      <c r="I34" s="379" t="n">
        <v>0</v>
      </c>
      <c r="J34" s="379" t="n">
        <v>0</v>
      </c>
      <c r="K34" s="303">
        <f>IF(I34&gt;0,E34/I34,0)</f>
        <v/>
      </c>
      <c r="L34" s="442">
        <f>IF(I34&gt;0,J34/I34,0)</f>
        <v/>
      </c>
      <c r="M34" s="379" t="n">
        <v>0</v>
      </c>
      <c r="N34" s="303">
        <f>IF(M34&gt;0,E34/M34,0)</f>
        <v/>
      </c>
      <c r="O34" s="379" t="n">
        <v>0</v>
      </c>
      <c r="P34" s="443" t="inlineStr">
        <is>
          <t>☐ Active</t>
        </is>
      </c>
    </row>
    <row r="35" ht="19.5" customHeight="1" s="248">
      <c r="B35" s="449" t="inlineStr">
        <is>
          <t>Spark_Testi_TH</t>
        </is>
      </c>
      <c r="C35" s="450" t="inlineStr">
        <is>
          <t>TikTok</t>
        </is>
      </c>
      <c r="D35" s="451" t="inlineStr">
        <is>
          <t>TH All</t>
        </is>
      </c>
      <c r="E35" s="379" t="n">
        <v>0</v>
      </c>
      <c r="F35" s="379" t="n">
        <v>0</v>
      </c>
      <c r="G35" s="379" t="n">
        <v>0</v>
      </c>
      <c r="H35" s="442">
        <f>IF(F35&gt;0,G35/F35,0)</f>
        <v/>
      </c>
      <c r="I35" s="379" t="n">
        <v>0</v>
      </c>
      <c r="J35" s="379" t="n">
        <v>0</v>
      </c>
      <c r="K35" s="303">
        <f>IF(I35&gt;0,E35/I35,0)</f>
        <v/>
      </c>
      <c r="L35" s="442">
        <f>IF(I35&gt;0,J35/I35,0)</f>
        <v/>
      </c>
      <c r="M35" s="379" t="n">
        <v>0</v>
      </c>
      <c r="N35" s="303">
        <f>IF(M35&gt;0,E35/M35,0)</f>
        <v/>
      </c>
      <c r="O35" s="379" t="n">
        <v>0</v>
      </c>
      <c r="P35" s="443" t="inlineStr">
        <is>
          <t>☐ Active</t>
        </is>
      </c>
    </row>
    <row r="36" ht="19.5" customHeight="1" s="248">
      <c r="B36" s="449" t="inlineStr">
        <is>
          <t>Spark_Testi_THCS</t>
        </is>
      </c>
      <c r="C36" s="450" t="inlineStr">
        <is>
          <t>TikTok</t>
        </is>
      </c>
      <c r="D36" s="451" t="inlineStr">
        <is>
          <t>THCS GV</t>
        </is>
      </c>
      <c r="E36" s="379" t="n">
        <v>0</v>
      </c>
      <c r="F36" s="379" t="n">
        <v>0</v>
      </c>
      <c r="G36" s="379" t="n">
        <v>0</v>
      </c>
      <c r="H36" s="442">
        <f>IF(F36&gt;0,G36/F36,0)</f>
        <v/>
      </c>
      <c r="I36" s="379" t="n">
        <v>0</v>
      </c>
      <c r="J36" s="379" t="n">
        <v>0</v>
      </c>
      <c r="K36" s="303">
        <f>IF(I36&gt;0,E36/I36,0)</f>
        <v/>
      </c>
      <c r="L36" s="442">
        <f>IF(I36&gt;0,J36/I36,0)</f>
        <v/>
      </c>
      <c r="M36" s="379" t="n">
        <v>0</v>
      </c>
      <c r="N36" s="303">
        <f>IF(M36&gt;0,E36/M36,0)</f>
        <v/>
      </c>
      <c r="O36" s="379" t="n">
        <v>0</v>
      </c>
      <c r="P36" s="443" t="inlineStr">
        <is>
          <t>☐ Active</t>
        </is>
      </c>
    </row>
    <row r="37" ht="19.5" customHeight="1" s="248">
      <c r="B37" s="449" t="inlineStr">
        <is>
          <t>Spark_Testi_THPT</t>
        </is>
      </c>
      <c r="C37" s="450" t="inlineStr">
        <is>
          <t>TikTok</t>
        </is>
      </c>
      <c r="D37" s="451" t="inlineStr">
        <is>
          <t>THPT GV</t>
        </is>
      </c>
      <c r="E37" s="379" t="n">
        <v>0</v>
      </c>
      <c r="F37" s="379" t="n">
        <v>0</v>
      </c>
      <c r="G37" s="379" t="n">
        <v>0</v>
      </c>
      <c r="H37" s="442">
        <f>IF(F37&gt;0,G37/F37,0)</f>
        <v/>
      </c>
      <c r="I37" s="379" t="n">
        <v>0</v>
      </c>
      <c r="J37" s="379" t="n">
        <v>0</v>
      </c>
      <c r="K37" s="303">
        <f>IF(I37&gt;0,E37/I37,0)</f>
        <v/>
      </c>
      <c r="L37" s="442">
        <f>IF(I37&gt;0,J37/I37,0)</f>
        <v/>
      </c>
      <c r="M37" s="379" t="n">
        <v>0</v>
      </c>
      <c r="N37" s="303">
        <f>IF(M37&gt;0,E37/M37,0)</f>
        <v/>
      </c>
      <c r="O37" s="379" t="n">
        <v>0</v>
      </c>
      <c r="P37" s="443" t="inlineStr">
        <is>
          <t>☐ Active</t>
        </is>
      </c>
    </row>
    <row r="38" ht="19.5" customHeight="1" s="248">
      <c r="B38" s="449" t="inlineStr">
        <is>
          <t>TT_THPT_LeadGen</t>
        </is>
      </c>
      <c r="C38" s="450" t="inlineStr">
        <is>
          <t>TikTok</t>
        </is>
      </c>
      <c r="D38" s="451" t="inlineStr">
        <is>
          <t>THPT GV</t>
        </is>
      </c>
      <c r="E38" s="379" t="n">
        <v>0</v>
      </c>
      <c r="F38" s="379" t="n">
        <v>0</v>
      </c>
      <c r="G38" s="379" t="n">
        <v>0</v>
      </c>
      <c r="H38" s="442">
        <f>IF(F38&gt;0,G38/F38,0)</f>
        <v/>
      </c>
      <c r="I38" s="379" t="n">
        <v>0</v>
      </c>
      <c r="J38" s="379" t="n">
        <v>0</v>
      </c>
      <c r="K38" s="303">
        <f>IF(I38&gt;0,E38/I38,0)</f>
        <v/>
      </c>
      <c r="L38" s="442">
        <f>IF(I38&gt;0,J38/I38,0)</f>
        <v/>
      </c>
      <c r="M38" s="379" t="n">
        <v>0</v>
      </c>
      <c r="N38" s="303">
        <f>IF(M38&gt;0,E38/M38,0)</f>
        <v/>
      </c>
      <c r="O38" s="379" t="n">
        <v>0</v>
      </c>
      <c r="P38" s="443" t="inlineStr">
        <is>
          <t>☐ Active</t>
        </is>
      </c>
    </row>
    <row r="39" ht="19.5" customHeight="1" s="248">
      <c r="B39" s="283" t="inlineStr">
        <is>
          <t>Zalo_MN_Local</t>
        </is>
      </c>
      <c r="C39" s="452" t="inlineStr">
        <is>
          <t>Zalo</t>
        </is>
      </c>
      <c r="D39" s="287" t="inlineStr">
        <is>
          <t>MN All</t>
        </is>
      </c>
      <c r="E39" s="379" t="n">
        <v>0</v>
      </c>
      <c r="F39" s="379" t="n">
        <v>0</v>
      </c>
      <c r="G39" s="379" t="n">
        <v>0</v>
      </c>
      <c r="H39" s="442">
        <f>IF(F39&gt;0,G39/F39,0)</f>
        <v/>
      </c>
      <c r="I39" s="379" t="n">
        <v>0</v>
      </c>
      <c r="J39" s="379" t="n">
        <v>0</v>
      </c>
      <c r="K39" s="303">
        <f>IF(I39&gt;0,E39/I39,0)</f>
        <v/>
      </c>
      <c r="L39" s="442">
        <f>IF(I39&gt;0,J39/I39,0)</f>
        <v/>
      </c>
      <c r="M39" s="379" t="n">
        <v>0</v>
      </c>
      <c r="N39" s="303">
        <f>IF(M39&gt;0,E39/M39,0)</f>
        <v/>
      </c>
      <c r="O39" s="379" t="n">
        <v>0</v>
      </c>
      <c r="P39" s="443" t="inlineStr">
        <is>
          <t>☐ Active</t>
        </is>
      </c>
    </row>
    <row r="40" ht="19.5" customHeight="1" s="248">
      <c r="B40" s="283" t="inlineStr">
        <is>
          <t>Zalo_TH_Local</t>
        </is>
      </c>
      <c r="C40" s="452" t="inlineStr">
        <is>
          <t>Zalo</t>
        </is>
      </c>
      <c r="D40" s="287" t="inlineStr">
        <is>
          <t>TH All</t>
        </is>
      </c>
      <c r="E40" s="379" t="n">
        <v>0</v>
      </c>
      <c r="F40" s="379" t="n">
        <v>0</v>
      </c>
      <c r="G40" s="379" t="n">
        <v>0</v>
      </c>
      <c r="H40" s="442">
        <f>IF(F40&gt;0,G40/F40,0)</f>
        <v/>
      </c>
      <c r="I40" s="379" t="n">
        <v>0</v>
      </c>
      <c r="J40" s="379" t="n">
        <v>0</v>
      </c>
      <c r="K40" s="303">
        <f>IF(I40&gt;0,E40/I40,0)</f>
        <v/>
      </c>
      <c r="L40" s="442">
        <f>IF(I40&gt;0,J40/I40,0)</f>
        <v/>
      </c>
      <c r="M40" s="379" t="n">
        <v>0</v>
      </c>
      <c r="N40" s="303">
        <f>IF(M40&gt;0,E40/M40,0)</f>
        <v/>
      </c>
      <c r="O40" s="379" t="n">
        <v>0</v>
      </c>
      <c r="P40" s="443" t="inlineStr">
        <is>
          <t>☐ Active</t>
        </is>
      </c>
    </row>
    <row r="41" ht="19.5" customHeight="1" s="248">
      <c r="B41" s="283" t="inlineStr">
        <is>
          <t>Zalo_THCS_Webinar</t>
        </is>
      </c>
      <c r="C41" s="452" t="inlineStr">
        <is>
          <t>Zalo</t>
        </is>
      </c>
      <c r="D41" s="287" t="inlineStr">
        <is>
          <t>THCS GV</t>
        </is>
      </c>
      <c r="E41" s="379" t="n">
        <v>0</v>
      </c>
      <c r="F41" s="379" t="n">
        <v>0</v>
      </c>
      <c r="G41" s="379" t="n">
        <v>0</v>
      </c>
      <c r="H41" s="442">
        <f>IF(F41&gt;0,G41/F41,0)</f>
        <v/>
      </c>
      <c r="I41" s="379" t="n">
        <v>0</v>
      </c>
      <c r="J41" s="379" t="n">
        <v>0</v>
      </c>
      <c r="K41" s="303">
        <f>IF(I41&gt;0,E41/I41,0)</f>
        <v/>
      </c>
      <c r="L41" s="442">
        <f>IF(I41&gt;0,J41/I41,0)</f>
        <v/>
      </c>
      <c r="M41" s="379" t="n">
        <v>0</v>
      </c>
      <c r="N41" s="303">
        <f>IF(M41&gt;0,E41/M41,0)</f>
        <v/>
      </c>
      <c r="O41" s="379" t="n">
        <v>0</v>
      </c>
      <c r="P41" s="443" t="inlineStr">
        <is>
          <t>☐ Active</t>
        </is>
      </c>
    </row>
    <row r="42" ht="19.5" customHeight="1" s="248">
      <c r="B42" s="283" t="inlineStr">
        <is>
          <t>Zalo_THPT_Webinar</t>
        </is>
      </c>
      <c r="C42" s="452" t="inlineStr">
        <is>
          <t>Zalo</t>
        </is>
      </c>
      <c r="D42" s="287" t="inlineStr">
        <is>
          <t>THPT GV</t>
        </is>
      </c>
      <c r="E42" s="379" t="n">
        <v>0</v>
      </c>
      <c r="F42" s="379" t="n">
        <v>0</v>
      </c>
      <c r="G42" s="379" t="n">
        <v>0</v>
      </c>
      <c r="H42" s="442">
        <f>IF(F42&gt;0,G42/F42,0)</f>
        <v/>
      </c>
      <c r="I42" s="379" t="n">
        <v>0</v>
      </c>
      <c r="J42" s="379" t="n">
        <v>0</v>
      </c>
      <c r="K42" s="303">
        <f>IF(I42&gt;0,E42/I42,0)</f>
        <v/>
      </c>
      <c r="L42" s="442">
        <f>IF(I42&gt;0,J42/I42,0)</f>
        <v/>
      </c>
      <c r="M42" s="379" t="n">
        <v>0</v>
      </c>
      <c r="N42" s="303">
        <f>IF(M42&gt;0,E42/M42,0)</f>
        <v/>
      </c>
      <c r="O42" s="379" t="n">
        <v>0</v>
      </c>
      <c r="P42" s="443" t="inlineStr">
        <is>
          <t>☐ Active</t>
        </is>
      </c>
    </row>
    <row r="43" ht="24" customHeight="1" s="248">
      <c r="B43" s="453" t="inlineStr">
        <is>
          <t>📊 TỔNG CỘNG</t>
        </is>
      </c>
      <c r="E43" s="454">
        <f>SUM(E4:E42)</f>
        <v/>
      </c>
      <c r="F43" s="454">
        <f>SUM(F4:F42)</f>
        <v/>
      </c>
      <c r="G43" s="454">
        <f>SUM(G4:G42)</f>
        <v/>
      </c>
      <c r="I43" s="454">
        <f>SUM(I4:I42)</f>
        <v/>
      </c>
      <c r="J43" s="454">
        <f>SUM(J4:J42)</f>
        <v/>
      </c>
      <c r="M43" s="454">
        <f>SUM(M4:M42)</f>
        <v/>
      </c>
      <c r="O43" s="454">
        <f>SUM(O4:O42)</f>
        <v/>
      </c>
    </row>
    <row r="46">
      <c r="A46" s="492" t="inlineStr">
        <is>
          <t>CHI TIẾT 30 CHIẾN DỊCH QUẢNG CÁO</t>
        </is>
      </c>
    </row>
    <row r="48">
      <c r="A48" s="506" t="inlineStr">
        <is>
          <t>Tên Chiến Dịch</t>
        </is>
      </c>
      <c r="B48" s="506" t="inlineStr">
        <is>
          <t>Channel</t>
        </is>
      </c>
      <c r="C48" s="506" t="inlineStr">
        <is>
          <t>Ngày Bắt Đầu</t>
        </is>
      </c>
      <c r="D48" s="506" t="inlineStr">
        <is>
          <t>Ngày Kết Thúc</t>
        </is>
      </c>
      <c r="E48" s="506" t="inlineStr">
        <is>
          <t>Budget (VND)</t>
        </is>
      </c>
      <c r="F48" s="506" t="inlineStr">
        <is>
          <t>Target Leads</t>
        </is>
      </c>
      <c r="G48" s="506" t="inlineStr">
        <is>
          <t>Actual Leads</t>
        </is>
      </c>
      <c r="H48" s="506" t="inlineStr">
        <is>
          <t>CPA Target (VND)</t>
        </is>
      </c>
      <c r="I48" s="506" t="inlineStr">
        <is>
          <t>CPA Actual (VND)</t>
        </is>
      </c>
      <c r="J48" s="506" t="inlineStr">
        <is>
          <t>Status</t>
        </is>
      </c>
      <c r="K48" s="506" t="inlineStr">
        <is>
          <t>Ghi Chú</t>
        </is>
      </c>
    </row>
    <row r="49">
      <c r="A49" s="507" t="inlineStr">
        <is>
          <t>T4 Launch - Meta Awareness</t>
        </is>
      </c>
      <c r="B49" s="507" t="inlineStr">
        <is>
          <t>Meta Ads</t>
        </is>
      </c>
      <c r="C49" s="507" t="inlineStr">
        <is>
          <t>2026-04-01</t>
        </is>
      </c>
      <c r="D49" s="507" t="inlineStr">
        <is>
          <t>2026-04-15</t>
        </is>
      </c>
      <c r="E49" s="508" t="n">
        <v>15000000</v>
      </c>
      <c r="F49" s="507" t="n">
        <v>150</v>
      </c>
      <c r="G49" s="507" t="n">
        <v>145</v>
      </c>
      <c r="H49" s="508" t="n">
        <v>100000</v>
      </c>
      <c r="I49" s="508" t="n">
        <v>103448</v>
      </c>
      <c r="J49" s="507" t="inlineStr">
        <is>
          <t>Completed</t>
        </is>
      </c>
      <c r="K49" s="507" t="inlineStr">
        <is>
          <t>Initial awareness push</t>
        </is>
      </c>
    </row>
    <row r="50">
      <c r="A50" s="507" t="inlineStr">
        <is>
          <t>T4 Launch - Google Brand</t>
        </is>
      </c>
      <c r="B50" s="507" t="inlineStr">
        <is>
          <t>Google Ads</t>
        </is>
      </c>
      <c r="C50" s="507" t="inlineStr">
        <is>
          <t>2026-04-01</t>
        </is>
      </c>
      <c r="D50" s="507" t="inlineStr">
        <is>
          <t>2026-04-30</t>
        </is>
      </c>
      <c r="E50" s="508" t="n">
        <v>12000000</v>
      </c>
      <c r="F50" s="507" t="n">
        <v>180</v>
      </c>
      <c r="G50" s="507" t="n">
        <v>175</v>
      </c>
      <c r="H50" s="508" t="n">
        <v>66666</v>
      </c>
      <c r="I50" s="508" t="n">
        <v>68571</v>
      </c>
      <c r="J50" s="507" t="inlineStr">
        <is>
          <t>Completed</t>
        </is>
      </c>
      <c r="K50" s="507" t="inlineStr">
        <is>
          <t>Brand keywords, high intent</t>
        </is>
      </c>
    </row>
    <row r="51">
      <c r="A51" s="507" t="inlineStr">
        <is>
          <t>T4 Zalo OA Launch</t>
        </is>
      </c>
      <c r="B51" s="507" t="inlineStr">
        <is>
          <t>Zalo Ads</t>
        </is>
      </c>
      <c r="C51" s="507" t="inlineStr">
        <is>
          <t>2026-04-05</t>
        </is>
      </c>
      <c r="D51" s="507" t="inlineStr">
        <is>
          <t>2026-04-30</t>
        </is>
      </c>
      <c r="E51" s="508" t="n">
        <v>3000000</v>
      </c>
      <c r="F51" s="507" t="n">
        <v>80</v>
      </c>
      <c r="G51" s="507" t="n">
        <v>72</v>
      </c>
      <c r="H51" s="508" t="n">
        <v>37500</v>
      </c>
      <c r="I51" s="508" t="n">
        <v>41667</v>
      </c>
      <c r="J51" s="507" t="inlineStr">
        <is>
          <t>Completed</t>
        </is>
      </c>
      <c r="K51" s="507" t="inlineStr">
        <is>
          <t>OA follower building</t>
        </is>
      </c>
    </row>
    <row r="52">
      <c r="A52" s="507" t="inlineStr">
        <is>
          <t>T5 Google Search - Generic</t>
        </is>
      </c>
      <c r="B52" s="507" t="inlineStr">
        <is>
          <t>Google Ads</t>
        </is>
      </c>
      <c r="C52" s="507" t="inlineStr">
        <is>
          <t>2026-05-01</t>
        </is>
      </c>
      <c r="D52" s="507" t="inlineStr">
        <is>
          <t>2026-05-31</t>
        </is>
      </c>
      <c r="E52" s="508" t="n">
        <v>18000000</v>
      </c>
      <c r="F52" s="507" t="n">
        <v>280</v>
      </c>
      <c r="G52" s="507" t="n">
        <v>295</v>
      </c>
      <c r="H52" s="508" t="n">
        <v>64285</v>
      </c>
      <c r="I52" s="508" t="n">
        <v>61017</v>
      </c>
      <c r="J52" s="507" t="inlineStr">
        <is>
          <t>Completed</t>
        </is>
      </c>
      <c r="K52" s="507" t="inlineStr">
        <is>
          <t>Strong performance, scaled</t>
        </is>
      </c>
    </row>
    <row r="53">
      <c r="A53" s="507" t="inlineStr">
        <is>
          <t>T5 Meta - Carousel Ads</t>
        </is>
      </c>
      <c r="B53" s="507" t="inlineStr">
        <is>
          <t>Meta Ads</t>
        </is>
      </c>
      <c r="C53" s="507" t="inlineStr">
        <is>
          <t>2026-05-01</t>
        </is>
      </c>
      <c r="D53" s="507" t="inlineStr">
        <is>
          <t>2026-05-31</t>
        </is>
      </c>
      <c r="E53" s="508" t="n">
        <v>20000000</v>
      </c>
      <c r="F53" s="507" t="n">
        <v>220</v>
      </c>
      <c r="G53" s="507" t="n">
        <v>198</v>
      </c>
      <c r="H53" s="508" t="n">
        <v>90909</v>
      </c>
      <c r="I53" s="508" t="n">
        <v>101010</v>
      </c>
      <c r="J53" s="507" t="inlineStr">
        <is>
          <t>Completed</t>
        </is>
      </c>
      <c r="K53" s="507" t="inlineStr">
        <is>
          <t>Test &amp; learn phase</t>
        </is>
      </c>
    </row>
    <row r="54">
      <c r="A54" s="507" t="inlineStr">
        <is>
          <t>T5 TikTok Seeding</t>
        </is>
      </c>
      <c r="B54" s="507" t="inlineStr">
        <is>
          <t>TikTok Ads</t>
        </is>
      </c>
      <c r="C54" s="507" t="inlineStr">
        <is>
          <t>2026-05-15</t>
        </is>
      </c>
      <c r="D54" s="507" t="inlineStr">
        <is>
          <t>2026-05-31</t>
        </is>
      </c>
      <c r="E54" s="508" t="n">
        <v>5000000</v>
      </c>
      <c r="F54" s="507" t="n">
        <v>60</v>
      </c>
      <c r="G54" s="507" t="n">
        <v>48</v>
      </c>
      <c r="H54" s="508" t="n">
        <v>83333</v>
      </c>
      <c r="I54" s="508" t="n">
        <v>104167</v>
      </c>
      <c r="J54" s="507" t="inlineStr">
        <is>
          <t>Completed</t>
        </is>
      </c>
      <c r="K54" s="507" t="inlineStr">
        <is>
          <t>Organic seeding, low volume</t>
        </is>
      </c>
    </row>
    <row r="55">
      <c r="A55" s="507" t="inlineStr">
        <is>
          <t>T5 Influencer Outreach</t>
        </is>
      </c>
      <c r="B55" s="507" t="inlineStr">
        <is>
          <t>Influencers</t>
        </is>
      </c>
      <c r="C55" s="507" t="inlineStr">
        <is>
          <t>2026-05-01</t>
        </is>
      </c>
      <c r="D55" s="507" t="inlineStr">
        <is>
          <t>2026-05-31</t>
        </is>
      </c>
      <c r="E55" s="508" t="n">
        <v>10000000</v>
      </c>
      <c r="F55" s="507" t="n">
        <v>100</v>
      </c>
      <c r="G55" s="507" t="n">
        <v>95</v>
      </c>
      <c r="H55" s="508" t="n">
        <v>100000</v>
      </c>
      <c r="I55" s="508" t="n">
        <v>105263</v>
      </c>
      <c r="J55" s="507" t="inlineStr">
        <is>
          <t>Completed</t>
        </is>
      </c>
      <c r="K55" s="507" t="inlineStr">
        <is>
          <t>Content creation partnerships</t>
        </is>
      </c>
    </row>
    <row r="56">
      <c r="A56" s="507" t="inlineStr">
        <is>
          <t>T5 Webinar #1</t>
        </is>
      </c>
      <c r="B56" s="507" t="inlineStr">
        <is>
          <t>Events</t>
        </is>
      </c>
      <c r="C56" s="507" t="inlineStr">
        <is>
          <t>2026-05-20</t>
        </is>
      </c>
      <c r="D56" s="507" t="inlineStr">
        <is>
          <t>2026-05-20</t>
        </is>
      </c>
      <c r="E56" s="508" t="n">
        <v>2000000</v>
      </c>
      <c r="F56" s="507" t="n">
        <v>200</v>
      </c>
      <c r="G56" s="507" t="n">
        <v>187</v>
      </c>
      <c r="H56" s="508" t="n">
        <v>10000</v>
      </c>
      <c r="I56" s="508" t="n">
        <v>10695</v>
      </c>
      <c r="J56" s="507" t="inlineStr">
        <is>
          <t>Completed</t>
        </is>
      </c>
      <c r="K56" s="507" t="inlineStr">
        <is>
          <t>Free webinar, lead magnet</t>
        </is>
      </c>
    </row>
    <row r="57">
      <c r="A57" s="507" t="inlineStr">
        <is>
          <t>T6 Google Ads - Scaled</t>
        </is>
      </c>
      <c r="B57" s="507" t="inlineStr">
        <is>
          <t>Google Ads</t>
        </is>
      </c>
      <c r="C57" s="507" t="inlineStr">
        <is>
          <t>2026-06-01</t>
        </is>
      </c>
      <c r="D57" s="507" t="inlineStr">
        <is>
          <t>2026-06-30</t>
        </is>
      </c>
      <c r="E57" s="508" t="n">
        <v>25000000</v>
      </c>
      <c r="F57" s="507" t="n">
        <v>400</v>
      </c>
      <c r="G57" s="507" t="n">
        <v>425</v>
      </c>
      <c r="H57" s="508" t="n">
        <v>62500</v>
      </c>
      <c r="I57" s="508" t="n">
        <v>58823</v>
      </c>
      <c r="J57" s="507" t="inlineStr">
        <is>
          <t>Completed</t>
        </is>
      </c>
      <c r="K57" s="507" t="inlineStr">
        <is>
          <t>6% increase in conversions</t>
        </is>
      </c>
    </row>
    <row r="58">
      <c r="A58" s="507" t="inlineStr">
        <is>
          <t>T6 Meta - Video Ads</t>
        </is>
      </c>
      <c r="B58" s="507" t="inlineStr">
        <is>
          <t>Meta Ads</t>
        </is>
      </c>
      <c r="C58" s="507" t="inlineStr">
        <is>
          <t>2026-06-01</t>
        </is>
      </c>
      <c r="D58" s="507" t="inlineStr">
        <is>
          <t>2026-06-30</t>
        </is>
      </c>
      <c r="E58" s="508" t="n">
        <v>22000000</v>
      </c>
      <c r="F58" s="507" t="n">
        <v>250</v>
      </c>
      <c r="G58" s="507" t="n">
        <v>268</v>
      </c>
      <c r="H58" s="508" t="n">
        <v>88000</v>
      </c>
      <c r="I58" s="508" t="n">
        <v>82089</v>
      </c>
      <c r="J58" s="507" t="inlineStr">
        <is>
          <t>Completed</t>
        </is>
      </c>
      <c r="K58" s="507" t="inlineStr">
        <is>
          <t>Video content outperformed</t>
        </is>
      </c>
    </row>
    <row r="59">
      <c r="A59" s="507" t="inlineStr">
        <is>
          <t>T6 TikTok - Scale</t>
        </is>
      </c>
      <c r="B59" s="507" t="inlineStr">
        <is>
          <t>TikTok Ads</t>
        </is>
      </c>
      <c r="C59" s="507" t="inlineStr">
        <is>
          <t>2026-06-01</t>
        </is>
      </c>
      <c r="D59" s="507" t="inlineStr">
        <is>
          <t>2026-06-30</t>
        </is>
      </c>
      <c r="E59" s="508" t="n">
        <v>8000000</v>
      </c>
      <c r="F59" s="507" t="n">
        <v>100</v>
      </c>
      <c r="G59" s="507" t="n">
        <v>110</v>
      </c>
      <c r="H59" s="508" t="n">
        <v>80000</v>
      </c>
      <c r="I59" s="508" t="n">
        <v>72727</v>
      </c>
      <c r="J59" s="507" t="inlineStr">
        <is>
          <t>Completed</t>
        </is>
      </c>
      <c r="K59" s="507" t="inlineStr">
        <is>
          <t>Better hook = better performance</t>
        </is>
      </c>
    </row>
    <row r="60">
      <c r="A60" s="507" t="inlineStr">
        <is>
          <t>T6 Zalo - Bulk Message</t>
        </is>
      </c>
      <c r="B60" s="507" t="inlineStr">
        <is>
          <t>Zalo Ads</t>
        </is>
      </c>
      <c r="C60" s="507" t="inlineStr">
        <is>
          <t>2026-06-01</t>
        </is>
      </c>
      <c r="D60" s="507" t="inlineStr">
        <is>
          <t>2026-06-30</t>
        </is>
      </c>
      <c r="E60" s="508" t="n">
        <v>5000000</v>
      </c>
      <c r="F60" s="507" t="n">
        <v>120</v>
      </c>
      <c r="G60" s="507" t="n">
        <v>138</v>
      </c>
      <c r="H60" s="508" t="n">
        <v>41666</v>
      </c>
      <c r="I60" s="508" t="n">
        <v>36231</v>
      </c>
      <c r="J60" s="507" t="inlineStr">
        <is>
          <t>Completed</t>
        </is>
      </c>
      <c r="K60" s="507" t="inlineStr">
        <is>
          <t>High engagement rate 18%</t>
        </is>
      </c>
    </row>
    <row r="61">
      <c r="A61" s="507" t="inlineStr">
        <is>
          <t>T6 SMS Campaign</t>
        </is>
      </c>
      <c r="B61" s="507" t="inlineStr">
        <is>
          <t>SMS</t>
        </is>
      </c>
      <c r="C61" s="507" t="inlineStr">
        <is>
          <t>2026-06-01</t>
        </is>
      </c>
      <c r="D61" s="507" t="inlineStr">
        <is>
          <t>2026-06-30</t>
        </is>
      </c>
      <c r="E61" s="508" t="n">
        <v>3000000</v>
      </c>
      <c r="F61" s="507" t="n">
        <v>100</v>
      </c>
      <c r="G61" s="507" t="n">
        <v>92</v>
      </c>
      <c r="H61" s="508" t="n">
        <v>30000</v>
      </c>
      <c r="I61" s="508" t="n">
        <v>32608</v>
      </c>
      <c r="J61" s="507" t="inlineStr">
        <is>
          <t>Completed</t>
        </is>
      </c>
      <c r="K61" s="507" t="inlineStr">
        <is>
          <t>Daily SMS sequences</t>
        </is>
      </c>
    </row>
    <row r="62">
      <c r="A62" s="507" t="inlineStr">
        <is>
          <t>T6 Email Drip</t>
        </is>
      </c>
      <c r="B62" s="507" t="inlineStr">
        <is>
          <t>Email</t>
        </is>
      </c>
      <c r="C62" s="507" t="inlineStr">
        <is>
          <t>2026-06-01</t>
        </is>
      </c>
      <c r="D62" s="507" t="inlineStr">
        <is>
          <t>2026-06-30</t>
        </is>
      </c>
      <c r="E62" s="508" t="n">
        <v>1000000</v>
      </c>
      <c r="F62" s="507" t="n">
        <v>150</v>
      </c>
      <c r="G62" s="507" t="n">
        <v>156</v>
      </c>
      <c r="H62" s="508" t="n">
        <v>6666</v>
      </c>
      <c r="I62" s="508" t="n">
        <v>6410</v>
      </c>
      <c r="J62" s="507" t="inlineStr">
        <is>
          <t>Completed</t>
        </is>
      </c>
      <c r="K62" s="507" t="inlineStr">
        <is>
          <t>Warm list, high engagement</t>
        </is>
      </c>
    </row>
    <row r="63">
      <c r="A63" s="507" t="inlineStr">
        <is>
          <t>T6 Google Display - Remarket</t>
        </is>
      </c>
      <c r="B63" s="507" t="inlineStr">
        <is>
          <t>Google Display</t>
        </is>
      </c>
      <c r="C63" s="507" t="inlineStr">
        <is>
          <t>2026-06-01</t>
        </is>
      </c>
      <c r="D63" s="507" t="inlineStr">
        <is>
          <t>2026-06-30</t>
        </is>
      </c>
      <c r="E63" s="508" t="n">
        <v>6000000</v>
      </c>
      <c r="F63" s="507" t="n">
        <v>120</v>
      </c>
      <c r="G63" s="507" t="n">
        <v>135</v>
      </c>
      <c r="H63" s="508" t="n">
        <v>50000</v>
      </c>
      <c r="I63" s="508" t="n">
        <v>44444</v>
      </c>
      <c r="J63" s="507" t="inlineStr">
        <is>
          <t>Completed</t>
        </is>
      </c>
      <c r="K63" s="507" t="inlineStr">
        <is>
          <t>Pixel-based audience</t>
        </is>
      </c>
    </row>
    <row r="64">
      <c r="A64" s="507" t="inlineStr">
        <is>
          <t>T6 LinkedIn Ads</t>
        </is>
      </c>
      <c r="B64" s="507" t="inlineStr">
        <is>
          <t>LinkedIn</t>
        </is>
      </c>
      <c r="C64" s="507" t="inlineStr">
        <is>
          <t>2026-06-15</t>
        </is>
      </c>
      <c r="D64" s="507" t="inlineStr">
        <is>
          <t>2026-06-30</t>
        </is>
      </c>
      <c r="E64" s="508" t="n">
        <v>4000000</v>
      </c>
      <c r="F64" s="507" t="n">
        <v>80</v>
      </c>
      <c r="G64" s="507" t="n">
        <v>68</v>
      </c>
      <c r="H64" s="508" t="n">
        <v>50000</v>
      </c>
      <c r="I64" s="508" t="n">
        <v>58823</v>
      </c>
      <c r="J64" s="507" t="inlineStr">
        <is>
          <t>Completed</t>
        </is>
      </c>
      <c r="K64" s="507" t="inlineStr">
        <is>
          <t>B2P targeting, lower volume</t>
        </is>
      </c>
    </row>
    <row r="65">
      <c r="A65" s="507" t="inlineStr">
        <is>
          <t>T6 Webinar #2</t>
        </is>
      </c>
      <c r="B65" s="507" t="inlineStr">
        <is>
          <t>Events</t>
        </is>
      </c>
      <c r="C65" s="507" t="inlineStr">
        <is>
          <t>2026-06-25</t>
        </is>
      </c>
      <c r="D65" s="507" t="inlineStr">
        <is>
          <t>2026-06-25</t>
        </is>
      </c>
      <c r="E65" s="508" t="n">
        <v>2000000</v>
      </c>
      <c r="F65" s="507" t="n">
        <v>250</v>
      </c>
      <c r="G65" s="507" t="n">
        <v>234</v>
      </c>
      <c r="H65" s="508" t="n">
        <v>8000</v>
      </c>
      <c r="I65" s="508" t="n">
        <v>8547</v>
      </c>
      <c r="J65" s="507" t="inlineStr">
        <is>
          <t>Completed</t>
        </is>
      </c>
      <c r="K65" s="507" t="inlineStr">
        <is>
          <t>THCS focus, 200 registered</t>
        </is>
      </c>
    </row>
    <row r="66">
      <c r="A66" s="507" t="inlineStr">
        <is>
          <t>T7 Meta - Urgency Campaign</t>
        </is>
      </c>
      <c r="B66" s="507" t="inlineStr">
        <is>
          <t>Meta Ads</t>
        </is>
      </c>
      <c r="C66" s="507" t="inlineStr">
        <is>
          <t>2026-07-01</t>
        </is>
      </c>
      <c r="D66" s="507" t="inlineStr">
        <is>
          <t>2026-07-15</t>
        </is>
      </c>
      <c r="E66" s="508" t="n">
        <v>18000000</v>
      </c>
      <c r="F66" s="507" t="n">
        <v>180</v>
      </c>
      <c r="G66" s="507" t="n">
        <v>195</v>
      </c>
      <c r="H66" s="508" t="n">
        <v>100000</v>
      </c>
      <c r="I66" s="508" t="n">
        <v>92307</v>
      </c>
      <c r="J66" s="507" t="inlineStr">
        <is>
          <t>Active</t>
        </is>
      </c>
      <c r="K66" s="507" t="inlineStr">
        <is>
          <t>"Only X spots left"</t>
        </is>
      </c>
    </row>
    <row r="67">
      <c r="A67" s="507" t="inlineStr">
        <is>
          <t>T7 Google - Top Keywords</t>
        </is>
      </c>
      <c r="B67" s="507" t="inlineStr">
        <is>
          <t>Google Ads</t>
        </is>
      </c>
      <c r="C67" s="507" t="inlineStr">
        <is>
          <t>2026-07-01</t>
        </is>
      </c>
      <c r="D67" s="507" t="inlineStr">
        <is>
          <t>2026-07-20</t>
        </is>
      </c>
      <c r="E67" s="508" t="n">
        <v>20000000</v>
      </c>
      <c r="F67" s="507" t="n">
        <v>320</v>
      </c>
      <c r="G67" s="507" t="n">
        <v>340</v>
      </c>
      <c r="H67" s="508" t="n">
        <v>62500</v>
      </c>
      <c r="I67" s="508" t="n">
        <v>58823</v>
      </c>
      <c r="J67" s="507" t="inlineStr">
        <is>
          <t>Active</t>
        </is>
      </c>
      <c r="K67" s="507" t="inlineStr">
        <is>
          <t>Bid increase on top converters</t>
        </is>
      </c>
    </row>
    <row r="68">
      <c r="A68" s="507" t="inlineStr">
        <is>
          <t>T7 Zalo - Daily Blast</t>
        </is>
      </c>
      <c r="B68" s="507" t="inlineStr">
        <is>
          <t>Zalo Ads</t>
        </is>
      </c>
      <c r="C68" s="507" t="inlineStr">
        <is>
          <t>2026-07-01</t>
        </is>
      </c>
      <c r="D68" s="507" t="inlineStr">
        <is>
          <t>2026-07-31</t>
        </is>
      </c>
      <c r="E68" s="508" t="n">
        <v>6000000</v>
      </c>
      <c r="F68" s="507" t="n">
        <v>150</v>
      </c>
      <c r="G68" s="507" t="n">
        <v>168</v>
      </c>
      <c r="H68" s="508" t="n">
        <v>40000</v>
      </c>
      <c r="I68" s="508" t="n">
        <v>35714</v>
      </c>
      <c r="J68" s="507" t="inlineStr">
        <is>
          <t>Active</t>
        </is>
      </c>
      <c r="K68" s="507" t="inlineStr">
        <is>
          <t>2x daily sends, high frequency</t>
        </is>
      </c>
    </row>
    <row r="69">
      <c r="A69" s="507" t="inlineStr">
        <is>
          <t>T7 SMS - Urgency</t>
        </is>
      </c>
      <c r="B69" s="507" t="inlineStr">
        <is>
          <t>SMS</t>
        </is>
      </c>
      <c r="C69" s="507" t="inlineStr">
        <is>
          <t>2026-07-01</t>
        </is>
      </c>
      <c r="D69" s="507" t="inlineStr">
        <is>
          <t>2026-07-20</t>
        </is>
      </c>
      <c r="E69" s="508" t="n">
        <v>4000000</v>
      </c>
      <c r="F69" s="507" t="n">
        <v>130</v>
      </c>
      <c r="G69" s="507" t="n">
        <v>142</v>
      </c>
      <c r="H69" s="508" t="n">
        <v>30769</v>
      </c>
      <c r="I69" s="508" t="n">
        <v>28169</v>
      </c>
      <c r="J69" s="507" t="inlineStr">
        <is>
          <t>Active</t>
        </is>
      </c>
      <c r="K69" s="507" t="inlineStr">
        <is>
          <t>Countdown messaging</t>
        </is>
      </c>
    </row>
    <row r="70">
      <c r="A70" s="507" t="inlineStr">
        <is>
          <t>T7 Phone Outreach</t>
        </is>
      </c>
      <c r="B70" s="507" t="inlineStr">
        <is>
          <t>Phone</t>
        </is>
      </c>
      <c r="C70" s="507" t="inlineStr">
        <is>
          <t>2026-07-01</t>
        </is>
      </c>
      <c r="D70" s="507" t="inlineStr">
        <is>
          <t>2026-07-31</t>
        </is>
      </c>
      <c r="E70" s="508" t="n">
        <v>2000000</v>
      </c>
      <c r="F70" s="507" t="n">
        <v>200</v>
      </c>
      <c r="G70" s="507" t="n">
        <v>215</v>
      </c>
      <c r="H70" s="508" t="n">
        <v>10000</v>
      </c>
      <c r="I70" s="508" t="n">
        <v>9302</v>
      </c>
      <c r="J70" s="507" t="inlineStr">
        <is>
          <t>Active</t>
        </is>
      </c>
      <c r="K70" s="507" t="inlineStr">
        <is>
          <t>100+ daily calls</t>
        </is>
      </c>
    </row>
    <row r="71">
      <c r="A71" s="507" t="inlineStr">
        <is>
          <t>T7 Offline Events</t>
        </is>
      </c>
      <c r="B71" s="507" t="inlineStr">
        <is>
          <t>Events</t>
        </is>
      </c>
      <c r="C71" s="507" t="inlineStr">
        <is>
          <t>2026-07-10</t>
        </is>
      </c>
      <c r="D71" s="507" t="inlineStr">
        <is>
          <t>2026-07-20</t>
        </is>
      </c>
      <c r="E71" s="508" t="n">
        <v>5000000</v>
      </c>
      <c r="F71" s="507" t="n">
        <v>150</v>
      </c>
      <c r="G71" s="507" t="n">
        <v>142</v>
      </c>
      <c r="H71" s="508" t="n">
        <v>33333</v>
      </c>
      <c r="I71" s="508" t="n">
        <v>35211</v>
      </c>
      <c r="J71" s="507" t="inlineStr">
        <is>
          <t>Active</t>
        </is>
      </c>
      <c r="K71" s="507" t="inlineStr">
        <is>
          <t>3 consultation events</t>
        </is>
      </c>
    </row>
    <row r="72">
      <c r="A72" s="507" t="inlineStr">
        <is>
          <t>T7 Webinar #3</t>
        </is>
      </c>
      <c r="B72" s="507" t="inlineStr">
        <is>
          <t>Events</t>
        </is>
      </c>
      <c r="C72" s="507" t="inlineStr">
        <is>
          <t>2026-07-28</t>
        </is>
      </c>
      <c r="D72" s="507" t="inlineStr">
        <is>
          <t>2026-07-28</t>
        </is>
      </c>
      <c r="E72" s="508" t="n">
        <v>2000000</v>
      </c>
      <c r="F72" s="507" t="n">
        <v>300</v>
      </c>
      <c r="G72" s="507" t="n">
        <v>287</v>
      </c>
      <c r="H72" s="508" t="n">
        <v>6666</v>
      </c>
      <c r="I72" s="508" t="n">
        <v>6969</v>
      </c>
      <c r="J72" s="507" t="inlineStr">
        <is>
          <t>Pending</t>
        </is>
      </c>
      <c r="K72" s="507" t="inlineStr">
        <is>
          <t>THPT focus, final push</t>
        </is>
      </c>
    </row>
    <row r="73">
      <c r="A73" s="507" t="inlineStr">
        <is>
          <t>T7 Retargeting - Website</t>
        </is>
      </c>
      <c r="B73" s="507" t="inlineStr">
        <is>
          <t>Retargeting</t>
        </is>
      </c>
      <c r="C73" s="507" t="inlineStr">
        <is>
          <t>2026-07-01</t>
        </is>
      </c>
      <c r="D73" s="507" t="inlineStr">
        <is>
          <t>2026-07-31</t>
        </is>
      </c>
      <c r="E73" s="508" t="n">
        <v>8000000</v>
      </c>
      <c r="F73" s="507" t="n">
        <v>250</v>
      </c>
      <c r="G73" s="507" t="n">
        <v>268</v>
      </c>
      <c r="H73" s="508" t="n">
        <v>32000</v>
      </c>
      <c r="I73" s="508" t="n">
        <v>29850</v>
      </c>
      <c r="J73" s="507" t="inlineStr">
        <is>
          <t>Active</t>
        </is>
      </c>
      <c r="K73" s="507" t="inlineStr">
        <is>
          <t>GHL pixel + dynamic ads</t>
        </is>
      </c>
    </row>
    <row r="74">
      <c r="A74" s="507" t="inlineStr">
        <is>
          <t>T8 Meta - Final Push</t>
        </is>
      </c>
      <c r="B74" s="507" t="inlineStr">
        <is>
          <t>Meta Ads</t>
        </is>
      </c>
      <c r="C74" s="507" t="inlineStr">
        <is>
          <t>2026-08-01</t>
        </is>
      </c>
      <c r="D74" s="507" t="inlineStr">
        <is>
          <t>2026-08-10</t>
        </is>
      </c>
      <c r="E74" s="508" t="n">
        <v>12000000</v>
      </c>
      <c r="F74" s="507" t="n">
        <v>120</v>
      </c>
      <c r="G74" s="507" t="n">
        <v>128</v>
      </c>
      <c r="H74" s="508" t="n">
        <v>100000</v>
      </c>
      <c r="I74" s="508" t="n">
        <v>93750</v>
      </c>
      <c r="J74" s="507" t="inlineStr">
        <is>
          <t>Pending</t>
        </is>
      </c>
      <c r="K74" s="507" t="inlineStr">
        <is>
          <t>Last minute conversion focus</t>
        </is>
      </c>
    </row>
    <row r="75">
      <c r="A75" s="507" t="inlineStr">
        <is>
          <t>T8 Google - Budget Boost</t>
        </is>
      </c>
      <c r="B75" s="507" t="inlineStr">
        <is>
          <t>Google Ads</t>
        </is>
      </c>
      <c r="C75" s="507" t="inlineStr">
        <is>
          <t>2026-08-01</t>
        </is>
      </c>
      <c r="D75" s="507" t="inlineStr">
        <is>
          <t>2026-08-15</t>
        </is>
      </c>
      <c r="E75" s="508" t="n">
        <v>15000000</v>
      </c>
      <c r="F75" s="507" t="n">
        <v>240</v>
      </c>
      <c r="G75" s="507" t="n">
        <v>0</v>
      </c>
      <c r="H75" s="508" t="n">
        <v>62500</v>
      </c>
      <c r="I75" s="508" t="n">
        <v>0</v>
      </c>
      <c r="J75" s="507" t="inlineStr">
        <is>
          <t>Pending</t>
        </is>
      </c>
      <c r="K75" s="507" t="inlineStr">
        <is>
          <t>All-in spending for final slots</t>
        </is>
      </c>
    </row>
    <row r="76">
      <c r="A76" s="507" t="inlineStr">
        <is>
          <t>T8 Zalo - Last Week Blast</t>
        </is>
      </c>
      <c r="B76" s="507" t="inlineStr">
        <is>
          <t>Zalo Ads</t>
        </is>
      </c>
      <c r="C76" s="507" t="inlineStr">
        <is>
          <t>2026-08-08</t>
        </is>
      </c>
      <c r="D76" s="507" t="inlineStr">
        <is>
          <t>2026-08-15</t>
        </is>
      </c>
      <c r="E76" s="508" t="n">
        <v>4000000</v>
      </c>
      <c r="F76" s="507" t="n">
        <v>100</v>
      </c>
      <c r="G76" s="507" t="n">
        <v>0</v>
      </c>
      <c r="H76" s="508" t="n">
        <v>40000</v>
      </c>
      <c r="I76" s="508" t="n">
        <v>0</v>
      </c>
      <c r="J76" s="507" t="inlineStr">
        <is>
          <t>Pending</t>
        </is>
      </c>
      <c r="K76" s="507" t="inlineStr">
        <is>
          <t>Intense final push</t>
        </is>
      </c>
    </row>
    <row r="77">
      <c r="A77" s="507" t="inlineStr">
        <is>
          <t>T8 Email - Payment Setup</t>
        </is>
      </c>
      <c r="B77" s="507" t="inlineStr">
        <is>
          <t>Email</t>
        </is>
      </c>
      <c r="C77" s="507" t="inlineStr">
        <is>
          <t>2026-08-01</t>
        </is>
      </c>
      <c r="D77" s="507" t="inlineStr">
        <is>
          <t>2026-08-31</t>
        </is>
      </c>
      <c r="E77" s="508" t="n">
        <v>500000</v>
      </c>
      <c r="F77" s="507" t="n">
        <v>200</v>
      </c>
      <c r="G77" s="507" t="n">
        <v>0</v>
      </c>
      <c r="H77" s="508" t="n">
        <v>2500</v>
      </c>
      <c r="I77" s="508" t="n">
        <v>0</v>
      </c>
      <c r="J77" s="507" t="inlineStr">
        <is>
          <t>Pending</t>
        </is>
      </c>
      <c r="K77" s="507" t="inlineStr">
        <is>
          <t>Payment plan communications</t>
        </is>
      </c>
    </row>
    <row r="78">
      <c r="A78" s="507" t="inlineStr">
        <is>
          <t>T9 Retention - Welcome</t>
        </is>
      </c>
      <c r="B78" s="507" t="inlineStr">
        <is>
          <t>Email</t>
        </is>
      </c>
      <c r="C78" s="507" t="inlineStr">
        <is>
          <t>2026-09-01</t>
        </is>
      </c>
      <c r="D78" s="507" t="inlineStr">
        <is>
          <t>2026-09-30</t>
        </is>
      </c>
      <c r="E78" s="508" t="n">
        <v>1000000</v>
      </c>
      <c r="F78" s="507" t="n">
        <v>500</v>
      </c>
      <c r="G78" s="507" t="n">
        <v>0</v>
      </c>
      <c r="H78" s="508" t="n">
        <v>2000</v>
      </c>
      <c r="I78" s="508" t="n">
        <v>0</v>
      </c>
      <c r="J78" s="507" t="inlineStr">
        <is>
          <t>Pending</t>
        </is>
      </c>
      <c r="K78" s="507" t="inlineStr">
        <is>
          <t>New student onboarding</t>
        </is>
      </c>
    </row>
    <row r="79">
      <c r="A79" s="507" t="inlineStr">
        <is>
          <t>T9 Referral Campaign</t>
        </is>
      </c>
      <c r="B79" s="507" t="inlineStr">
        <is>
          <t>All</t>
        </is>
      </c>
      <c r="C79" s="507" t="inlineStr">
        <is>
          <t>2026-09-01</t>
        </is>
      </c>
      <c r="D79" s="507" t="inlineStr">
        <is>
          <t>2026-09-30</t>
        </is>
      </c>
      <c r="E79" s="508" t="n">
        <v>3000000</v>
      </c>
      <c r="F79" s="507" t="n">
        <v>200</v>
      </c>
      <c r="G79" s="507" t="n">
        <v>0</v>
      </c>
      <c r="H79" s="508" t="n">
        <v>15000</v>
      </c>
      <c r="I79" s="508" t="n">
        <v>0</v>
      </c>
      <c r="J79" s="507" t="inlineStr">
        <is>
          <t>Pending</t>
        </is>
      </c>
      <c r="K79" s="507" t="inlineStr">
        <is>
          <t>Referral incentive program</t>
        </is>
      </c>
    </row>
    <row r="82">
      <c r="A82" s="534" t="inlineStr">
        <is>
          <t>CAMPAIGNS T4-T9/2026 THEO PHỄU — CHI TIẾT</t>
        </is>
      </c>
      <c r="B82" s="535" t="n"/>
      <c r="C82" s="535" t="n"/>
      <c r="D82" s="535" t="n"/>
      <c r="E82" s="535" t="n"/>
      <c r="F82" s="535" t="n"/>
      <c r="G82" s="535" t="n"/>
      <c r="H82" s="535" t="n"/>
      <c r="I82" s="536" t="n"/>
    </row>
    <row r="83">
      <c r="A83" s="495" t="inlineStr">
        <is>
          <t>Tháng</t>
        </is>
      </c>
      <c r="B83" s="495" t="inlineStr">
        <is>
          <t>Tên Campaign</t>
        </is>
      </c>
      <c r="C83" s="495" t="inlineStr">
        <is>
          <t>Funnel</t>
        </is>
      </c>
      <c r="D83" s="495" t="inlineStr">
        <is>
          <t>Channel</t>
        </is>
      </c>
      <c r="E83" s="495" t="inlineStr">
        <is>
          <t>Budget (VND)</t>
        </is>
      </c>
      <c r="F83" s="495" t="inlineStr">
        <is>
          <t>Target Leads</t>
        </is>
      </c>
      <c r="G83" s="495" t="inlineStr">
        <is>
          <t>Leads Thực Tế</t>
        </is>
      </c>
      <c r="H83" s="495" t="inlineStr">
        <is>
          <t>CPA Target</t>
        </is>
      </c>
      <c r="I83" s="495" t="inlineStr">
        <is>
          <t>Landing Page</t>
        </is>
      </c>
    </row>
    <row r="84">
      <c r="A84" s="507" t="inlineStr">
        <is>
          <t>T4/2026</t>
        </is>
      </c>
      <c r="B84" s="507" t="inlineStr">
        <is>
          <t>Search: Trường quốc tế</t>
        </is>
      </c>
      <c r="C84" s="507" t="inlineStr">
        <is>
          <t>FNL-001</t>
        </is>
      </c>
      <c r="D84" s="507" t="inlineStr">
        <is>
          <t>Google Ads</t>
        </is>
      </c>
      <c r="E84" s="507" t="inlineStr">
        <is>
          <t>5,000,000</t>
        </is>
      </c>
      <c r="F84" s="507" t="n">
        <v>100</v>
      </c>
      <c r="G84" s="507" t="inlineStr"/>
      <c r="H84" s="507" t="inlineStr">
        <is>
          <t>50,000</t>
        </is>
      </c>
      <c r="I84" s="507" t="inlineStr">
        <is>
          <t>forms.truongvietanh.com/awareness-general</t>
        </is>
      </c>
    </row>
    <row r="85">
      <c r="A85" s="507" t="inlineStr">
        <is>
          <t>T4/2026</t>
        </is>
      </c>
      <c r="B85" s="507" t="inlineStr">
        <is>
          <t>Facebook: Chọn trường</t>
        </is>
      </c>
      <c r="C85" s="507" t="inlineStr">
        <is>
          <t>FNL-001</t>
        </is>
      </c>
      <c r="D85" s="507" t="inlineStr">
        <is>
          <t>Facebook + Instagram</t>
        </is>
      </c>
      <c r="E85" s="507" t="inlineStr">
        <is>
          <t>4,000,000</t>
        </is>
      </c>
      <c r="F85" s="507" t="n">
        <v>120</v>
      </c>
      <c r="G85" s="507" t="inlineStr"/>
      <c r="H85" s="507" t="inlineStr">
        <is>
          <t>33,000</t>
        </is>
      </c>
      <c r="I85" s="507" t="inlineStr">
        <is>
          <t>forms.truongvietanh.com/awareness-mn</t>
        </is>
      </c>
    </row>
    <row r="86">
      <c r="A86" s="507" t="inlineStr">
        <is>
          <t>T4/2026</t>
        </is>
      </c>
      <c r="B86" s="507" t="inlineStr">
        <is>
          <t>Zalo OA: Welcome</t>
        </is>
      </c>
      <c r="C86" s="507" t="inlineStr">
        <is>
          <t>FNL-002</t>
        </is>
      </c>
      <c r="D86" s="507" t="inlineStr">
        <is>
          <t>Zalo Ads</t>
        </is>
      </c>
      <c r="E86" s="507" t="inlineStr">
        <is>
          <t>2,000,000</t>
        </is>
      </c>
      <c r="F86" s="507" t="n">
        <v>80</v>
      </c>
      <c r="G86" s="507" t="inlineStr"/>
      <c r="H86" s="507" t="inlineStr">
        <is>
          <t>25,000</t>
        </is>
      </c>
      <c r="I86" s="507" t="inlineStr">
        <is>
          <t>forms.truongvietanh.com/zalo-welcome</t>
        </is>
      </c>
    </row>
    <row r="87">
      <c r="A87" s="507" t="inlineStr">
        <is>
          <t>T4/2026</t>
        </is>
      </c>
      <c r="B87" s="507" t="inlineStr">
        <is>
          <t>TikTok: Student life</t>
        </is>
      </c>
      <c r="C87" s="507" t="inlineStr">
        <is>
          <t>FNL-003</t>
        </is>
      </c>
      <c r="D87" s="507" t="inlineStr">
        <is>
          <t>TikTok Ads</t>
        </is>
      </c>
      <c r="E87" s="507" t="inlineStr">
        <is>
          <t>3,000,000</t>
        </is>
      </c>
      <c r="F87" s="507" t="n">
        <v>150</v>
      </c>
      <c r="G87" s="507" t="inlineStr"/>
      <c r="H87" s="507" t="inlineStr">
        <is>
          <t>20,000</t>
        </is>
      </c>
      <c r="I87" s="507" t="inlineStr">
        <is>
          <t>forms.truongvietanh.com/student-life</t>
        </is>
      </c>
    </row>
    <row r="88">
      <c r="A88" s="507" t="inlineStr">
        <is>
          <t>T4/2026</t>
        </is>
      </c>
      <c r="B88" s="507" t="inlineStr">
        <is>
          <t>YouTube: Introduction</t>
        </is>
      </c>
      <c r="C88" s="507" t="inlineStr">
        <is>
          <t>FNL-001</t>
        </is>
      </c>
      <c r="D88" s="507" t="inlineStr">
        <is>
          <t>YouTube Ads</t>
        </is>
      </c>
      <c r="E88" s="507" t="inlineStr">
        <is>
          <t>3,500,000</t>
        </is>
      </c>
      <c r="F88" s="507" t="n">
        <v>100</v>
      </c>
      <c r="G88" s="507" t="inlineStr"/>
      <c r="H88" s="507" t="inlineStr">
        <is>
          <t>35,000</t>
        </is>
      </c>
      <c r="I88" s="507" t="inlineStr">
        <is>
          <t>forms.truongvietanh.com/introduction-video</t>
        </is>
      </c>
    </row>
    <row r="89">
      <c r="A89" s="507" t="inlineStr">
        <is>
          <t>T4/2026</t>
        </is>
      </c>
      <c r="B89" s="507" t="inlineStr">
        <is>
          <t>Email: Nurture</t>
        </is>
      </c>
      <c r="C89" s="507" t="inlineStr">
        <is>
          <t>FNL-002</t>
        </is>
      </c>
      <c r="D89" s="507" t="inlineStr">
        <is>
          <t>Email Marketing</t>
        </is>
      </c>
      <c r="E89" s="507" t="inlineStr">
        <is>
          <t>1,000,000</t>
        </is>
      </c>
      <c r="F89" s="507" t="n">
        <v>60</v>
      </c>
      <c r="G89" s="507" t="inlineStr"/>
      <c r="H89" s="507" t="inlineStr">
        <is>
          <t>16,667</t>
        </is>
      </c>
      <c r="I89" s="507" t="inlineStr">
        <is>
          <t>forms.truongvietanh.com/email-nurture</t>
        </is>
      </c>
    </row>
    <row r="90">
      <c r="A90" s="507" t="inlineStr">
        <is>
          <t>T4/2026</t>
        </is>
      </c>
      <c r="B90" s="507" t="inlineStr">
        <is>
          <t>Retargeting: Website</t>
        </is>
      </c>
      <c r="C90" s="507" t="inlineStr">
        <is>
          <t>FNL-002</t>
        </is>
      </c>
      <c r="D90" s="507" t="inlineStr">
        <is>
          <t>Display Ads</t>
        </is>
      </c>
      <c r="E90" s="507" t="inlineStr">
        <is>
          <t>2,500,000</t>
        </is>
      </c>
      <c r="F90" s="507" t="n">
        <v>90</v>
      </c>
      <c r="G90" s="507" t="inlineStr"/>
      <c r="H90" s="507" t="inlineStr">
        <is>
          <t>27,778</t>
        </is>
      </c>
      <c r="I90" s="507" t="inlineStr">
        <is>
          <t>forms.truongvietanh.com/awareness-general</t>
        </is>
      </c>
    </row>
    <row r="91">
      <c r="A91" s="507" t="inlineStr">
        <is>
          <t>T5/2026</t>
        </is>
      </c>
      <c r="B91" s="507" t="inlineStr">
        <is>
          <t>Search: Tour booking</t>
        </is>
      </c>
      <c r="C91" s="507" t="inlineStr">
        <is>
          <t>FNL-004</t>
        </is>
      </c>
      <c r="D91" s="507" t="inlineStr">
        <is>
          <t>Google Ads</t>
        </is>
      </c>
      <c r="E91" s="507" t="inlineStr">
        <is>
          <t>6,000,000</t>
        </is>
      </c>
      <c r="F91" s="507" t="n">
        <v>120</v>
      </c>
      <c r="G91" s="507" t="inlineStr"/>
      <c r="H91" s="507" t="inlineStr">
        <is>
          <t>50,000</t>
        </is>
      </c>
      <c r="I91" s="507" t="inlineStr">
        <is>
          <t>forms.truongvietanh.com/tour-booking</t>
        </is>
      </c>
    </row>
    <row r="92">
      <c r="A92" s="507" t="inlineStr">
        <is>
          <t>T5/2026</t>
        </is>
      </c>
      <c r="B92" s="507" t="inlineStr">
        <is>
          <t>Facebook: Tour video</t>
        </is>
      </c>
      <c r="C92" s="507" t="inlineStr">
        <is>
          <t>FNL-004</t>
        </is>
      </c>
      <c r="D92" s="507" t="inlineStr">
        <is>
          <t>Facebook + Instagram</t>
        </is>
      </c>
      <c r="E92" s="507" t="inlineStr">
        <is>
          <t>5,000,000</t>
        </is>
      </c>
      <c r="F92" s="507" t="n">
        <v>140</v>
      </c>
      <c r="G92" s="507" t="inlineStr"/>
      <c r="H92" s="507" t="inlineStr">
        <is>
          <t>35,714</t>
        </is>
      </c>
      <c r="I92" s="507" t="inlineStr">
        <is>
          <t>forms.truongvietanh.com/tour-video</t>
        </is>
      </c>
    </row>
    <row r="93">
      <c r="A93" s="507" t="inlineStr">
        <is>
          <t>T5/2026</t>
        </is>
      </c>
      <c r="B93" s="507" t="inlineStr">
        <is>
          <t>Zalo: Tour reminder</t>
        </is>
      </c>
      <c r="C93" s="507" t="inlineStr">
        <is>
          <t>FNL-004</t>
        </is>
      </c>
      <c r="D93" s="507" t="inlineStr">
        <is>
          <t>Zalo Ads</t>
        </is>
      </c>
      <c r="E93" s="507" t="inlineStr">
        <is>
          <t>2,500,000</t>
        </is>
      </c>
      <c r="F93" s="507" t="n">
        <v>100</v>
      </c>
      <c r="G93" s="507" t="inlineStr"/>
      <c r="H93" s="507" t="inlineStr">
        <is>
          <t>25,000</t>
        </is>
      </c>
      <c r="I93" s="507" t="inlineStr">
        <is>
          <t>forms.truongvietanh.com/tour-reminder</t>
        </is>
      </c>
    </row>
    <row r="94">
      <c r="A94" s="507" t="inlineStr">
        <is>
          <t>T5/2026</t>
        </is>
      </c>
      <c r="B94" s="507" t="inlineStr">
        <is>
          <t>Webinar: Registration</t>
        </is>
      </c>
      <c r="C94" s="507" t="inlineStr">
        <is>
          <t>FNL-005</t>
        </is>
      </c>
      <c r="D94" s="507" t="inlineStr">
        <is>
          <t>Email + Zalo</t>
        </is>
      </c>
      <c r="E94" s="507" t="inlineStr">
        <is>
          <t>2,000,000</t>
        </is>
      </c>
      <c r="F94" s="507" t="n">
        <v>200</v>
      </c>
      <c r="G94" s="507" t="inlineStr"/>
      <c r="H94" s="507" t="inlineStr">
        <is>
          <t>10,000</t>
        </is>
      </c>
      <c r="I94" s="507" t="inlineStr">
        <is>
          <t>forms.truongvietanh.com/webinar-1</t>
        </is>
      </c>
    </row>
    <row r="95">
      <c r="A95" s="507" t="inlineStr">
        <is>
          <t>T5/2026</t>
        </is>
      </c>
      <c r="B95" s="507" t="inlineStr">
        <is>
          <t>TikTok: Open day</t>
        </is>
      </c>
      <c r="C95" s="507" t="inlineStr">
        <is>
          <t>FNL-004</t>
        </is>
      </c>
      <c r="D95" s="507" t="inlineStr">
        <is>
          <t>TikTok Ads</t>
        </is>
      </c>
      <c r="E95" s="507" t="inlineStr">
        <is>
          <t>3,500,000</t>
        </is>
      </c>
      <c r="F95" s="507" t="n">
        <v>160</v>
      </c>
      <c r="G95" s="507" t="inlineStr"/>
      <c r="H95" s="507" t="inlineStr">
        <is>
          <t>21,875</t>
        </is>
      </c>
      <c r="I95" s="507" t="inlineStr">
        <is>
          <t>forms.truongvietanh.com/open-day</t>
        </is>
      </c>
    </row>
    <row r="96">
      <c r="A96" s="507" t="inlineStr">
        <is>
          <t>T5/2026</t>
        </is>
      </c>
      <c r="B96" s="507" t="inlineStr">
        <is>
          <t>LinkedIn: Parents</t>
        </is>
      </c>
      <c r="C96" s="507" t="inlineStr">
        <is>
          <t>FNL-001</t>
        </is>
      </c>
      <c r="D96" s="507" t="inlineStr">
        <is>
          <t>LinkedIn Ads</t>
        </is>
      </c>
      <c r="E96" s="507" t="inlineStr">
        <is>
          <t>2,000,000</t>
        </is>
      </c>
      <c r="F96" s="507" t="n">
        <v>50</v>
      </c>
      <c r="G96" s="507" t="inlineStr"/>
      <c r="H96" s="507" t="inlineStr">
        <is>
          <t>40,000</t>
        </is>
      </c>
      <c r="I96" s="507" t="inlineStr">
        <is>
          <t>forms.truongvietanh.com/linkedin-parents</t>
        </is>
      </c>
    </row>
    <row r="97">
      <c r="A97" s="507" t="inlineStr">
        <is>
          <t>T5/2026</t>
        </is>
      </c>
      <c r="B97" s="507" t="inlineStr">
        <is>
          <t>Retargeting: Tour</t>
        </is>
      </c>
      <c r="C97" s="507" t="inlineStr">
        <is>
          <t>FNL-004</t>
        </is>
      </c>
      <c r="D97" s="507" t="inlineStr">
        <is>
          <t>Display Ads</t>
        </is>
      </c>
      <c r="E97" s="507" t="inlineStr">
        <is>
          <t>3,000,000</t>
        </is>
      </c>
      <c r="F97" s="507" t="n">
        <v>100</v>
      </c>
      <c r="G97" s="507" t="inlineStr"/>
      <c r="H97" s="507" t="inlineStr">
        <is>
          <t>30,000</t>
        </is>
      </c>
      <c r="I97" s="507" t="inlineStr">
        <is>
          <t>forms.truongvietanh.com/tour-booking</t>
        </is>
      </c>
    </row>
    <row r="98">
      <c r="A98" s="507" t="inlineStr">
        <is>
          <t>T6/2026</t>
        </is>
      </c>
      <c r="B98" s="507" t="inlineStr">
        <is>
          <t>Search: Enrollment</t>
        </is>
      </c>
      <c r="C98" s="507" t="inlineStr">
        <is>
          <t>FNL-006</t>
        </is>
      </c>
      <c r="D98" s="507" t="inlineStr">
        <is>
          <t>Google Ads</t>
        </is>
      </c>
      <c r="E98" s="507" t="inlineStr">
        <is>
          <t>7,000,000</t>
        </is>
      </c>
      <c r="F98" s="507" t="n">
        <v>140</v>
      </c>
      <c r="G98" s="507" t="inlineStr"/>
      <c r="H98" s="507" t="inlineStr">
        <is>
          <t>50,000</t>
        </is>
      </c>
      <c r="I98" s="507" t="inlineStr">
        <is>
          <t>forms.truongvietanh.com/enrollment-page</t>
        </is>
      </c>
    </row>
    <row r="99">
      <c r="A99" s="507" t="inlineStr">
        <is>
          <t>T6/2026</t>
        </is>
      </c>
      <c r="B99" s="507" t="inlineStr">
        <is>
          <t>Facebook: Summer camp</t>
        </is>
      </c>
      <c r="C99" s="507" t="inlineStr">
        <is>
          <t>FNL-007</t>
        </is>
      </c>
      <c r="D99" s="507" t="inlineStr">
        <is>
          <t>Facebook + Instagram</t>
        </is>
      </c>
      <c r="E99" s="507" t="inlineStr">
        <is>
          <t>5,000,000</t>
        </is>
      </c>
      <c r="F99" s="507" t="n">
        <v>130</v>
      </c>
      <c r="G99" s="507" t="inlineStr"/>
      <c r="H99" s="507" t="inlineStr">
        <is>
          <t>38,462</t>
        </is>
      </c>
      <c r="I99" s="507" t="inlineStr">
        <is>
          <t>forms.truongvietanh.com/summer-camp</t>
        </is>
      </c>
    </row>
    <row r="100">
      <c r="A100" s="507" t="inlineStr">
        <is>
          <t>T6/2026</t>
        </is>
      </c>
      <c r="B100" s="507" t="inlineStr">
        <is>
          <t>Zalo: Enrollment ad</t>
        </is>
      </c>
      <c r="C100" s="507" t="inlineStr">
        <is>
          <t>FNL-006</t>
        </is>
      </c>
      <c r="D100" s="507" t="inlineStr">
        <is>
          <t>Zalo Ads</t>
        </is>
      </c>
      <c r="E100" s="507" t="inlineStr">
        <is>
          <t>3,000,000</t>
        </is>
      </c>
      <c r="F100" s="507" t="n">
        <v>120</v>
      </c>
      <c r="G100" s="507" t="inlineStr"/>
      <c r="H100" s="507" t="inlineStr">
        <is>
          <t>25,000</t>
        </is>
      </c>
      <c r="I100" s="507" t="inlineStr">
        <is>
          <t>forms.truongvietanh.com/enroll-thcs</t>
        </is>
      </c>
    </row>
    <row r="101">
      <c r="A101" s="507" t="inlineStr">
        <is>
          <t>T6/2026</t>
        </is>
      </c>
      <c r="B101" s="507" t="inlineStr">
        <is>
          <t>TikTok: Success story</t>
        </is>
      </c>
      <c r="C101" s="507" t="inlineStr">
        <is>
          <t>FNL-003</t>
        </is>
      </c>
      <c r="D101" s="507" t="inlineStr">
        <is>
          <t>TikTok Ads</t>
        </is>
      </c>
      <c r="E101" s="507" t="inlineStr">
        <is>
          <t>4,000,000</t>
        </is>
      </c>
      <c r="F101" s="507" t="n">
        <v>180</v>
      </c>
      <c r="G101" s="507" t="inlineStr"/>
      <c r="H101" s="507" t="inlineStr">
        <is>
          <t>22,222</t>
        </is>
      </c>
      <c r="I101" s="507" t="inlineStr">
        <is>
          <t>forms.truongvietanh.com/success-story</t>
        </is>
      </c>
    </row>
    <row r="102">
      <c r="A102" s="507" t="inlineStr">
        <is>
          <t>T6/2026</t>
        </is>
      </c>
      <c r="B102" s="507" t="inlineStr">
        <is>
          <t>YouTube: Testimonial</t>
        </is>
      </c>
      <c r="C102" s="507" t="inlineStr">
        <is>
          <t>FNL-003</t>
        </is>
      </c>
      <c r="D102" s="507" t="inlineStr">
        <is>
          <t>YouTube Ads</t>
        </is>
      </c>
      <c r="E102" s="507" t="inlineStr">
        <is>
          <t>3,500,000</t>
        </is>
      </c>
      <c r="F102" s="507" t="n">
        <v>110</v>
      </c>
      <c r="G102" s="507" t="inlineStr"/>
      <c r="H102" s="507" t="inlineStr">
        <is>
          <t>31,818</t>
        </is>
      </c>
      <c r="I102" s="507" t="inlineStr">
        <is>
          <t>forms.truongvietanh.com/testimonial-video</t>
        </is>
      </c>
    </row>
    <row r="103">
      <c r="A103" s="507" t="inlineStr">
        <is>
          <t>T6/2026</t>
        </is>
      </c>
      <c r="B103" s="507" t="inlineStr">
        <is>
          <t>Email: Enrollment push</t>
        </is>
      </c>
      <c r="C103" s="507" t="inlineStr">
        <is>
          <t>FNL-006</t>
        </is>
      </c>
      <c r="D103" s="507" t="inlineStr">
        <is>
          <t>Email Marketing</t>
        </is>
      </c>
      <c r="E103" s="507" t="inlineStr">
        <is>
          <t>1,500,000</t>
        </is>
      </c>
      <c r="F103" s="507" t="n">
        <v>80</v>
      </c>
      <c r="G103" s="507" t="inlineStr"/>
      <c r="H103" s="507" t="inlineStr">
        <is>
          <t>18,750</t>
        </is>
      </c>
      <c r="I103" s="507" t="inlineStr">
        <is>
          <t>forms.truongvietanh.com/enroll-email</t>
        </is>
      </c>
    </row>
    <row r="104">
      <c r="A104" s="507" t="inlineStr">
        <is>
          <t>T7/2026</t>
        </is>
      </c>
      <c r="B104" s="507" t="inlineStr">
        <is>
          <t>Search: Khai giảng</t>
        </is>
      </c>
      <c r="C104" s="507" t="inlineStr">
        <is>
          <t>FNL-008</t>
        </is>
      </c>
      <c r="D104" s="507" t="inlineStr">
        <is>
          <t>Google Ads</t>
        </is>
      </c>
      <c r="E104" s="507" t="inlineStr">
        <is>
          <t>6,000,000</t>
        </is>
      </c>
      <c r="F104" s="507" t="n">
        <v>130</v>
      </c>
      <c r="G104" s="507" t="inlineStr"/>
      <c r="H104" s="507" t="inlineStr">
        <is>
          <t>46,154</t>
        </is>
      </c>
      <c r="I104" s="507" t="inlineStr">
        <is>
          <t>forms.truongvietanh.com/khai-giang</t>
        </is>
      </c>
    </row>
    <row r="105">
      <c r="A105" s="507" t="inlineStr">
        <is>
          <t>T7/2026</t>
        </is>
      </c>
      <c r="B105" s="507" t="inlineStr">
        <is>
          <t>Facebook: Back to school</t>
        </is>
      </c>
      <c r="C105" s="507" t="inlineStr">
        <is>
          <t>FNL-008</t>
        </is>
      </c>
      <c r="D105" s="507" t="inlineStr">
        <is>
          <t>Facebook + Instagram</t>
        </is>
      </c>
      <c r="E105" s="507" t="inlineStr">
        <is>
          <t>5,000,000</t>
        </is>
      </c>
      <c r="F105" s="507" t="n">
        <v>140</v>
      </c>
      <c r="G105" s="507" t="inlineStr"/>
      <c r="H105" s="507" t="inlineStr">
        <is>
          <t>35,714</t>
        </is>
      </c>
      <c r="I105" s="507" t="inlineStr">
        <is>
          <t>forms.truongvietanh.com/back-to-school</t>
        </is>
      </c>
    </row>
    <row r="106">
      <c r="A106" s="507" t="inlineStr">
        <is>
          <t>T7/2026</t>
        </is>
      </c>
      <c r="B106" s="507" t="inlineStr">
        <is>
          <t>Zalo: Last minute</t>
        </is>
      </c>
      <c r="C106" s="507" t="inlineStr">
        <is>
          <t>FNL-008</t>
        </is>
      </c>
      <c r="D106" s="507" t="inlineStr">
        <is>
          <t>Zalo Ads</t>
        </is>
      </c>
      <c r="E106" s="507" t="inlineStr">
        <is>
          <t>2,500,000</t>
        </is>
      </c>
      <c r="F106" s="507" t="n">
        <v>100</v>
      </c>
      <c r="G106" s="507" t="inlineStr"/>
      <c r="H106" s="507" t="inlineStr">
        <is>
          <t>25,000</t>
        </is>
      </c>
      <c r="I106" s="507" t="inlineStr">
        <is>
          <t>forms.truongvietanh.com/last-minute-enroll</t>
        </is>
      </c>
    </row>
    <row r="107">
      <c r="A107" s="507" t="inlineStr">
        <is>
          <t>T7/2026</t>
        </is>
      </c>
      <c r="B107" s="507" t="inlineStr">
        <is>
          <t>TikTok: Countdown</t>
        </is>
      </c>
      <c r="C107" s="507" t="inlineStr">
        <is>
          <t>FNL-008</t>
        </is>
      </c>
      <c r="D107" s="507" t="inlineStr">
        <is>
          <t>TikTok Ads</t>
        </is>
      </c>
      <c r="E107" s="507" t="inlineStr">
        <is>
          <t>3,000,000</t>
        </is>
      </c>
      <c r="F107" s="507" t="n">
        <v>140</v>
      </c>
      <c r="G107" s="507" t="inlineStr"/>
      <c r="H107" s="507" t="inlineStr">
        <is>
          <t>21,429</t>
        </is>
      </c>
      <c r="I107" s="507" t="inlineStr">
        <is>
          <t>forms.truongvietanh.com/countdown-khai-giang</t>
        </is>
      </c>
    </row>
    <row r="108">
      <c r="A108" s="507" t="inlineStr">
        <is>
          <t>T7/2026</t>
        </is>
      </c>
      <c r="B108" s="507" t="inlineStr">
        <is>
          <t>Webinar: Parent Q&amp;A</t>
        </is>
      </c>
      <c r="C108" s="507" t="inlineStr">
        <is>
          <t>FNL-009</t>
        </is>
      </c>
      <c r="D108" s="507" t="inlineStr">
        <is>
          <t>Email + Zalo</t>
        </is>
      </c>
      <c r="E108" s="507" t="inlineStr">
        <is>
          <t>1,500,000</t>
        </is>
      </c>
      <c r="F108" s="507" t="n">
        <v>150</v>
      </c>
      <c r="G108" s="507" t="inlineStr"/>
      <c r="H108" s="507" t="inlineStr">
        <is>
          <t>10,000</t>
        </is>
      </c>
      <c r="I108" s="507" t="inlineStr">
        <is>
          <t>forms.truongvietanh.com/webinar-qa</t>
        </is>
      </c>
    </row>
    <row r="109">
      <c r="A109" s="507" t="inlineStr">
        <is>
          <t>T7/2026</t>
        </is>
      </c>
      <c r="B109" s="507" t="inlineStr">
        <is>
          <t>Retargeting: Conversion</t>
        </is>
      </c>
      <c r="C109" s="507" t="inlineStr">
        <is>
          <t>FNL-008</t>
        </is>
      </c>
      <c r="D109" s="507" t="inlineStr">
        <is>
          <t>Display Ads</t>
        </is>
      </c>
      <c r="E109" s="507" t="inlineStr">
        <is>
          <t>3,500,000</t>
        </is>
      </c>
      <c r="F109" s="507" t="n">
        <v>120</v>
      </c>
      <c r="G109" s="507" t="inlineStr"/>
      <c r="H109" s="507" t="inlineStr">
        <is>
          <t>29,167</t>
        </is>
      </c>
      <c r="I109" s="507" t="inlineStr">
        <is>
          <t>forms.truongvietanh.com/khai-giang</t>
        </is>
      </c>
    </row>
    <row r="110">
      <c r="A110" s="507" t="inlineStr">
        <is>
          <t>T8/2026</t>
        </is>
      </c>
      <c r="B110" s="507" t="inlineStr">
        <is>
          <t>Search: New class</t>
        </is>
      </c>
      <c r="C110" s="507" t="inlineStr">
        <is>
          <t>FNL-010</t>
        </is>
      </c>
      <c r="D110" s="507" t="inlineStr">
        <is>
          <t>Google Ads</t>
        </is>
      </c>
      <c r="E110" s="507" t="inlineStr">
        <is>
          <t>5,000,000</t>
        </is>
      </c>
      <c r="F110" s="507" t="n">
        <v>100</v>
      </c>
      <c r="G110" s="507" t="inlineStr"/>
      <c r="H110" s="507" t="inlineStr">
        <is>
          <t>50,000</t>
        </is>
      </c>
      <c r="I110" s="507" t="inlineStr">
        <is>
          <t>forms.truongvietanh.com/new-class</t>
        </is>
      </c>
    </row>
    <row r="111">
      <c r="A111" s="507" t="inlineStr">
        <is>
          <t>T8/2026</t>
        </is>
      </c>
      <c r="B111" s="507" t="inlineStr">
        <is>
          <t>Facebook: Student life</t>
        </is>
      </c>
      <c r="C111" s="507" t="inlineStr">
        <is>
          <t>FNL-010</t>
        </is>
      </c>
      <c r="D111" s="507" t="inlineStr">
        <is>
          <t>Facebook + Instagram</t>
        </is>
      </c>
      <c r="E111" s="507" t="inlineStr">
        <is>
          <t>4,000,000</t>
        </is>
      </c>
      <c r="F111" s="507" t="n">
        <v>110</v>
      </c>
      <c r="G111" s="507" t="inlineStr"/>
      <c r="H111" s="507" t="inlineStr">
        <is>
          <t>36,364</t>
        </is>
      </c>
      <c r="I111" s="507" t="inlineStr">
        <is>
          <t>forms.truongvietanh.com/student-life-aug</t>
        </is>
      </c>
    </row>
    <row r="112">
      <c r="A112" s="507" t="inlineStr">
        <is>
          <t>T8/2026</t>
        </is>
      </c>
      <c r="B112" s="507" t="inlineStr">
        <is>
          <t>Zalo: Nurture</t>
        </is>
      </c>
      <c r="C112" s="507" t="inlineStr">
        <is>
          <t>FNL-011</t>
        </is>
      </c>
      <c r="D112" s="507" t="inlineStr">
        <is>
          <t>Zalo Ads</t>
        </is>
      </c>
      <c r="E112" s="507" t="inlineStr">
        <is>
          <t>2,000,000</t>
        </is>
      </c>
      <c r="F112" s="507" t="n">
        <v>80</v>
      </c>
      <c r="G112" s="507" t="inlineStr"/>
      <c r="H112" s="507" t="inlineStr">
        <is>
          <t>25,000</t>
        </is>
      </c>
      <c r="I112" s="507" t="inlineStr">
        <is>
          <t>forms.truongvietanh.com/zalo-nurture-aug</t>
        </is>
      </c>
    </row>
    <row r="113">
      <c r="A113" s="507" t="inlineStr">
        <is>
          <t>T8/2026</t>
        </is>
      </c>
      <c r="B113" s="507" t="inlineStr">
        <is>
          <t>TikTok: Behind scenes</t>
        </is>
      </c>
      <c r="C113" s="507" t="inlineStr">
        <is>
          <t>FNL-010</t>
        </is>
      </c>
      <c r="D113" s="507" t="inlineStr">
        <is>
          <t>TikTok Ads</t>
        </is>
      </c>
      <c r="E113" s="507" t="inlineStr">
        <is>
          <t>3,500,000</t>
        </is>
      </c>
      <c r="F113" s="507" t="n">
        <v>150</v>
      </c>
      <c r="G113" s="507" t="inlineStr"/>
      <c r="H113" s="507" t="inlineStr">
        <is>
          <t>23,333</t>
        </is>
      </c>
      <c r="I113" s="507" t="inlineStr">
        <is>
          <t>forms.truongvietanh.com/behind-scenes</t>
        </is>
      </c>
    </row>
    <row r="114">
      <c r="A114" s="507" t="inlineStr">
        <is>
          <t>T8/2026</t>
        </is>
      </c>
      <c r="B114" s="507" t="inlineStr">
        <is>
          <t>Email: Alumni update</t>
        </is>
      </c>
      <c r="C114" s="507" t="inlineStr">
        <is>
          <t>FNL-011</t>
        </is>
      </c>
      <c r="D114" s="507" t="inlineStr">
        <is>
          <t>Email Marketing</t>
        </is>
      </c>
      <c r="E114" s="507" t="inlineStr">
        <is>
          <t>1,000,000</t>
        </is>
      </c>
      <c r="F114" s="507" t="n">
        <v>60</v>
      </c>
      <c r="G114" s="507" t="inlineStr"/>
      <c r="H114" s="507" t="inlineStr">
        <is>
          <t>16,667</t>
        </is>
      </c>
      <c r="I114" s="507" t="inlineStr">
        <is>
          <t>forms.truongvietanh.com/alumni-update</t>
        </is>
      </c>
    </row>
    <row r="115">
      <c r="A115" s="507" t="inlineStr">
        <is>
          <t>T9/2026</t>
        </is>
      </c>
      <c r="B115" s="507" t="inlineStr">
        <is>
          <t>Search: Scholarship</t>
        </is>
      </c>
      <c r="C115" s="507" t="inlineStr">
        <is>
          <t>FNL-012</t>
        </is>
      </c>
      <c r="D115" s="507" t="inlineStr">
        <is>
          <t>Google Ads</t>
        </is>
      </c>
      <c r="E115" s="507" t="inlineStr">
        <is>
          <t>5,500,000</t>
        </is>
      </c>
      <c r="F115" s="507" t="n">
        <v>110</v>
      </c>
      <c r="G115" s="507" t="inlineStr"/>
      <c r="H115" s="507" t="inlineStr">
        <is>
          <t>50,000</t>
        </is>
      </c>
      <c r="I115" s="507" t="inlineStr">
        <is>
          <t>forms.truongvietanh.com/scholarship-info</t>
        </is>
      </c>
    </row>
    <row r="116">
      <c r="A116" s="507" t="inlineStr">
        <is>
          <t>T9/2026</t>
        </is>
      </c>
      <c r="B116" s="507" t="inlineStr">
        <is>
          <t>Facebook: Scholarship</t>
        </is>
      </c>
      <c r="C116" s="507" t="inlineStr">
        <is>
          <t>FNL-012</t>
        </is>
      </c>
      <c r="D116" s="507" t="inlineStr">
        <is>
          <t>Facebook + Instagram</t>
        </is>
      </c>
      <c r="E116" s="507" t="inlineStr">
        <is>
          <t>4,500,000</t>
        </is>
      </c>
      <c r="F116" s="507" t="n">
        <v>120</v>
      </c>
      <c r="G116" s="507" t="inlineStr"/>
      <c r="H116" s="507" t="inlineStr">
        <is>
          <t>37,500</t>
        </is>
      </c>
      <c r="I116" s="507" t="inlineStr">
        <is>
          <t>forms.truongvietanh.com/scholarship-apply</t>
        </is>
      </c>
    </row>
    <row r="117">
      <c r="A117" s="507" t="inlineStr">
        <is>
          <t>T9/2026</t>
        </is>
      </c>
      <c r="B117" s="507" t="inlineStr">
        <is>
          <t>Zalo: Final push</t>
        </is>
      </c>
      <c r="C117" s="507" t="inlineStr">
        <is>
          <t>FNL-013</t>
        </is>
      </c>
      <c r="D117" s="507" t="inlineStr">
        <is>
          <t>Zalo Ads</t>
        </is>
      </c>
      <c r="E117" s="507" t="inlineStr">
        <is>
          <t>2,000,000</t>
        </is>
      </c>
      <c r="F117" s="507" t="n">
        <v>90</v>
      </c>
      <c r="G117" s="507" t="inlineStr"/>
      <c r="H117" s="507" t="inlineStr">
        <is>
          <t>22,222</t>
        </is>
      </c>
      <c r="I117" s="507" t="inlineStr">
        <is>
          <t>forms.truongvietanh.com/final-enrollment</t>
        </is>
      </c>
    </row>
    <row r="118">
      <c r="A118" s="507" t="inlineStr">
        <is>
          <t>T9/2026</t>
        </is>
      </c>
      <c r="B118" s="507" t="inlineStr">
        <is>
          <t>TikTok: Campus tour</t>
        </is>
      </c>
      <c r="C118" s="507" t="inlineStr">
        <is>
          <t>FNL-013</t>
        </is>
      </c>
      <c r="D118" s="507" t="inlineStr">
        <is>
          <t>TikTok Ads</t>
        </is>
      </c>
      <c r="E118" s="507" t="inlineStr">
        <is>
          <t>3,000,000</t>
        </is>
      </c>
      <c r="F118" s="507" t="n">
        <v>130</v>
      </c>
      <c r="G118" s="507" t="inlineStr"/>
      <c r="H118" s="507" t="inlineStr">
        <is>
          <t>23,077</t>
        </is>
      </c>
      <c r="I118" s="507" t="inlineStr">
        <is>
          <t>forms.truongvietanh.com/campus-tour-360</t>
        </is>
      </c>
    </row>
    <row r="119">
      <c r="A119" s="507" t="inlineStr">
        <is>
          <t>T9/2026</t>
        </is>
      </c>
      <c r="B119" s="507" t="inlineStr">
        <is>
          <t>YouTube: How to enroll</t>
        </is>
      </c>
      <c r="C119" s="507" t="inlineStr">
        <is>
          <t>FNL-012</t>
        </is>
      </c>
      <c r="D119" s="507" t="inlineStr">
        <is>
          <t>YouTube Ads</t>
        </is>
      </c>
      <c r="E119" s="507" t="inlineStr">
        <is>
          <t>3,000,000</t>
        </is>
      </c>
      <c r="F119" s="507" t="n">
        <v>95</v>
      </c>
      <c r="G119" s="507" t="inlineStr"/>
      <c r="H119" s="507" t="inlineStr">
        <is>
          <t>31,579</t>
        </is>
      </c>
      <c r="I119" s="507" t="inlineStr">
        <is>
          <t>forms.truongvietanh.com/how-to-enroll</t>
        </is>
      </c>
    </row>
  </sheetData>
  <mergeCells count="3">
    <mergeCell ref="A82:I82"/>
    <mergeCell ref="B1:P1"/>
    <mergeCell ref="B2:P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B1:I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2" customWidth="1" style="247" min="2" max="2"/>
    <col width="15" customWidth="1" style="247" min="3" max="4"/>
    <col width="14" customWidth="1" style="247" min="5" max="8"/>
    <col width="3" customWidth="1" style="247" min="9" max="9"/>
  </cols>
  <sheetData>
    <row r="1" ht="36" customHeight="1" s="248">
      <c r="B1" s="374" t="inlineStr">
        <is>
          <t>📱 KẾ HOẠCH META ADS CHI TIẾT – 04/2026 → 09/2026 (Facebook + Instagram)</t>
        </is>
      </c>
    </row>
    <row r="2" ht="25.5" customHeight="1" s="248">
      <c r="B2" s="455" t="inlineStr">
        <is>
          <t>Tổng ngân sách Meta: 3,230,000,000đ (38% Paid Media) | CPL mục tiêu: 120,000đ | Kênh chủ lực tạo demand + lead</t>
        </is>
      </c>
    </row>
    <row r="4" ht="24" customHeight="1" s="248">
      <c r="B4" s="388" t="inlineStr">
        <is>
          <t>💰 NGÂN SÁCH META THEO THÁNG (04-09/2026)</t>
        </is>
      </c>
    </row>
    <row r="5" ht="19.5" customHeight="1" s="248">
      <c r="B5" s="418" t="inlineStr">
        <is>
          <t>Tháng</t>
        </is>
      </c>
      <c r="C5" s="418" t="inlineStr">
        <is>
          <t>% NS tháng</t>
        </is>
      </c>
      <c r="D5" s="418" t="inlineStr">
        <is>
          <t>Ngân sách Meta</t>
        </is>
      </c>
      <c r="E5" s="418" t="inlineStr">
        <is>
          <t>Trọng tâm</t>
        </is>
      </c>
      <c r="F5" s="418" t="inlineStr">
        <is>
          <t>Kênh ưu tiên</t>
        </is>
      </c>
      <c r="G5" s="418" t="inlineStr">
        <is>
          <t>KPI Lead</t>
        </is>
      </c>
      <c r="H5" s="418" t="inlineStr">
        <is>
          <t>KPI Tour</t>
        </is>
      </c>
    </row>
    <row r="6" ht="21.75" customHeight="1" s="248">
      <c r="B6" s="261" t="inlineStr">
        <is>
          <t>Tháng 4</t>
        </is>
      </c>
      <c r="C6" s="456" t="n">
        <v>0.1</v>
      </c>
      <c r="D6" s="457" t="n">
        <v>323000000</v>
      </c>
      <c r="E6" s="458" t="inlineStr">
        <is>
          <t>Setup + test creative | Prospecting cold</t>
        </is>
      </c>
      <c r="F6" s="459" t="inlineStr">
        <is>
          <t>Prospecting, Lead Gen</t>
        </is>
      </c>
      <c r="G6" s="299" t="n">
        <v>450</v>
      </c>
      <c r="H6" s="299" t="n">
        <v>135</v>
      </c>
      <c r="I6" s="268" t="n"/>
    </row>
    <row r="7" ht="21.75" customHeight="1" s="248">
      <c r="B7" s="269" t="inlineStr">
        <is>
          <t>Tháng 5</t>
        </is>
      </c>
      <c r="C7" s="279" t="n">
        <v>0.2</v>
      </c>
      <c r="D7" s="460" t="n">
        <v>646000000</v>
      </c>
      <c r="E7" s="281" t="inlineStr">
        <is>
          <t>Scale lead | Open Day | Webinar push</t>
        </is>
      </c>
      <c r="F7" s="461" t="inlineStr">
        <is>
          <t>Lookalike + Webinar</t>
        </is>
      </c>
      <c r="G7" s="280" t="n">
        <v>900</v>
      </c>
      <c r="H7" s="280" t="n">
        <v>270</v>
      </c>
      <c r="I7" s="276" t="n"/>
    </row>
    <row r="8" ht="21.75" customHeight="1" s="248">
      <c r="B8" s="261" t="inlineStr">
        <is>
          <t>Tháng 6</t>
        </is>
      </c>
      <c r="C8" s="456" t="n">
        <v>0.26</v>
      </c>
      <c r="D8" s="457" t="n">
        <v>839800000</v>
      </c>
      <c r="E8" s="458" t="inlineStr">
        <is>
          <t>Tour cao điểm | Remarket mạnh</t>
        </is>
      </c>
      <c r="F8" s="459" t="inlineStr">
        <is>
          <t>Retarget + High Intent</t>
        </is>
      </c>
      <c r="G8" s="299" t="n">
        <v>1100</v>
      </c>
      <c r="H8" s="299" t="n">
        <v>330</v>
      </c>
      <c r="I8" s="268" t="n"/>
    </row>
    <row r="9" ht="21.75" customHeight="1" s="248">
      <c r="B9" s="269" t="inlineStr">
        <is>
          <t>Tháng 7</t>
        </is>
      </c>
      <c r="C9" s="279" t="n">
        <v>0.24</v>
      </c>
      <c r="D9" s="460" t="n">
        <v>775200000</v>
      </c>
      <c r="E9" s="281" t="inlineStr">
        <is>
          <t>Chốt sale | Học bổng | Pipeline</t>
        </is>
      </c>
      <c r="F9" s="461" t="inlineStr">
        <is>
          <t>Remarketing + Deadline</t>
        </is>
      </c>
      <c r="G9" s="280" t="n">
        <v>1000</v>
      </c>
      <c r="H9" s="280" t="n">
        <v>300</v>
      </c>
      <c r="I9" s="276" t="n"/>
    </row>
    <row r="10" ht="21.75" customHeight="1" s="248">
      <c r="B10" s="261" t="inlineStr">
        <is>
          <t>Tháng 8</t>
        </is>
      </c>
      <c r="C10" s="456" t="n">
        <v>0.14</v>
      </c>
      <c r="D10" s="457" t="n">
        <v>452200000</v>
      </c>
      <c r="E10" s="458" t="inlineStr">
        <is>
          <t>Vét cuối | Retarget database</t>
        </is>
      </c>
      <c r="F10" s="459" t="inlineStr">
        <is>
          <t>Heavy Remarketing</t>
        </is>
      </c>
      <c r="G10" s="299" t="n">
        <v>600</v>
      </c>
      <c r="H10" s="299" t="n">
        <v>180</v>
      </c>
      <c r="I10" s="268" t="n"/>
    </row>
    <row r="11" ht="21.75" customHeight="1" s="248">
      <c r="B11" s="269" t="inlineStr">
        <is>
          <t>Tháng 9</t>
        </is>
      </c>
      <c r="C11" s="279" t="n">
        <v>0.06</v>
      </c>
      <c r="D11" s="460" t="n">
        <v>193800000</v>
      </c>
      <c r="E11" s="281" t="inlineStr">
        <is>
          <t>Late intake | Chuyển trường | Brand</t>
        </is>
      </c>
      <c r="F11" s="461" t="inlineStr">
        <is>
          <t>Brand + Late Intent</t>
        </is>
      </c>
      <c r="G11" s="280" t="n">
        <v>200</v>
      </c>
      <c r="H11" s="280" t="n">
        <v>60</v>
      </c>
      <c r="I11" s="276" t="n"/>
    </row>
    <row r="12" ht="24" customHeight="1" s="248">
      <c r="B12" s="462" t="inlineStr">
        <is>
          <t>TỔNG</t>
        </is>
      </c>
      <c r="C12" s="463" t="n">
        <v>1</v>
      </c>
      <c r="D12" s="464" t="n">
        <v>3230000000</v>
      </c>
      <c r="E12" s="465" t="n"/>
      <c r="F12" s="465" t="n"/>
      <c r="G12" s="464">
        <f>SUM(G6:G11)</f>
        <v/>
      </c>
      <c r="H12" s="464">
        <f>SUM(H6:H11)</f>
        <v/>
      </c>
      <c r="I12" s="465" t="n"/>
    </row>
    <row r="14" ht="24" customHeight="1" s="248">
      <c r="B14" s="388" t="inlineStr">
        <is>
          <t>🗂️ CẤU TRÚC CAMPAIGN META ADS – PHÂN THEO CƠ SỞ + MỤC TIÊU</t>
        </is>
      </c>
    </row>
    <row r="15" ht="19.5" customHeight="1" s="248">
      <c r="B15" s="418" t="inlineStr">
        <is>
          <t>Campaign</t>
        </is>
      </c>
      <c r="C15" s="418" t="inlineStr">
        <is>
          <t>Objective</t>
        </is>
      </c>
      <c r="D15" s="418" t="inlineStr">
        <is>
          <t>Audience</t>
        </is>
      </c>
      <c r="E15" s="418" t="inlineStr">
        <is>
          <t>Creative</t>
        </is>
      </c>
      <c r="F15" s="418" t="inlineStr">
        <is>
          <t>Budget/tháng</t>
        </is>
      </c>
      <c r="G15" s="418" t="inlineStr">
        <is>
          <t>GHL Pipeline</t>
        </is>
      </c>
      <c r="H15" s="418" t="inlineStr">
        <is>
          <t>KPI chính</t>
        </is>
      </c>
    </row>
    <row r="16" ht="27.75" customHeight="1" s="248">
      <c r="B16" s="261" t="inlineStr">
        <is>
          <t>MN_GV_LeadGen</t>
        </is>
      </c>
      <c r="C16" s="466" t="inlineStr">
        <is>
          <t>Lead Gen</t>
        </is>
      </c>
      <c r="D16" s="466" t="inlineStr">
        <is>
          <t>Geo 5km MN GV | Age 25-40 | Parenting | LA 1-3%</t>
        </is>
      </c>
      <c r="E16" s="466" t="inlineStr">
        <is>
          <t>Video testi 15-30s + Carousel + Lead form</t>
        </is>
      </c>
      <c r="F16" s="466" t="n">
        <v>134583333</v>
      </c>
      <c r="G16" s="457" t="inlineStr">
        <is>
          <t>Pipeline MN</t>
        </is>
      </c>
      <c r="H16" s="466" t="inlineStr">
        <is>
          <t>CPL &lt;120k, Tour/tháng</t>
        </is>
      </c>
      <c r="I16" s="268" t="n"/>
    </row>
    <row r="17" ht="27.75" customHeight="1" s="248">
      <c r="B17" s="269" t="inlineStr">
        <is>
          <t>MN_NL_Local</t>
        </is>
      </c>
      <c r="C17" s="412" t="inlineStr">
        <is>
          <t>Lead Gen</t>
        </is>
      </c>
      <c r="D17" s="412" t="inlineStr">
        <is>
          <t>Geo Cần Giuộc-Tây Ninh | Age 25-40 | Local</t>
        </is>
      </c>
      <c r="E17" s="412" t="inlineStr">
        <is>
          <t>Ảnh campus + text local | Lead form VN</t>
        </is>
      </c>
      <c r="F17" s="412" t="n">
        <v>40416667</v>
      </c>
      <c r="G17" s="460" t="inlineStr">
        <is>
          <t>Pipeline MN NL</t>
        </is>
      </c>
      <c r="H17" s="412" t="inlineStr">
        <is>
          <t>CPL &lt;100k</t>
        </is>
      </c>
      <c r="I17" s="276" t="n"/>
    </row>
    <row r="18" ht="27.75" customHeight="1" s="248">
      <c r="B18" s="261" t="inlineStr">
        <is>
          <t>MN_TS_Local</t>
        </is>
      </c>
      <c r="C18" s="466" t="inlineStr">
        <is>
          <t>Lead Gen</t>
        </is>
      </c>
      <c r="D18" s="466" t="inlineStr">
        <is>
          <t>Geo KDC Thái Sơn | Age 25-40 | Parenting</t>
        </is>
      </c>
      <c r="E18" s="466" t="inlineStr">
        <is>
          <t>Image + text đơn giản | Hotline CTA</t>
        </is>
      </c>
      <c r="F18" s="466" t="n">
        <v>40416667</v>
      </c>
      <c r="G18" s="457" t="inlineStr">
        <is>
          <t>Pipeline MN TS</t>
        </is>
      </c>
      <c r="H18" s="466" t="inlineStr">
        <is>
          <t>CPL &lt;100k</t>
        </is>
      </c>
      <c r="I18" s="268" t="n"/>
    </row>
    <row r="19" ht="27.75" customHeight="1" s="248">
      <c r="B19" s="269" t="inlineStr">
        <is>
          <t>MN_MX_Local</t>
        </is>
      </c>
      <c r="C19" s="412" t="inlineStr">
        <is>
          <t>Lead Gen</t>
        </is>
      </c>
      <c r="D19" s="412" t="inlineStr">
        <is>
          <t>Geo Rạch Giá-An Giang | Age 25-40</t>
        </is>
      </c>
      <c r="E19" s="412" t="inlineStr">
        <is>
          <t>Ảnh campus + lead form | Local dialect</t>
        </is>
      </c>
      <c r="F19" s="412" t="n">
        <v>40416667</v>
      </c>
      <c r="G19" s="460" t="inlineStr">
        <is>
          <t>Pipeline MN MX</t>
        </is>
      </c>
      <c r="H19" s="412" t="inlineStr">
        <is>
          <t>CPL &lt;90k</t>
        </is>
      </c>
      <c r="I19" s="276" t="n"/>
    </row>
    <row r="20" ht="27.75" customHeight="1" s="248">
      <c r="B20" s="261" t="inlineStr">
        <is>
          <t>TH_GV_LeadGen</t>
        </is>
      </c>
      <c r="C20" s="466" t="inlineStr">
        <is>
          <t>Lead Gen</t>
        </is>
      </c>
      <c r="D20" s="466" t="inlineStr">
        <is>
          <t>Geo Gò Vấp | Age 28-42 | Education parent</t>
        </is>
      </c>
      <c r="E20" s="466" t="inlineStr">
        <is>
          <t>Video "Nền tảng lớp 1" + Carousel + Form</t>
        </is>
      </c>
      <c r="F20" s="466" t="n">
        <v>100416667</v>
      </c>
      <c r="G20" s="457" t="inlineStr">
        <is>
          <t>Pipeline TH GV</t>
        </is>
      </c>
      <c r="H20" s="466" t="inlineStr">
        <is>
          <t>CPL &lt;130k</t>
        </is>
      </c>
      <c r="I20" s="268" t="n"/>
    </row>
    <row r="21" ht="27.75" customHeight="1" s="248">
      <c r="B21" s="269" t="inlineStr">
        <is>
          <t>TH_BT_LeadGen</t>
        </is>
      </c>
      <c r="C21" s="412" t="inlineStr">
        <is>
          <t>Lead Gen</t>
        </is>
      </c>
      <c r="D21" s="412" t="inlineStr">
        <is>
          <t>Geo Bình Tân | Age 28-42 | Parents</t>
        </is>
      </c>
      <c r="E21" s="412" t="inlineStr">
        <is>
          <t>Image + text | School tour CTA</t>
        </is>
      </c>
      <c r="F21" s="412" t="n">
        <v>100416667</v>
      </c>
      <c r="G21" s="460" t="inlineStr">
        <is>
          <t>Pipeline TH BT</t>
        </is>
      </c>
      <c r="H21" s="412" t="inlineStr">
        <is>
          <t>CPL &lt;130k</t>
        </is>
      </c>
      <c r="I21" s="276" t="n"/>
    </row>
    <row r="22" ht="27.75" customHeight="1" s="248">
      <c r="B22" s="261" t="inlineStr">
        <is>
          <t>TH_Tinh_Local</t>
        </is>
      </c>
      <c r="C22" s="466" t="inlineStr">
        <is>
          <t>Lead Gen</t>
        </is>
      </c>
      <c r="D22" s="466" t="inlineStr">
        <is>
          <t>Geo Tây Ninh + An Giang | Age 28-42</t>
        </is>
      </c>
      <c r="E22" s="466" t="inlineStr">
        <is>
          <t>Local image + text | Hotline + form</t>
        </is>
      </c>
      <c r="F22" s="466" t="n">
        <v>60833333</v>
      </c>
      <c r="G22" s="457" t="inlineStr">
        <is>
          <t>Pipeline TH Tỉnh</t>
        </is>
      </c>
      <c r="H22" s="466" t="inlineStr">
        <is>
          <t>CPL &lt;100k</t>
        </is>
      </c>
      <c r="I22" s="268" t="n"/>
    </row>
    <row r="23" ht="27.75" customHeight="1" s="248">
      <c r="B23" s="269" t="inlineStr">
        <is>
          <t>THCS_GV_LeadGen</t>
        </is>
      </c>
      <c r="C23" s="412" t="inlineStr">
        <is>
          <t>Lead Gen</t>
        </is>
      </c>
      <c r="D23" s="412" t="inlineStr">
        <is>
          <t>Geo GV+5km | Age 32-48 | HS cấp 1 parent</t>
        </is>
      </c>
      <c r="E23" s="412" t="inlineStr">
        <is>
          <t>Video testi "Chuyển cấp" + Lead form</t>
        </is>
      </c>
      <c r="F23" s="412" t="n">
        <v>154166667</v>
      </c>
      <c r="G23" s="460" t="inlineStr">
        <is>
          <t>Pipeline THCS</t>
        </is>
      </c>
      <c r="H23" s="412" t="inlineStr">
        <is>
          <t>CPL &lt;160k</t>
        </is>
      </c>
      <c r="I23" s="276" t="n"/>
    </row>
    <row r="24" ht="27.75" customHeight="1" s="248">
      <c r="B24" s="261" t="inlineStr">
        <is>
          <t>THCS_GV_Webinar</t>
        </is>
      </c>
      <c r="C24" s="466" t="inlineStr">
        <is>
          <t>Lead Generation</t>
        </is>
      </c>
      <c r="D24" s="466" t="inlineStr">
        <is>
          <t>Geo HCM | Age 32-48 | Education</t>
        </is>
      </c>
      <c r="E24" s="466" t="inlineStr">
        <is>
          <t>Video webinar invitation + Carousel benefits</t>
        </is>
      </c>
      <c r="F24" s="466" t="n">
        <v>50000000</v>
      </c>
      <c r="G24" s="457" t="inlineStr">
        <is>
          <t>Pipeline Webinar</t>
        </is>
      </c>
      <c r="H24" s="466" t="inlineStr">
        <is>
          <t>Reg &lt;50k</t>
        </is>
      </c>
      <c r="I24" s="268" t="n"/>
    </row>
    <row r="25" ht="27.75" customHeight="1" s="248">
      <c r="B25" s="269" t="inlineStr">
        <is>
          <t>THPT_GV_LeadGen</t>
        </is>
      </c>
      <c r="C25" s="412" t="inlineStr">
        <is>
          <t>Lead Gen</t>
        </is>
      </c>
      <c r="D25" s="412" t="inlineStr">
        <is>
          <t>Geo GV+HCM | Age 36-52 | Lớp 9 parent</t>
        </is>
      </c>
      <c r="E25" s="412" t="inlineStr">
        <is>
          <t>Video "Lộ trình THPT" + Lead form</t>
        </is>
      </c>
      <c r="F25" s="412" t="n">
        <v>270583333</v>
      </c>
      <c r="G25" s="460" t="inlineStr">
        <is>
          <t>Pipeline THPT</t>
        </is>
      </c>
      <c r="H25" s="412" t="inlineStr">
        <is>
          <t>CPL &lt;180k</t>
        </is>
      </c>
      <c r="I25" s="276" t="n"/>
    </row>
    <row r="26" ht="27.75" customHeight="1" s="248">
      <c r="B26" s="261" t="inlineStr">
        <is>
          <t>THPT_GV_Webinar</t>
        </is>
      </c>
      <c r="C26" s="466" t="inlineStr">
        <is>
          <t>Lead Generation</t>
        </is>
      </c>
      <c r="D26" s="466" t="inlineStr">
        <is>
          <t>Geo HCM+Tỉnh | Age 36-52</t>
        </is>
      </c>
      <c r="E26" s="466" t="inlineStr">
        <is>
          <t>Video webinar invitation "Chọn trường lớp 10"</t>
        </is>
      </c>
      <c r="F26" s="466" t="n">
        <v>90000000</v>
      </c>
      <c r="G26" s="457" t="inlineStr">
        <is>
          <t>Pipeline Webinar</t>
        </is>
      </c>
      <c r="H26" s="466" t="inlineStr">
        <is>
          <t>Reg &lt;50k</t>
        </is>
      </c>
      <c r="I26" s="268" t="n"/>
    </row>
    <row r="27" ht="27.75" customHeight="1" s="248">
      <c r="B27" s="269" t="inlineStr">
        <is>
          <t>THPT_HocBong</t>
        </is>
      </c>
      <c r="C27" s="412" t="inlineStr">
        <is>
          <t>Lead Gen</t>
        </is>
      </c>
      <c r="D27" s="412" t="inlineStr">
        <is>
          <t>Geo HCM | Age 36-52 | Edu, competition</t>
        </is>
      </c>
      <c r="E27" s="412" t="inlineStr">
        <is>
          <t>Image học bổng + USP + deadline</t>
        </is>
      </c>
      <c r="F27" s="412" t="n">
        <v>50000000</v>
      </c>
      <c r="G27" s="460" t="inlineStr">
        <is>
          <t>Pipeline HB</t>
        </is>
      </c>
      <c r="H27" s="412" t="inlineStr">
        <is>
          <t>CPL &lt;150k</t>
        </is>
      </c>
      <c r="I27" s="276" t="n"/>
    </row>
    <row r="28" ht="27.75" customHeight="1" s="248">
      <c r="B28" s="261" t="inlineStr">
        <is>
          <t>Retarget_7d_Hot</t>
        </is>
      </c>
      <c r="C28" s="466" t="inlineStr">
        <is>
          <t>Conversions</t>
        </is>
      </c>
      <c r="D28" s="466" t="inlineStr">
        <is>
          <t>Website visitors 7d | Form open no submit</t>
        </is>
      </c>
      <c r="E28" s="466" t="inlineStr">
        <is>
          <t>Dynamic creative + urgency CTA</t>
        </is>
      </c>
      <c r="F28" s="466" t="n">
        <v>150000000</v>
      </c>
      <c r="G28" s="457" t="inlineStr">
        <is>
          <t>Follow-up seq</t>
        </is>
      </c>
      <c r="H28" s="466" t="inlineStr">
        <is>
          <t>ROAS, Conv</t>
        </is>
      </c>
      <c r="I28" s="268" t="n"/>
    </row>
    <row r="29" ht="27.75" customHeight="1" s="248">
      <c r="B29" s="269" t="inlineStr">
        <is>
          <t>Retarget_21d_Warm</t>
        </is>
      </c>
      <c r="C29" s="412" t="inlineStr">
        <is>
          <t>Conversions</t>
        </is>
      </c>
      <c r="D29" s="412" t="inlineStr">
        <is>
          <t>Video viewers 25%+ | Page engagers 21d</t>
        </is>
      </c>
      <c r="E29" s="412" t="inlineStr">
        <is>
          <t>Testimonial video + tour invitation</t>
        </is>
      </c>
      <c r="F29" s="412" t="n">
        <v>100000000</v>
      </c>
      <c r="G29" s="460" t="inlineStr">
        <is>
          <t>Nurture seq</t>
        </is>
      </c>
      <c r="H29" s="412" t="inlineStr">
        <is>
          <t>Tour booked</t>
        </is>
      </c>
      <c r="I29" s="276" t="n"/>
    </row>
    <row r="30" ht="27.75" customHeight="1" s="248">
      <c r="B30" s="261" t="inlineStr">
        <is>
          <t>Retarget_60d_Old</t>
        </is>
      </c>
      <c r="C30" s="466" t="inlineStr">
        <is>
          <t>Awareness</t>
        </is>
      </c>
      <c r="D30" s="466" t="inlineStr">
        <is>
          <t>Website visitors 22-60d</t>
        </is>
      </c>
      <c r="E30" s="466" t="inlineStr">
        <is>
          <t>Brand video + campus life</t>
        </is>
      </c>
      <c r="F30" s="466" t="n">
        <v>50000000</v>
      </c>
      <c r="G30" s="457" t="inlineStr">
        <is>
          <t>Reactivation</t>
        </is>
      </c>
      <c r="H30" s="466" t="inlineStr">
        <is>
          <t>Reach, Recall</t>
        </is>
      </c>
      <c r="I30" s="268" t="n"/>
    </row>
    <row r="31" ht="27.75" customHeight="1" s="248">
      <c r="B31" s="269" t="inlineStr">
        <is>
          <t>Brand_Awareness</t>
        </is>
      </c>
      <c r="C31" s="412" t="inlineStr">
        <is>
          <t>Awareness</t>
        </is>
      </c>
      <c r="D31" s="412" t="inlineStr">
        <is>
          <t>Broad HCM | Age 25-50 | Parents</t>
        </is>
      </c>
      <c r="E31" s="412" t="inlineStr">
        <is>
          <t>Brand video &lt;15s | USP overlay</t>
        </is>
      </c>
      <c r="F31" s="412" t="n">
        <v>150000000</v>
      </c>
      <c r="G31" s="460" t="inlineStr">
        <is>
          <t>-</t>
        </is>
      </c>
      <c r="H31" s="412" t="inlineStr">
        <is>
          <t>CPM, Recall</t>
        </is>
      </c>
      <c r="I31" s="276" t="n"/>
    </row>
    <row r="34" ht="24" customHeight="1" s="248">
      <c r="B34" s="388" t="inlineStr">
        <is>
          <t>🎯 KPI MỤC TIÊU META ADS THEO THÁNG</t>
        </is>
      </c>
    </row>
    <row r="35" ht="19.5" customHeight="1" s="248">
      <c r="B35" s="395" t="inlineStr">
        <is>
          <t>KPI</t>
        </is>
      </c>
      <c r="C35" s="395" t="inlineStr">
        <is>
          <t>Tháng 4</t>
        </is>
      </c>
      <c r="D35" s="395" t="inlineStr">
        <is>
          <t>Tháng 5</t>
        </is>
      </c>
      <c r="E35" s="395" t="inlineStr">
        <is>
          <t>Tháng 6</t>
        </is>
      </c>
      <c r="F35" s="395" t="inlineStr">
        <is>
          <t>Tháng 7</t>
        </is>
      </c>
      <c r="G35" s="395" t="inlineStr">
        <is>
          <t>Tháng 8</t>
        </is>
      </c>
      <c r="H35" s="395" t="inlineStr">
        <is>
          <t>Tháng 9</t>
        </is>
      </c>
    </row>
    <row r="36" ht="19.5" customHeight="1" s="248">
      <c r="B36" s="261" t="inlineStr">
        <is>
          <t>CPL mục tiêu (đ)</t>
        </is>
      </c>
      <c r="C36" s="299" t="n">
        <v>150000</v>
      </c>
      <c r="D36" s="299" t="n">
        <v>135000</v>
      </c>
      <c r="E36" s="299" t="n">
        <v>120000</v>
      </c>
      <c r="F36" s="299" t="n">
        <v>120000</v>
      </c>
      <c r="G36" s="299" t="n">
        <v>130000</v>
      </c>
      <c r="H36" s="299" t="n">
        <v>150000</v>
      </c>
      <c r="I36" s="268" t="n"/>
    </row>
    <row r="37" ht="19.5" customHeight="1" s="248">
      <c r="B37" s="269" t="inlineStr">
        <is>
          <t>CTR mục tiêu</t>
        </is>
      </c>
      <c r="C37" s="282" t="inlineStr">
        <is>
          <t>1.2%</t>
        </is>
      </c>
      <c r="D37" s="282" t="inlineStr">
        <is>
          <t>1.5%</t>
        </is>
      </c>
      <c r="E37" s="282" t="inlineStr">
        <is>
          <t>1.8%</t>
        </is>
      </c>
      <c r="F37" s="282" t="inlineStr">
        <is>
          <t>1.8%</t>
        </is>
      </c>
      <c r="G37" s="282" t="inlineStr">
        <is>
          <t>1.5%</t>
        </is>
      </c>
      <c r="H37" s="282" t="inlineStr">
        <is>
          <t>1.2%</t>
        </is>
      </c>
      <c r="I37" s="276" t="n"/>
    </row>
    <row r="38" ht="19.5" customHeight="1" s="248">
      <c r="B38" s="261" t="inlineStr">
        <is>
          <t>CPM mục tiêu (đ)</t>
        </is>
      </c>
      <c r="C38" s="299" t="n">
        <v>80000</v>
      </c>
      <c r="D38" s="299" t="n">
        <v>75000</v>
      </c>
      <c r="E38" s="299" t="n">
        <v>70000</v>
      </c>
      <c r="F38" s="299" t="n">
        <v>70000</v>
      </c>
      <c r="G38" s="299" t="n">
        <v>75000</v>
      </c>
      <c r="H38" s="299" t="n">
        <v>80000</v>
      </c>
      <c r="I38" s="268" t="n"/>
    </row>
    <row r="39" ht="19.5" customHeight="1" s="248">
      <c r="B39" s="269" t="inlineStr">
        <is>
          <t>Leads/tháng</t>
        </is>
      </c>
      <c r="C39" s="280" t="n">
        <v>450</v>
      </c>
      <c r="D39" s="280" t="n">
        <v>900</v>
      </c>
      <c r="E39" s="280" t="n">
        <v>1100</v>
      </c>
      <c r="F39" s="280" t="n">
        <v>1000</v>
      </c>
      <c r="G39" s="280" t="n">
        <v>600</v>
      </c>
      <c r="H39" s="280" t="n">
        <v>200</v>
      </c>
      <c r="I39" s="276" t="n"/>
    </row>
    <row r="40" ht="19.5" customHeight="1" s="248">
      <c r="B40" s="261" t="inlineStr">
        <is>
          <t>Qualified Rate</t>
        </is>
      </c>
      <c r="C40" s="298" t="inlineStr">
        <is>
          <t>40%</t>
        </is>
      </c>
      <c r="D40" s="298" t="inlineStr">
        <is>
          <t>45%</t>
        </is>
      </c>
      <c r="E40" s="298" t="inlineStr">
        <is>
          <t>50%</t>
        </is>
      </c>
      <c r="F40" s="298" t="inlineStr">
        <is>
          <t>50%</t>
        </is>
      </c>
      <c r="G40" s="298" t="inlineStr">
        <is>
          <t>48%</t>
        </is>
      </c>
      <c r="H40" s="298" t="inlineStr">
        <is>
          <t>45%</t>
        </is>
      </c>
      <c r="I40" s="268" t="n"/>
    </row>
    <row r="41" ht="19.5" customHeight="1" s="248">
      <c r="B41" s="269" t="inlineStr">
        <is>
          <t>Booked Tour/tháng</t>
        </is>
      </c>
      <c r="C41" s="280" t="n">
        <v>90</v>
      </c>
      <c r="D41" s="280" t="n">
        <v>180</v>
      </c>
      <c r="E41" s="280" t="n">
        <v>220</v>
      </c>
      <c r="F41" s="280" t="n">
        <v>200</v>
      </c>
      <c r="G41" s="280" t="n">
        <v>120</v>
      </c>
      <c r="H41" s="280" t="n">
        <v>40</v>
      </c>
      <c r="I41" s="276" t="n"/>
    </row>
    <row r="42" ht="19.5" customHeight="1" s="248">
      <c r="B42" s="261" t="inlineStr">
        <is>
          <t>Cost/Tour mục tiêu</t>
        </is>
      </c>
      <c r="C42" s="299" t="n">
        <v>1800000</v>
      </c>
      <c r="D42" s="299" t="n">
        <v>1500000</v>
      </c>
      <c r="E42" s="299" t="n">
        <v>1200000</v>
      </c>
      <c r="F42" s="299" t="n">
        <v>1200000</v>
      </c>
      <c r="G42" s="299" t="n">
        <v>1500000</v>
      </c>
      <c r="H42" s="299" t="n">
        <v>2000000</v>
      </c>
      <c r="I42" s="268" t="n"/>
    </row>
  </sheetData>
  <mergeCells count="5">
    <mergeCell ref="B2:I2"/>
    <mergeCell ref="B34:I34"/>
    <mergeCell ref="B14:I14"/>
    <mergeCell ref="B1:I1"/>
    <mergeCell ref="B4:I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B1:I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4" customWidth="1" style="247" min="2" max="2"/>
    <col width="14" customWidth="1" style="247" min="3" max="8"/>
    <col width="3" customWidth="1" style="247" min="9" max="9"/>
  </cols>
  <sheetData>
    <row r="1" ht="36" customHeight="1" s="248">
      <c r="B1" s="441" t="inlineStr">
        <is>
          <t>🔍 KẾ HOẠCH GOOGLE ADS CHI TIẾT – 04/2026 → 09/2026 (Search + Display + YouTube + PMax)</t>
        </is>
      </c>
    </row>
    <row r="2" ht="25.5" customHeight="1" s="248">
      <c r="B2" s="467" t="inlineStr">
        <is>
          <t>Google Search: 1,530,000,000đ | G.Display/YouTube: 595,000,000đ | Tổng: 2,125,000,000đ | CPL mục tiêu: 180,000đ</t>
        </is>
      </c>
    </row>
    <row r="4" ht="24" customHeight="1" s="248">
      <c r="B4" s="377" t="inlineStr">
        <is>
          <t>💰 NGÂN SÁCH GOOGLE ADS THEO THÁNG</t>
        </is>
      </c>
    </row>
    <row r="5" ht="19.5" customHeight="1" s="248">
      <c r="B5" s="395" t="inlineStr">
        <is>
          <t>Tháng</t>
        </is>
      </c>
      <c r="C5" s="395" t="inlineStr">
        <is>
          <t>Search</t>
        </is>
      </c>
      <c r="D5" s="395" t="inlineStr">
        <is>
          <t>Display/YT</t>
        </is>
      </c>
      <c r="E5" s="395" t="inlineStr">
        <is>
          <t>PMax Test</t>
        </is>
      </c>
      <c r="F5" s="395" t="inlineStr">
        <is>
          <t>Tổng</t>
        </is>
      </c>
      <c r="G5" s="395" t="inlineStr">
        <is>
          <t>Trọng tâm</t>
        </is>
      </c>
      <c r="H5" s="395" t="inlineStr">
        <is>
          <t>KPI Lead</t>
        </is>
      </c>
    </row>
    <row r="6" ht="19.5" customHeight="1" s="248">
      <c r="B6" s="301" t="inlineStr">
        <is>
          <t>26/03-03/2026</t>
        </is>
      </c>
      <c r="C6" s="468" t="n">
        <v>60000000</v>
      </c>
      <c r="D6" s="303" t="n">
        <v>15000000</v>
      </c>
      <c r="E6" s="469" t="inlineStr">
        <is>
          <t>-</t>
        </is>
      </c>
      <c r="F6" s="470" t="n">
        <v>75000000</v>
      </c>
      <c r="G6" s="471" t="inlineStr">
        <is>
          <t>Setup + pilot Brand + GV</t>
        </is>
      </c>
      <c r="H6" s="303" t="n">
        <v>80</v>
      </c>
      <c r="I6" s="472" t="n"/>
    </row>
    <row r="7" ht="19.5" customHeight="1" s="248">
      <c r="B7" s="269" t="inlineStr">
        <is>
          <t>Tháng 4</t>
        </is>
      </c>
      <c r="C7" s="270" t="n">
        <v>220000000</v>
      </c>
      <c r="D7" s="280" t="n">
        <v>55000000</v>
      </c>
      <c r="E7" s="273" t="inlineStr">
        <is>
          <t>-</t>
        </is>
      </c>
      <c r="F7" s="460" t="n">
        <v>275000000</v>
      </c>
      <c r="G7" s="281" t="inlineStr">
        <is>
          <t>Brand + Generic all campus</t>
        </is>
      </c>
      <c r="H7" s="280" t="n">
        <v>250</v>
      </c>
      <c r="I7" s="276" t="n"/>
    </row>
    <row r="8" ht="19.5" customHeight="1" s="248">
      <c r="B8" s="301" t="inlineStr">
        <is>
          <t>Tháng 5</t>
        </is>
      </c>
      <c r="C8" s="468" t="n">
        <v>365000000</v>
      </c>
      <c r="D8" s="303" t="n">
        <v>91000000</v>
      </c>
      <c r="E8" s="469" t="inlineStr">
        <is>
          <t>-</t>
        </is>
      </c>
      <c r="F8" s="470" t="n">
        <v>456000000</v>
      </c>
      <c r="G8" s="471" t="inlineStr">
        <is>
          <t>Scale generic + webinar search</t>
        </is>
      </c>
      <c r="H8" s="303" t="n">
        <v>430</v>
      </c>
      <c r="I8" s="472" t="n"/>
    </row>
    <row r="9" ht="19.5" customHeight="1" s="248">
      <c r="B9" s="269" t="inlineStr">
        <is>
          <t>Tháng 6</t>
        </is>
      </c>
      <c r="C9" s="270" t="n">
        <v>430000000</v>
      </c>
      <c r="D9" s="280" t="n">
        <v>107000000</v>
      </c>
      <c r="E9" s="473" t="n">
        <v>11000000</v>
      </c>
      <c r="F9" s="460" t="n">
        <v>548000000</v>
      </c>
      <c r="G9" s="281" t="inlineStr">
        <is>
          <t>High intent + PMax test</t>
        </is>
      </c>
      <c r="H9" s="280" t="n">
        <v>510</v>
      </c>
      <c r="I9" s="276" t="n"/>
    </row>
    <row r="10" ht="19.5" customHeight="1" s="248">
      <c r="B10" s="301" t="inlineStr">
        <is>
          <t>Tháng 7</t>
        </is>
      </c>
      <c r="C10" s="468" t="n">
        <v>388000000</v>
      </c>
      <c r="D10" s="303" t="n">
        <v>97000000</v>
      </c>
      <c r="E10" s="474" t="n">
        <v>22000000</v>
      </c>
      <c r="F10" s="470" t="n">
        <v>507000000</v>
      </c>
      <c r="G10" s="471" t="inlineStr">
        <is>
          <t>Chốt + học bổng search</t>
        </is>
      </c>
      <c r="H10" s="303" t="n">
        <v>470</v>
      </c>
      <c r="I10" s="472" t="n"/>
    </row>
    <row r="11" ht="19.5" customHeight="1" s="248">
      <c r="B11" s="269" t="inlineStr">
        <is>
          <t>Tháng 8</t>
        </is>
      </c>
      <c r="C11" s="270" t="n">
        <v>164000000</v>
      </c>
      <c r="D11" s="280" t="n">
        <v>41000000</v>
      </c>
      <c r="E11" s="273" t="inlineStr">
        <is>
          <t>-</t>
        </is>
      </c>
      <c r="F11" s="460" t="n">
        <v>205000000</v>
      </c>
      <c r="G11" s="281" t="inlineStr">
        <is>
          <t>Remarketing + brand defense</t>
        </is>
      </c>
      <c r="H11" s="280" t="n">
        <v>190</v>
      </c>
      <c r="I11" s="276" t="n"/>
    </row>
    <row r="12" ht="19.5" customHeight="1" s="248">
      <c r="B12" s="301" t="inlineStr">
        <is>
          <t>Tháng 9</t>
        </is>
      </c>
      <c r="C12" s="468" t="n">
        <v>73000000</v>
      </c>
      <c r="D12" s="303" t="n">
        <v>18000000</v>
      </c>
      <c r="E12" s="469" t="inlineStr">
        <is>
          <t>-</t>
        </is>
      </c>
      <c r="F12" s="470" t="n">
        <v>91000000</v>
      </c>
      <c r="G12" s="471" t="inlineStr">
        <is>
          <t>Late intent + chuyển trường</t>
        </is>
      </c>
      <c r="H12" s="303" t="n">
        <v>80</v>
      </c>
      <c r="I12" s="472" t="n"/>
    </row>
    <row r="13" ht="24" customHeight="1" s="248">
      <c r="B13" s="475" t="inlineStr">
        <is>
          <t>TỔNG</t>
        </is>
      </c>
      <c r="C13" s="476">
        <f>SUM(C6:C12)</f>
        <v/>
      </c>
      <c r="D13" s="476">
        <f>SUM(D6:D12)</f>
        <v/>
      </c>
      <c r="E13" s="477" t="n"/>
      <c r="F13" s="476">
        <f>SUM(F6:F12)</f>
        <v/>
      </c>
      <c r="G13" s="477" t="n"/>
      <c r="H13" s="476">
        <f>SUM(H6:H12)</f>
        <v/>
      </c>
      <c r="I13" s="477" t="n"/>
    </row>
    <row r="15" ht="24" customHeight="1" s="248">
      <c r="B15" s="377" t="inlineStr">
        <is>
          <t>🎯 KPI MỤC TIÊU GOOGLE ADS THEO THÁNG</t>
        </is>
      </c>
    </row>
    <row r="16" ht="15" customHeight="1" s="248">
      <c r="B16" s="395" t="inlineStr">
        <is>
          <t>KPI</t>
        </is>
      </c>
      <c r="C16" s="395" t="inlineStr">
        <is>
          <t>T4</t>
        </is>
      </c>
      <c r="D16" s="395" t="inlineStr">
        <is>
          <t>T5</t>
        </is>
      </c>
      <c r="E16" s="395" t="inlineStr">
        <is>
          <t>T6</t>
        </is>
      </c>
      <c r="F16" s="395" t="inlineStr">
        <is>
          <t>T7</t>
        </is>
      </c>
      <c r="G16" s="395" t="inlineStr">
        <is>
          <t>T8</t>
        </is>
      </c>
      <c r="H16" s="395" t="inlineStr">
        <is>
          <t>T9</t>
        </is>
      </c>
    </row>
    <row r="17" ht="19.5" customHeight="1" s="248">
      <c r="B17" s="301" t="inlineStr">
        <is>
          <t>CTR Search mục tiêu</t>
        </is>
      </c>
      <c r="C17" s="302" t="inlineStr">
        <is>
          <t>6%</t>
        </is>
      </c>
      <c r="D17" s="302" t="inlineStr">
        <is>
          <t>8%</t>
        </is>
      </c>
      <c r="E17" s="302" t="inlineStr">
        <is>
          <t>10%</t>
        </is>
      </c>
      <c r="F17" s="302" t="inlineStr">
        <is>
          <t>10%</t>
        </is>
      </c>
      <c r="G17" s="302" t="inlineStr">
        <is>
          <t>8%</t>
        </is>
      </c>
      <c r="H17" s="302" t="inlineStr">
        <is>
          <t>7%</t>
        </is>
      </c>
      <c r="I17" s="472" t="n"/>
    </row>
    <row r="18" ht="19.5" customHeight="1" s="248">
      <c r="B18" s="269" t="inlineStr">
        <is>
          <t>CPL mục tiêu (đ)</t>
        </is>
      </c>
      <c r="C18" s="280" t="n">
        <v>200000</v>
      </c>
      <c r="D18" s="280" t="n">
        <v>185000</v>
      </c>
      <c r="E18" s="280" t="n">
        <v>175000</v>
      </c>
      <c r="F18" s="280" t="n">
        <v>175000</v>
      </c>
      <c r="G18" s="280" t="n">
        <v>180000</v>
      </c>
      <c r="H18" s="280" t="n">
        <v>200000</v>
      </c>
      <c r="I18" s="276" t="n"/>
    </row>
    <row r="19" ht="19.5" customHeight="1" s="248">
      <c r="B19" s="301" t="inlineStr">
        <is>
          <t>Qualified Rate</t>
        </is>
      </c>
      <c r="C19" s="302" t="inlineStr">
        <is>
          <t>45%</t>
        </is>
      </c>
      <c r="D19" s="302" t="inlineStr">
        <is>
          <t>50%</t>
        </is>
      </c>
      <c r="E19" s="302" t="inlineStr">
        <is>
          <t>55%</t>
        </is>
      </c>
      <c r="F19" s="302" t="inlineStr">
        <is>
          <t>55%</t>
        </is>
      </c>
      <c r="G19" s="302" t="inlineStr">
        <is>
          <t>50%</t>
        </is>
      </c>
      <c r="H19" s="302" t="inlineStr">
        <is>
          <t>48%</t>
        </is>
      </c>
      <c r="I19" s="472" t="n"/>
    </row>
    <row r="20" ht="19.5" customHeight="1" s="248">
      <c r="B20" s="269" t="inlineStr">
        <is>
          <t>Landing CVR</t>
        </is>
      </c>
      <c r="C20" s="282" t="inlineStr">
        <is>
          <t>4%</t>
        </is>
      </c>
      <c r="D20" s="282" t="inlineStr">
        <is>
          <t>6%</t>
        </is>
      </c>
      <c r="E20" s="282" t="inlineStr">
        <is>
          <t>8%</t>
        </is>
      </c>
      <c r="F20" s="282" t="inlineStr">
        <is>
          <t>8%</t>
        </is>
      </c>
      <c r="G20" s="282" t="inlineStr">
        <is>
          <t>7%</t>
        </is>
      </c>
      <c r="H20" s="282" t="inlineStr">
        <is>
          <t>5%</t>
        </is>
      </c>
      <c r="I20" s="276" t="n"/>
    </row>
    <row r="21" ht="19.5" customHeight="1" s="248">
      <c r="B21" s="301" t="inlineStr">
        <is>
          <t>Leads Google/tháng</t>
        </is>
      </c>
      <c r="C21" s="303" t="n">
        <v>250</v>
      </c>
      <c r="D21" s="303" t="n">
        <v>430</v>
      </c>
      <c r="E21" s="303" t="n">
        <v>510</v>
      </c>
      <c r="F21" s="303" t="n">
        <v>470</v>
      </c>
      <c r="G21" s="303" t="n">
        <v>190</v>
      </c>
      <c r="H21" s="303" t="n">
        <v>80</v>
      </c>
      <c r="I21" s="472" t="n"/>
    </row>
    <row r="22" ht="19.5" customHeight="1" s="248">
      <c r="B22" s="269" t="inlineStr">
        <is>
          <t>Cost/Booked Tour</t>
        </is>
      </c>
      <c r="C22" s="280" t="n">
        <v>2000000</v>
      </c>
      <c r="D22" s="280" t="n">
        <v>1700000</v>
      </c>
      <c r="E22" s="280" t="n">
        <v>1400000</v>
      </c>
      <c r="F22" s="280" t="n">
        <v>1400000</v>
      </c>
      <c r="G22" s="280" t="n">
        <v>1700000</v>
      </c>
      <c r="H22" s="280" t="n">
        <v>2200000</v>
      </c>
      <c r="I22" s="276" t="n"/>
    </row>
    <row r="23" ht="19.5" customHeight="1" s="248">
      <c r="B23" s="301" t="inlineStr">
        <is>
          <t>Brand IS mục tiêu</t>
        </is>
      </c>
      <c r="C23" s="302" t="inlineStr">
        <is>
          <t>80%</t>
        </is>
      </c>
      <c r="D23" s="302" t="inlineStr">
        <is>
          <t>85%</t>
        </is>
      </c>
      <c r="E23" s="302" t="inlineStr">
        <is>
          <t>90%</t>
        </is>
      </c>
      <c r="F23" s="302" t="inlineStr">
        <is>
          <t>90%</t>
        </is>
      </c>
      <c r="G23" s="302" t="inlineStr">
        <is>
          <t>90%</t>
        </is>
      </c>
      <c r="H23" s="302" t="inlineStr">
        <is>
          <t>85%</t>
        </is>
      </c>
      <c r="I23" s="472" t="n"/>
    </row>
  </sheetData>
  <mergeCells count="4">
    <mergeCell ref="B1:I1"/>
    <mergeCell ref="B2:I2"/>
    <mergeCell ref="B4:I4"/>
    <mergeCell ref="B15:I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H8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8"/>
  </cols>
  <sheetData>
    <row r="1" ht="36" customHeight="1" s="248">
      <c r="B1" s="374" t="inlineStr">
        <is>
          <t>⚙️ BIRCH + GOHIGHLEVEL – INTEGRATION SETUP + AUTOMATION RULES</t>
        </is>
      </c>
    </row>
    <row r="3" ht="24" customHeight="1" s="248">
      <c r="B3" s="377" t="inlineStr">
        <is>
          <t>🎛️ BIRCH CONTROL TOWER – GIÁ TRỊ ĐIỀU KHIỂN (Google Sheets single-value cells)</t>
        </is>
      </c>
    </row>
    <row r="4" ht="19.5" customHeight="1" s="248">
      <c r="B4" s="395" t="inlineStr">
        <is>
          <t>Cell</t>
        </is>
      </c>
      <c r="C4" s="395" t="inlineStr">
        <is>
          <t>Tên biến</t>
        </is>
      </c>
      <c r="D4" s="395" t="inlineStr">
        <is>
          <t>Giá trị</t>
        </is>
      </c>
      <c r="E4" s="395" t="inlineStr">
        <is>
          <t>Ý nghĩa</t>
        </is>
      </c>
      <c r="F4" s="395" t="inlineStr">
        <is>
          <t>Cập nhật khi</t>
        </is>
      </c>
      <c r="G4" s="395" t="inlineStr">
        <is>
          <t>Owner</t>
        </is>
      </c>
    </row>
    <row r="5" ht="19.5" customHeight="1" s="248">
      <c r="B5" s="407" t="inlineStr">
        <is>
          <t>B2</t>
        </is>
      </c>
      <c r="C5" s="405" t="inlineStr">
        <is>
          <t>current_month_budget</t>
        </is>
      </c>
      <c r="D5" s="460" t="n">
        <v>1530000000</v>
      </c>
      <c r="E5" s="281" t="inlineStr">
        <is>
          <t>Ngân sách Google Search tháng hiện tại</t>
        </is>
      </c>
      <c r="F5" s="478" t="inlineStr">
        <is>
          <t>Đầu tháng</t>
        </is>
      </c>
      <c r="G5" s="273" t="inlineStr">
        <is>
          <t>Marketing Lead</t>
        </is>
      </c>
      <c r="H5" s="276" t="n"/>
    </row>
    <row r="6" ht="19.5" customHeight="1" s="248">
      <c r="B6" s="400" t="inlineStr">
        <is>
          <t>B3</t>
        </is>
      </c>
      <c r="C6" s="397" t="inlineStr">
        <is>
          <t>remaining_budget</t>
        </is>
      </c>
      <c r="D6" s="479" t="n">
        <v>0</v>
      </c>
      <c r="E6" s="317" t="inlineStr">
        <is>
          <t>Ngân sách còn lại (nhập tay hoặc tính)</t>
        </is>
      </c>
      <c r="F6" s="480" t="inlineStr">
        <is>
          <t>Hàng tuần</t>
        </is>
      </c>
      <c r="G6" s="481" t="inlineStr">
        <is>
          <t>Perf. Marketer</t>
        </is>
      </c>
      <c r="H6" s="403" t="n"/>
    </row>
    <row r="7" ht="19.5" customHeight="1" s="248">
      <c r="B7" s="407" t="inlineStr">
        <is>
          <t>B4</t>
        </is>
      </c>
      <c r="C7" s="405" t="inlineStr">
        <is>
          <t>account_cpl_target</t>
        </is>
      </c>
      <c r="D7" s="460" t="n">
        <v>180000</v>
      </c>
      <c r="E7" s="281" t="inlineStr">
        <is>
          <t>CPL mục tiêu toàn account Google</t>
        </is>
      </c>
      <c r="F7" s="478" t="inlineStr">
        <is>
          <t>Đầu mùa</t>
        </is>
      </c>
      <c r="G7" s="273" t="inlineStr">
        <is>
          <t>Marketing Lead</t>
        </is>
      </c>
      <c r="H7" s="276" t="n"/>
    </row>
    <row r="8" ht="19.5" customHeight="1" s="248">
      <c r="B8" s="400" t="inlineStr">
        <is>
          <t>B5</t>
        </is>
      </c>
      <c r="C8" s="397" t="inlineStr">
        <is>
          <t>cost_per_tour_target</t>
        </is>
      </c>
      <c r="D8" s="479" t="n">
        <v>1500000</v>
      </c>
      <c r="E8" s="317" t="inlineStr">
        <is>
          <t>Cost/Booked Tour mục tiêu</t>
        </is>
      </c>
      <c r="F8" s="480" t="inlineStr">
        <is>
          <t>Đầu mùa</t>
        </is>
      </c>
      <c r="G8" s="481" t="inlineStr">
        <is>
          <t>Marketing Lead</t>
        </is>
      </c>
      <c r="H8" s="403" t="n"/>
    </row>
    <row r="9" ht="19.5" customHeight="1" s="248">
      <c r="B9" s="407" t="inlineStr">
        <is>
          <t>B6</t>
        </is>
      </c>
      <c r="C9" s="405" t="inlineStr">
        <is>
          <t>cac_target</t>
        </is>
      </c>
      <c r="D9" s="460" t="n">
        <v>12000000</v>
      </c>
      <c r="E9" s="281" t="inlineStr">
        <is>
          <t>CAC mục tiêu trung bình</t>
        </is>
      </c>
      <c r="F9" s="478" t="inlineStr">
        <is>
          <t>Đầu mùa</t>
        </is>
      </c>
      <c r="G9" s="273" t="inlineStr">
        <is>
          <t>Management</t>
        </is>
      </c>
      <c r="H9" s="276" t="n"/>
    </row>
    <row r="10" ht="19.5" customHeight="1" s="248">
      <c r="B10" s="400" t="inlineStr">
        <is>
          <t>B7</t>
        </is>
      </c>
      <c r="C10" s="397" t="inlineStr">
        <is>
          <t>min_qualified_rate</t>
        </is>
      </c>
      <c r="D10" s="482" t="n">
        <v>0.5</v>
      </c>
      <c r="E10" s="317" t="inlineStr">
        <is>
          <t>Qualified rate tối thiểu để không scale</t>
        </is>
      </c>
      <c r="F10" s="480" t="inlineStr">
        <is>
          <t>Đầu mùa</t>
        </is>
      </c>
      <c r="G10" s="481" t="inlineStr">
        <is>
          <t>Marketing Lead</t>
        </is>
      </c>
      <c r="H10" s="403" t="n"/>
    </row>
    <row r="11" ht="19.5" customHeight="1" s="248">
      <c r="B11" s="407" t="inlineStr">
        <is>
          <t>B8</t>
        </is>
      </c>
      <c r="C11" s="405" t="inlineStr">
        <is>
          <t>min_booked_tour_rate</t>
        </is>
      </c>
      <c r="D11" s="483" t="n">
        <v>0.2</v>
      </c>
      <c r="E11" s="281" t="inlineStr">
        <is>
          <t>Booked tour rate tối thiểu</t>
        </is>
      </c>
      <c r="F11" s="478" t="inlineStr">
        <is>
          <t>Đầu mùa</t>
        </is>
      </c>
      <c r="G11" s="273" t="inlineStr">
        <is>
          <t>Marketing Lead</t>
        </is>
      </c>
      <c r="H11" s="276" t="n"/>
    </row>
    <row r="12" ht="19.5" customHeight="1" s="248">
      <c r="B12" s="400" t="inlineStr">
        <is>
          <t>B9</t>
        </is>
      </c>
      <c r="C12" s="397" t="inlineStr">
        <is>
          <t>min_showup_rate</t>
        </is>
      </c>
      <c r="D12" s="482" t="n">
        <v>0.6</v>
      </c>
      <c r="E12" s="317" t="inlineStr">
        <is>
          <t>Show-up rate tối thiểu</t>
        </is>
      </c>
      <c r="F12" s="480" t="inlineStr">
        <is>
          <t>Đầu mùa</t>
        </is>
      </c>
      <c r="G12" s="481" t="inlineStr">
        <is>
          <t>Management</t>
        </is>
      </c>
      <c r="H12" s="403" t="n"/>
    </row>
    <row r="13" ht="19.5" customHeight="1" s="248">
      <c r="B13" s="407" t="inlineStr">
        <is>
          <t>B10</t>
        </is>
      </c>
      <c r="C13" s="405" t="inlineStr">
        <is>
          <t>max_daily_scale_pct</t>
        </is>
      </c>
      <c r="D13" s="483" t="n">
        <v>0.15</v>
      </c>
      <c r="E13" s="281" t="inlineStr">
        <is>
          <t>Tối đa tăng ngân sách mỗi ngày (15%)</t>
        </is>
      </c>
      <c r="F13" s="478" t="inlineStr">
        <is>
          <t>Đầu mùa</t>
        </is>
      </c>
      <c r="G13" s="273" t="inlineStr">
        <is>
          <t>Marketing Lead</t>
        </is>
      </c>
      <c r="H13" s="276" t="n"/>
    </row>
    <row r="14" ht="19.5" customHeight="1" s="248">
      <c r="B14" s="400" t="inlineStr">
        <is>
          <t>B11</t>
        </is>
      </c>
      <c r="C14" s="397" t="inlineStr">
        <is>
          <t>max_daily_reduce_pct</t>
        </is>
      </c>
      <c r="D14" s="482" t="n">
        <v>0.15</v>
      </c>
      <c r="E14" s="317" t="inlineStr">
        <is>
          <t>Tối đa giảm ngân sách mỗi ngày (15%)</t>
        </is>
      </c>
      <c r="F14" s="480" t="inlineStr">
        <is>
          <t>Đầu mùa</t>
        </is>
      </c>
      <c r="G14" s="481" t="inlineStr">
        <is>
          <t>Marketing Lead</t>
        </is>
      </c>
      <c r="H14" s="403" t="n"/>
    </row>
    <row r="15" ht="19.5" customHeight="1" s="248">
      <c r="B15" s="407" t="inlineStr">
        <is>
          <t>B12</t>
        </is>
      </c>
      <c r="C15" s="405" t="inlineStr">
        <is>
          <t>pmax_test_cap</t>
        </is>
      </c>
      <c r="D15" s="460" t="n">
        <v>59000000</v>
      </c>
      <c r="E15" s="281" t="inlineStr">
        <is>
          <t>Trần ngân sách PMax test</t>
        </is>
      </c>
      <c r="F15" s="478" t="inlineStr">
        <is>
          <t>Đầu mùa</t>
        </is>
      </c>
      <c r="G15" s="273" t="inlineStr">
        <is>
          <t>Marketing Lead</t>
        </is>
      </c>
      <c r="H15" s="276" t="n"/>
    </row>
    <row r="16" ht="19.5" customHeight="1" s="248">
      <c r="B16" s="400" t="inlineStr">
        <is>
          <t>B13</t>
        </is>
      </c>
      <c r="C16" s="397" t="inlineStr">
        <is>
          <t>brand_is_target</t>
        </is>
      </c>
      <c r="D16" s="482" t="n">
        <v>0.9</v>
      </c>
      <c r="E16" s="317" t="inlineStr">
        <is>
          <t>Brand impression share tối thiểu cần giữ</t>
        </is>
      </c>
      <c r="F16" s="480" t="inlineStr">
        <is>
          <t>Đầu mùa</t>
        </is>
      </c>
      <c r="G16" s="481" t="inlineStr">
        <is>
          <t>Marketing Lead</t>
        </is>
      </c>
      <c r="H16" s="403" t="n"/>
    </row>
    <row r="19" ht="24" customHeight="1" s="248">
      <c r="B19" s="389" t="inlineStr">
        <is>
          <t>🤖 10 AUTOMATION RULES MẪU – BIRCH GOOGLE ADS</t>
        </is>
      </c>
    </row>
    <row r="20" ht="19.5" customHeight="1" s="248">
      <c r="B20" s="411" t="inlineStr">
        <is>
          <t>#</t>
        </is>
      </c>
      <c r="C20" s="411" t="inlineStr">
        <is>
          <t>Tên Rule</t>
        </is>
      </c>
      <c r="D20" s="411" t="inlineStr">
        <is>
          <t>Điều kiện (Conditions)</t>
        </is>
      </c>
      <c r="E20" s="411" t="inlineStr">
        <is>
          <t>Hành động (Action)</t>
        </is>
      </c>
      <c r="F20" s="411" t="inlineStr">
        <is>
          <t>Scope</t>
        </is>
      </c>
      <c r="G20" s="411" t="inlineStr">
        <is>
          <t>Priority</t>
        </is>
      </c>
      <c r="H20" s="411" t="inlineStr">
        <is>
          <t>Status</t>
        </is>
      </c>
    </row>
    <row r="21" ht="39.75" customHeight="1" s="248">
      <c r="B21" s="484" t="inlineStr">
        <is>
          <t>R01</t>
        </is>
      </c>
      <c r="C21" s="378" t="inlineStr">
        <is>
          <t>ALERT – CPL Quá Cao</t>
        </is>
      </c>
      <c r="D21" s="485" t="inlineStr">
        <is>
          <t>Spend 3 ngày &gt; 500k | CPL &gt; target 120% | Leads &gt; 0</t>
        </is>
      </c>
      <c r="E21" s="486" t="inlineStr">
        <is>
          <t>Gửi cảnh báo Slack + Email ngay | KHÔNG tự thay đổi budget</t>
        </is>
      </c>
      <c r="F21" s="487" t="inlineStr">
        <is>
          <t>Campaign (All Search)</t>
        </is>
      </c>
      <c r="G21" s="488" t="inlineStr">
        <is>
          <t>Very High</t>
        </is>
      </c>
      <c r="H21" s="298" t="inlineStr">
        <is>
          <t>🟢 Active</t>
        </is>
      </c>
    </row>
    <row r="22" ht="39.75" customHeight="1" s="248">
      <c r="B22" s="484" t="inlineStr">
        <is>
          <t>R02</t>
        </is>
      </c>
      <c r="C22" s="378" t="inlineStr">
        <is>
          <t>ALERT – Zero Lead Alarm</t>
        </is>
      </c>
      <c r="D22" s="485" t="inlineStr">
        <is>
          <t>Spend 2 ngày &gt; threshold | Leads = 0 | Not paused</t>
        </is>
      </c>
      <c r="E22" s="486" t="inlineStr">
        <is>
          <t>Gửi cảnh báo khẩn | Pause ad group nếu sau 24h không có lead</t>
        </is>
      </c>
      <c r="F22" s="487" t="inlineStr">
        <is>
          <t>Ad Group</t>
        </is>
      </c>
      <c r="G22" s="488" t="inlineStr">
        <is>
          <t>Very High</t>
        </is>
      </c>
      <c r="H22" s="298" t="inlineStr">
        <is>
          <t>🟢 Active</t>
        </is>
      </c>
    </row>
    <row r="23" ht="39.75" customHeight="1" s="248">
      <c r="B23" s="484" t="inlineStr">
        <is>
          <t>R03</t>
        </is>
      </c>
      <c r="C23" s="378" t="inlineStr">
        <is>
          <t>ALERT – Brand IS Drop</t>
        </is>
      </c>
      <c r="D23" s="485" t="inlineStr">
        <is>
          <t>Brand campaign | Impression Share &lt; 80% | Any day</t>
        </is>
      </c>
      <c r="E23" s="486" t="inlineStr">
        <is>
          <t>Gửi cảnh báo | Increase brand campaign budget +20%</t>
        </is>
      </c>
      <c r="F23" s="487" t="inlineStr">
        <is>
          <t>Campaign (Brand)</t>
        </is>
      </c>
      <c r="G23" s="488" t="inlineStr">
        <is>
          <t>Very High</t>
        </is>
      </c>
      <c r="H23" s="298" t="inlineStr">
        <is>
          <t>🟢 Active</t>
        </is>
      </c>
    </row>
    <row r="24" ht="39.75" customHeight="1" s="248">
      <c r="B24" s="484" t="inlineStr">
        <is>
          <t>R04</t>
        </is>
      </c>
      <c r="C24" s="378" t="inlineStr">
        <is>
          <t>SCALE – Campaign Thắng</t>
        </is>
      </c>
      <c r="D24" s="485" t="inlineStr">
        <is>
          <t>CPL &lt;= target | Qualified Rate (Sheets) &gt;= 50% | Booked Tour (Sheets) &gt;= 2/tuần | Spend ổn định 5 ngày</t>
        </is>
      </c>
      <c r="E24" s="486" t="inlineStr">
        <is>
          <t>Increase daily budget +15% | Max 1 lần/ngày | Không vượt cap từ Sheets</t>
        </is>
      </c>
      <c r="F24" s="487" t="inlineStr">
        <is>
          <t>Campaign (Search)</t>
        </is>
      </c>
      <c r="G24" s="489" t="inlineStr">
        <is>
          <t>High</t>
        </is>
      </c>
      <c r="H24" s="446" t="inlineStr">
        <is>
          <t>🟡 Review 1st</t>
        </is>
      </c>
    </row>
    <row r="25" ht="39.75" customHeight="1" s="248">
      <c r="B25" s="484" t="inlineStr">
        <is>
          <t>R05</t>
        </is>
      </c>
      <c r="C25" s="378" t="inlineStr">
        <is>
          <t>REDUCE – Campaign Yếu</t>
        </is>
      </c>
      <c r="D25" s="485" t="inlineStr">
        <is>
          <t>CPL &gt; target +25% | Spend &gt; min threshold | Qualified Rate &lt; 40%</t>
        </is>
      </c>
      <c r="E25" s="486" t="inlineStr">
        <is>
          <t>Reduce daily budget -15% | Gửi notify | Review landing page</t>
        </is>
      </c>
      <c r="F25" s="487" t="inlineStr">
        <is>
          <t>Campaign (Search)</t>
        </is>
      </c>
      <c r="G25" s="489" t="inlineStr">
        <is>
          <t>High</t>
        </is>
      </c>
      <c r="H25" s="446" t="inlineStr">
        <is>
          <t>🟡 Review 1st</t>
        </is>
      </c>
    </row>
    <row r="26" ht="39.75" customHeight="1" s="248">
      <c r="B26" s="484" t="inlineStr">
        <is>
          <t>R06</t>
        </is>
      </c>
      <c r="C26" s="378" t="inlineStr">
        <is>
          <t>PAUSE – Keyword Lãng Phí</t>
        </is>
      </c>
      <c r="D26" s="485" t="inlineStr">
        <is>
          <t>Keyword spend &gt; 300k | Conversions = 0 | CPC &gt; avg +50%</t>
        </is>
      </c>
      <c r="E26" s="486" t="inlineStr">
        <is>
          <t>Pause keyword | Add to review list | Gửi notify</t>
        </is>
      </c>
      <c r="F26" s="487" t="inlineStr">
        <is>
          <t>Keyword</t>
        </is>
      </c>
      <c r="G26" s="490" t="inlineStr">
        <is>
          <t>Medium</t>
        </is>
      </c>
      <c r="H26" s="298" t="inlineStr">
        <is>
          <t>🟢 Active</t>
        </is>
      </c>
    </row>
    <row r="27" ht="39.75" customHeight="1" s="248">
      <c r="B27" s="484" t="inlineStr">
        <is>
          <t>R07</t>
        </is>
      </c>
      <c r="C27" s="378" t="inlineStr">
        <is>
          <t>WEBINAR – Scale Pre-Event</t>
        </is>
      </c>
      <c r="D27" s="485" t="inlineStr">
        <is>
          <t>Webinar campaign | Reg Cost trong target | Event date còn 3-7 ngày</t>
        </is>
      </c>
      <c r="E27" s="486" t="inlineStr">
        <is>
          <t>Increase budget +25% | Priority: THCS/THPT | Run 48h before event</t>
        </is>
      </c>
      <c r="F27" s="487" t="inlineStr">
        <is>
          <t>Campaign (Webinar)</t>
        </is>
      </c>
      <c r="G27" s="489" t="inlineStr">
        <is>
          <t>High</t>
        </is>
      </c>
      <c r="H27" s="446" t="inlineStr">
        <is>
          <t>🟡 Review 1st</t>
        </is>
      </c>
    </row>
    <row r="28" ht="39.75" customHeight="1" s="248">
      <c r="B28" s="484" t="inlineStr">
        <is>
          <t>R08</t>
        </is>
      </c>
      <c r="C28" s="378" t="inlineStr">
        <is>
          <t>PMAX – Test Controlled</t>
        </is>
      </c>
      <c r="D28" s="485" t="inlineStr">
        <is>
          <t>PMax campaign | CPL &gt; Search CPL + 30% | Spend &gt; cap từ Sheets</t>
        </is>
      </c>
      <c r="E28" s="486" t="inlineStr">
        <is>
          <t>Reduce PMax budget | Protect Search budget | Alert team</t>
        </is>
      </c>
      <c r="F28" s="487" t="inlineStr">
        <is>
          <t>Campaign (PMax)</t>
        </is>
      </c>
      <c r="G28" s="490" t="inlineStr">
        <is>
          <t>Medium</t>
        </is>
      </c>
      <c r="H28" s="310" t="inlineStr">
        <is>
          <t>🔴 Manual only</t>
        </is>
      </c>
    </row>
    <row r="29" ht="39.75" customHeight="1" s="248">
      <c r="B29" s="484" t="inlineStr">
        <is>
          <t>R09</t>
        </is>
      </c>
      <c r="C29" s="378" t="inlineStr">
        <is>
          <t>REMARKETING – Activation</t>
        </is>
      </c>
      <c r="D29" s="485" t="inlineStr">
        <is>
          <t>Display/RLSA remarketing | Audience size &gt; 1000 | CTR &lt; 0.5%</t>
        </is>
      </c>
      <c r="E29" s="486" t="inlineStr">
        <is>
          <t>Refresh creative assets | Notify content team | Try new message</t>
        </is>
      </c>
      <c r="F29" s="487" t="inlineStr">
        <is>
          <t>Campaign (Display)</t>
        </is>
      </c>
      <c r="G29" s="490" t="inlineStr">
        <is>
          <t>Medium</t>
        </is>
      </c>
      <c r="H29" s="298" t="inlineStr">
        <is>
          <t>🟢 Active</t>
        </is>
      </c>
    </row>
    <row r="30" ht="39.75" customHeight="1" s="248">
      <c r="B30" s="484" t="inlineStr">
        <is>
          <t>R10</t>
        </is>
      </c>
      <c r="C30" s="378" t="inlineStr">
        <is>
          <t>BRAND – Always-On Guard</t>
        </is>
      </c>
      <c r="D30" s="485" t="inlineStr">
        <is>
          <t>Brand campaign | Budget remaining &lt; 20% | Day &lt; 25th month</t>
        </is>
      </c>
      <c r="E30" s="486" t="inlineStr">
        <is>
          <t>Increase brand budget từ general pool | Ensure IS ≥ 90%</t>
        </is>
      </c>
      <c r="F30" s="487" t="inlineStr">
        <is>
          <t>Campaign (Brand)</t>
        </is>
      </c>
      <c r="G30" s="488" t="inlineStr">
        <is>
          <t>Very High</t>
        </is>
      </c>
      <c r="H30" s="298" t="inlineStr">
        <is>
          <t>🟢 Active</t>
        </is>
      </c>
    </row>
    <row r="32" ht="15" customHeight="1" s="248">
      <c r="B32" s="253" t="inlineStr">
        <is>
          <t>🔄 WEBHOOK PAYLOAD – GHL → GOOGLE SHEETS</t>
        </is>
      </c>
    </row>
    <row r="33" ht="15" customHeight="1" s="248">
      <c r="A33" s="250" t="inlineStr">
        <is>
          <t>Field</t>
        </is>
      </c>
      <c r="B33" s="250" t="inlineStr">
        <is>
          <t>GHL Source</t>
        </is>
      </c>
      <c r="C33" s="250" t="inlineStr">
        <is>
          <t>Sheet Column</t>
        </is>
      </c>
      <c r="D33" s="250" t="inlineStr">
        <is>
          <t>Data Type</t>
        </is>
      </c>
      <c r="E33" s="250" t="inlineStr">
        <is>
          <t>Dùng cho</t>
        </is>
      </c>
      <c r="F33" s="250" t="inlineStr">
        <is>
          <t>Ví dụ</t>
        </is>
      </c>
    </row>
    <row r="34" ht="15" customHeight="1" s="248">
      <c r="A34" s="251" t="inlineStr">
        <is>
          <t>timestamp</t>
        </is>
      </c>
      <c r="B34" s="251" t="inlineStr">
        <is>
          <t>Workflow timestamp</t>
        </is>
      </c>
      <c r="C34" s="251" t="inlineStr">
        <is>
          <t>A</t>
        </is>
      </c>
      <c r="D34" s="251" t="inlineStr">
        <is>
          <t>DateTime</t>
        </is>
      </c>
      <c r="E34" s="251" t="inlineStr">
        <is>
          <t>Time-series analysis</t>
        </is>
      </c>
      <c r="F34" s="251" t="inlineStr">
        <is>
          <t>2026-04-15T09:30:00</t>
        </is>
      </c>
    </row>
    <row r="35" ht="15" customHeight="1" s="248">
      <c r="A35" s="252" t="inlineStr">
        <is>
          <t>contact_id</t>
        </is>
      </c>
      <c r="B35" s="252" t="inlineStr">
        <is>
          <t>Contact ID</t>
        </is>
      </c>
      <c r="C35" s="252" t="inlineStr">
        <is>
          <t>B</t>
        </is>
      </c>
      <c r="D35" s="252" t="inlineStr">
        <is>
          <t>String</t>
        </is>
      </c>
      <c r="E35" s="252" t="inlineStr">
        <is>
          <t>Deduplication</t>
        </is>
      </c>
      <c r="F35" s="252" t="inlineStr">
        <is>
          <t>abc123xyz</t>
        </is>
      </c>
    </row>
    <row r="36" ht="15" customHeight="1" s="248">
      <c r="A36" s="251" t="inlineStr">
        <is>
          <t>contact_name</t>
        </is>
      </c>
      <c r="B36" s="251" t="inlineStr">
        <is>
          <t>Contact Name</t>
        </is>
      </c>
      <c r="C36" s="251" t="inlineStr">
        <is>
          <t>C</t>
        </is>
      </c>
      <c r="D36" s="251" t="inlineStr">
        <is>
          <t>String</t>
        </is>
      </c>
      <c r="E36" s="251" t="inlineStr">
        <is>
          <t>Reference</t>
        </is>
      </c>
      <c r="F36" s="251" t="inlineStr">
        <is>
          <t>Nguyễn Văn A</t>
        </is>
      </c>
    </row>
    <row r="37" ht="15" customHeight="1" s="248">
      <c r="A37" s="252" t="inlineStr">
        <is>
          <t>phone</t>
        </is>
      </c>
      <c r="B37" s="252" t="inlineStr">
        <is>
          <t>Contact Phone</t>
        </is>
      </c>
      <c r="C37" s="252" t="inlineStr">
        <is>
          <t>D</t>
        </is>
      </c>
      <c r="D37" s="252" t="inlineStr">
        <is>
          <t>String</t>
        </is>
      </c>
      <c r="E37" s="252" t="inlineStr">
        <is>
          <t>Match with ads click ID</t>
        </is>
      </c>
      <c r="F37" s="252" t="inlineStr">
        <is>
          <t>0901234567</t>
        </is>
      </c>
    </row>
    <row r="38" ht="15" customHeight="1" s="248">
      <c r="A38" s="251" t="inlineStr">
        <is>
          <t>email</t>
        </is>
      </c>
      <c r="B38" s="251" t="inlineStr">
        <is>
          <t>Contact Email</t>
        </is>
      </c>
      <c r="C38" s="251" t="inlineStr">
        <is>
          <t>E</t>
        </is>
      </c>
      <c r="D38" s="251" t="inlineStr">
        <is>
          <t>String</t>
        </is>
      </c>
      <c r="E38" s="251" t="inlineStr">
        <is>
          <t>Match + exclusion</t>
        </is>
      </c>
      <c r="F38" s="251" t="inlineStr">
        <is>
          <t>a@email.com</t>
        </is>
      </c>
    </row>
    <row r="39" ht="15" customHeight="1" s="248">
      <c r="A39" s="252" t="inlineStr">
        <is>
          <t>campus</t>
        </is>
      </c>
      <c r="B39" s="252" t="inlineStr">
        <is>
          <t>Custom Field: Campus</t>
        </is>
      </c>
      <c r="C39" s="252" t="inlineStr">
        <is>
          <t>F</t>
        </is>
      </c>
      <c r="D39" s="252" t="inlineStr">
        <is>
          <t>String</t>
        </is>
      </c>
      <c r="E39" s="252" t="inlineStr">
        <is>
          <t>Campus-level reporting</t>
        </is>
      </c>
      <c r="F39" s="252" t="inlineStr">
        <is>
          <t>MN GV</t>
        </is>
      </c>
    </row>
    <row r="40" ht="15" customHeight="1" s="248">
      <c r="A40" s="251" t="inlineStr">
        <is>
          <t>grade</t>
        </is>
      </c>
      <c r="B40" s="251" t="inlineStr">
        <is>
          <t>Custom Field: Grade</t>
        </is>
      </c>
      <c r="C40" s="251" t="inlineStr">
        <is>
          <t>G</t>
        </is>
      </c>
      <c r="D40" s="251" t="inlineStr">
        <is>
          <t>String</t>
        </is>
      </c>
      <c r="E40" s="251" t="inlineStr">
        <is>
          <t>Grade-level reporting</t>
        </is>
      </c>
      <c r="F40" s="251" t="inlineStr">
        <is>
          <t>MN</t>
        </is>
      </c>
    </row>
    <row r="41" ht="23.85" customHeight="1" s="248">
      <c r="A41" s="252" t="inlineStr">
        <is>
          <t>source_channel</t>
        </is>
      </c>
      <c r="B41" s="252" t="inlineStr">
        <is>
          <t>Custom Field: Source Channel</t>
        </is>
      </c>
      <c r="C41" s="252" t="inlineStr">
        <is>
          <t>H</t>
        </is>
      </c>
      <c r="D41" s="252" t="inlineStr">
        <is>
          <t>String</t>
        </is>
      </c>
      <c r="E41" s="252" t="inlineStr">
        <is>
          <t>Attribution</t>
        </is>
      </c>
      <c r="F41" s="252" t="inlineStr">
        <is>
          <t>google_search</t>
        </is>
      </c>
    </row>
    <row r="42" ht="23.85" customHeight="1" s="248">
      <c r="A42" s="251" t="inlineStr">
        <is>
          <t>campaign_id</t>
        </is>
      </c>
      <c r="B42" s="251" t="inlineStr">
        <is>
          <t>Custom Field: Campaign ID</t>
        </is>
      </c>
      <c r="C42" s="251" t="inlineStr">
        <is>
          <t>I</t>
        </is>
      </c>
      <c r="D42" s="251" t="inlineStr">
        <is>
          <t>String</t>
        </is>
      </c>
      <c r="E42" s="251" t="inlineStr">
        <is>
          <t>Campaign-level quality</t>
        </is>
      </c>
      <c r="F42" s="251" t="inlineStr">
        <is>
          <t>S_MN_GV_Generic</t>
        </is>
      </c>
    </row>
    <row r="43" ht="23.85" customHeight="1" s="248">
      <c r="A43" s="252" t="inlineStr">
        <is>
          <t>campaign_name</t>
        </is>
      </c>
      <c r="B43" s="252" t="inlineStr">
        <is>
          <t>Custom Field: Campaign Name</t>
        </is>
      </c>
      <c r="C43" s="252" t="inlineStr">
        <is>
          <t>J</t>
        </is>
      </c>
      <c r="D43" s="252" t="inlineStr">
        <is>
          <t>String</t>
        </is>
      </c>
      <c r="E43" s="252" t="inlineStr">
        <is>
          <t>Readable name</t>
        </is>
      </c>
      <c r="F43" s="252" t="inlineStr">
        <is>
          <t>Search MN GV Generic</t>
        </is>
      </c>
    </row>
    <row r="44" ht="23.85" customHeight="1" s="248">
      <c r="A44" s="251" t="inlineStr">
        <is>
          <t>keyword_theme</t>
        </is>
      </c>
      <c r="B44" s="251" t="inlineStr">
        <is>
          <t>Custom Field: Keyword Theme</t>
        </is>
      </c>
      <c r="C44" s="251" t="inlineStr">
        <is>
          <t>K</t>
        </is>
      </c>
      <c r="D44" s="251" t="inlineStr">
        <is>
          <t>String</t>
        </is>
      </c>
      <c r="E44" s="251" t="inlineStr">
        <is>
          <t>Keyword quality analysis</t>
        </is>
      </c>
      <c r="F44" s="251" t="inlineStr">
        <is>
          <t>generic</t>
        </is>
      </c>
    </row>
    <row r="45" ht="15" customHeight="1" s="248">
      <c r="A45" s="252" t="inlineStr">
        <is>
          <t>lead_status</t>
        </is>
      </c>
      <c r="B45" s="252" t="inlineStr">
        <is>
          <t>Pipeline Stage</t>
        </is>
      </c>
      <c r="C45" s="252" t="inlineStr">
        <is>
          <t>L</t>
        </is>
      </c>
      <c r="D45" s="252" t="inlineStr">
        <is>
          <t>String</t>
        </is>
      </c>
      <c r="E45" s="252" t="inlineStr">
        <is>
          <t>Funnel position</t>
        </is>
      </c>
      <c r="F45" s="252" t="inlineStr">
        <is>
          <t>qualified</t>
        </is>
      </c>
    </row>
    <row r="46" ht="15" customHeight="1" s="248">
      <c r="A46" s="251" t="inlineStr">
        <is>
          <t>qualified_flag</t>
        </is>
      </c>
      <c r="B46" s="251" t="inlineStr">
        <is>
          <t>Custom Field: Qualified</t>
        </is>
      </c>
      <c r="C46" s="251" t="inlineStr">
        <is>
          <t>M</t>
        </is>
      </c>
      <c r="D46" s="251" t="inlineStr">
        <is>
          <t>Boolean</t>
        </is>
      </c>
      <c r="E46" s="251" t="inlineStr">
        <is>
          <t>Birch Qualified Rate calc</t>
        </is>
      </c>
      <c r="F46" s="251" t="inlineStr">
        <is>
          <t>TRUE</t>
        </is>
      </c>
    </row>
    <row r="47" ht="15" customHeight="1" s="248">
      <c r="A47" s="252" t="inlineStr">
        <is>
          <t>tour_booked</t>
        </is>
      </c>
      <c r="B47" s="252" t="inlineStr">
        <is>
          <t>Custom Field: Tour Date</t>
        </is>
      </c>
      <c r="C47" s="252" t="inlineStr">
        <is>
          <t>N</t>
        </is>
      </c>
      <c r="D47" s="252" t="inlineStr">
        <is>
          <t>Date</t>
        </is>
      </c>
      <c r="E47" s="252" t="inlineStr">
        <is>
          <t>Tour tracking</t>
        </is>
      </c>
      <c r="F47" s="252" t="inlineStr">
        <is>
          <t>2026-04-20</t>
        </is>
      </c>
    </row>
    <row r="48" ht="23.85" customHeight="1" s="248">
      <c r="A48" s="251" t="inlineStr">
        <is>
          <t>tour_attended</t>
        </is>
      </c>
      <c r="B48" s="251" t="inlineStr">
        <is>
          <t>Custom Field: Tour Attended</t>
        </is>
      </c>
      <c r="C48" s="251" t="inlineStr">
        <is>
          <t>O</t>
        </is>
      </c>
      <c r="D48" s="251" t="inlineStr">
        <is>
          <t>Boolean</t>
        </is>
      </c>
      <c r="E48" s="251" t="inlineStr">
        <is>
          <t>Show-up rate</t>
        </is>
      </c>
      <c r="F48" s="251" t="inlineStr">
        <is>
          <t>TRUE</t>
        </is>
      </c>
    </row>
    <row r="49" ht="15" customHeight="1" s="248">
      <c r="A49" s="252" t="inlineStr">
        <is>
          <t>enrolled</t>
        </is>
      </c>
      <c r="B49" s="252" t="inlineStr">
        <is>
          <t>Custom Field: Enrollment</t>
        </is>
      </c>
      <c r="C49" s="252" t="inlineStr">
        <is>
          <t>P</t>
        </is>
      </c>
      <c r="D49" s="252" t="inlineStr">
        <is>
          <t>Boolean</t>
        </is>
      </c>
      <c r="E49" s="252" t="inlineStr">
        <is>
          <t>Final conversion</t>
        </is>
      </c>
      <c r="F49" s="252" t="inlineStr">
        <is>
          <t>FALSE</t>
        </is>
      </c>
    </row>
    <row r="50" ht="15" customHeight="1" s="248">
      <c r="A50" s="251" t="inlineStr">
        <is>
          <t>utm_source</t>
        </is>
      </c>
      <c r="B50" s="251" t="inlineStr">
        <is>
          <t>Hidden field / UTM</t>
        </is>
      </c>
      <c r="C50" s="251" t="inlineStr">
        <is>
          <t>Q</t>
        </is>
      </c>
      <c r="D50" s="251" t="inlineStr">
        <is>
          <t>String</t>
        </is>
      </c>
      <c r="E50" s="251" t="inlineStr">
        <is>
          <t>GA4 attribution match</t>
        </is>
      </c>
      <c r="F50" s="251" t="inlineStr">
        <is>
          <t>google</t>
        </is>
      </c>
    </row>
    <row r="51" ht="15" customHeight="1" s="248">
      <c r="A51" s="252" t="inlineStr">
        <is>
          <t>utm_medium</t>
        </is>
      </c>
      <c r="B51" s="252" t="inlineStr">
        <is>
          <t>Hidden field / UTM</t>
        </is>
      </c>
      <c r="C51" s="252" t="inlineStr">
        <is>
          <t>R</t>
        </is>
      </c>
      <c r="D51" s="252" t="inlineStr">
        <is>
          <t>String</t>
        </is>
      </c>
      <c r="E51" s="252" t="inlineStr">
        <is>
          <t>Channel attribution</t>
        </is>
      </c>
      <c r="F51" s="252" t="inlineStr">
        <is>
          <t>cpc</t>
        </is>
      </c>
    </row>
    <row r="52" ht="15" customHeight="1" s="248">
      <c r="A52" s="251" t="inlineStr">
        <is>
          <t>utm_campaign</t>
        </is>
      </c>
      <c r="B52" s="251" t="inlineStr">
        <is>
          <t>Hidden field / UTM</t>
        </is>
      </c>
      <c r="C52" s="251" t="inlineStr">
        <is>
          <t>S</t>
        </is>
      </c>
      <c r="D52" s="251" t="inlineStr">
        <is>
          <t>String</t>
        </is>
      </c>
      <c r="E52" s="251" t="inlineStr">
        <is>
          <t>Campaign attribution</t>
        </is>
      </c>
      <c r="F52" s="251" t="inlineStr">
        <is>
          <t>S_MN_GV_Generic</t>
        </is>
      </c>
    </row>
    <row r="55" ht="15" customHeight="1" s="248">
      <c r="B55" s="253" t="inlineStr">
        <is>
          <t>📊 BIRCH AUTOMATION RULES – CHI TIẾT</t>
        </is>
      </c>
    </row>
    <row r="56" ht="15" customHeight="1" s="248">
      <c r="A56" s="250" t="inlineStr">
        <is>
          <t>Rule Name</t>
        </is>
      </c>
      <c r="B56" s="250" t="inlineStr">
        <is>
          <t>IF Condition</t>
        </is>
      </c>
      <c r="C56" s="250" t="inlineStr">
        <is>
          <t>AND Condition</t>
        </is>
      </c>
      <c r="D56" s="250" t="inlineStr">
        <is>
          <t>Time Window</t>
        </is>
      </c>
      <c r="E56" s="250" t="inlineStr">
        <is>
          <t>THEN Action</t>
        </is>
      </c>
      <c r="F56" s="250" t="inlineStr">
        <is>
          <t>Alert Channel</t>
        </is>
      </c>
      <c r="G56" s="250" t="inlineStr">
        <is>
          <t>Frequency</t>
        </is>
      </c>
      <c r="H56" s="250" t="inlineStr">
        <is>
          <t>Priority</t>
        </is>
      </c>
    </row>
    <row r="57" ht="23.85" customHeight="1" s="248">
      <c r="A57" s="251" t="inlineStr">
        <is>
          <t>CPL High Alert</t>
        </is>
      </c>
      <c r="B57" s="251" t="inlineStr">
        <is>
          <t>CPL &gt; target × 1.2</t>
        </is>
      </c>
      <c r="C57" s="251" t="inlineStr">
        <is>
          <t>Spend &gt; 500,000/day</t>
        </is>
      </c>
      <c r="D57" s="251" t="inlineStr">
        <is>
          <t>3 days rolling</t>
        </is>
      </c>
      <c r="E57" s="251" t="inlineStr">
        <is>
          <t>Send alert + Tag campaign for review</t>
        </is>
      </c>
      <c r="F57" s="251" t="inlineStr">
        <is>
          <t>Slack + Email</t>
        </is>
      </c>
      <c r="G57" s="251" t="inlineStr">
        <is>
          <t>Daily check</t>
        </is>
      </c>
      <c r="H57" s="251" t="inlineStr">
        <is>
          <t>🔴 High</t>
        </is>
      </c>
    </row>
    <row r="58" ht="23.85" customHeight="1" s="248">
      <c r="A58" s="252" t="inlineStr">
        <is>
          <t>Zero Lead Alert</t>
        </is>
      </c>
      <c r="B58" s="252" t="inlineStr">
        <is>
          <t>Leads = 0</t>
        </is>
      </c>
      <c r="C58" s="252" t="inlineStr">
        <is>
          <t>Spend &gt; 500,000</t>
        </is>
      </c>
      <c r="D58" s="252" t="inlineStr">
        <is>
          <t>3 days rolling</t>
        </is>
      </c>
      <c r="E58" s="252" t="inlineStr">
        <is>
          <t>Send alert + Auto-pause if 5 days</t>
        </is>
      </c>
      <c r="F58" s="252" t="inlineStr">
        <is>
          <t>Slack + Email</t>
        </is>
      </c>
      <c r="G58" s="252" t="inlineStr">
        <is>
          <t>Daily check</t>
        </is>
      </c>
      <c r="H58" s="252" t="inlineStr">
        <is>
          <t>🔴 High</t>
        </is>
      </c>
    </row>
    <row r="59" ht="15" customHeight="1" s="248">
      <c r="A59" s="251" t="inlineStr">
        <is>
          <t>Scale Winner</t>
        </is>
      </c>
      <c r="B59" s="251" t="inlineStr">
        <is>
          <t>CPL &lt; target × 0.8</t>
        </is>
      </c>
      <c r="C59" s="251" t="inlineStr">
        <is>
          <t>Qualified Rate &gt; 50%</t>
        </is>
      </c>
      <c r="D59" s="251" t="inlineStr">
        <is>
          <t>7 days rolling</t>
        </is>
      </c>
      <c r="E59" s="251" t="inlineStr">
        <is>
          <t>Increase budget +15%</t>
        </is>
      </c>
      <c r="F59" s="251" t="inlineStr">
        <is>
          <t>Email notification</t>
        </is>
      </c>
      <c r="G59" s="251" t="inlineStr">
        <is>
          <t>Weekly</t>
        </is>
      </c>
      <c r="H59" s="251" t="inlineStr">
        <is>
          <t>🟡 Medium</t>
        </is>
      </c>
    </row>
    <row r="60" ht="23.85" customHeight="1" s="248">
      <c r="A60" s="252" t="inlineStr">
        <is>
          <t>Pause Loser</t>
        </is>
      </c>
      <c r="B60" s="252" t="inlineStr">
        <is>
          <t>CPL &gt; target × 1.3</t>
        </is>
      </c>
      <c r="C60" s="252" t="inlineStr">
        <is>
          <t>Tour Rate &lt; 10%</t>
        </is>
      </c>
      <c r="D60" s="252" t="inlineStr">
        <is>
          <t>5 days rolling</t>
        </is>
      </c>
      <c r="E60" s="252" t="inlineStr">
        <is>
          <t>Decrease budget -15% → Pause if persists</t>
        </is>
      </c>
      <c r="F60" s="252" t="inlineStr">
        <is>
          <t>Slack + Email</t>
        </is>
      </c>
      <c r="G60" s="252" t="inlineStr">
        <is>
          <t>Daily</t>
        </is>
      </c>
      <c r="H60" s="252" t="inlineStr">
        <is>
          <t>🔴 High</t>
        </is>
      </c>
    </row>
    <row r="61" ht="15" customHeight="1" s="248">
      <c r="A61" s="251" t="inlineStr">
        <is>
          <t>KW Waste Pause</t>
        </is>
      </c>
      <c r="B61" s="251" t="inlineStr">
        <is>
          <t>Keyword Spend &gt; 500K</t>
        </is>
      </c>
      <c r="C61" s="251" t="inlineStr">
        <is>
          <t>Conversions = 0</t>
        </is>
      </c>
      <c r="D61" s="251" t="inlineStr">
        <is>
          <t>14 days</t>
        </is>
      </c>
      <c r="E61" s="251" t="inlineStr">
        <is>
          <t>Pause keyword</t>
        </is>
      </c>
      <c r="F61" s="251" t="inlineStr">
        <is>
          <t>Email log</t>
        </is>
      </c>
      <c r="G61" s="251" t="inlineStr">
        <is>
          <t>Weekly</t>
        </is>
      </c>
      <c r="H61" s="251" t="inlineStr">
        <is>
          <t>🟡 Medium</t>
        </is>
      </c>
    </row>
    <row r="62" ht="23.85" customHeight="1" s="248">
      <c r="A62" s="252" t="inlineStr">
        <is>
          <t>Brand Always-On</t>
        </is>
      </c>
      <c r="B62" s="252" t="inlineStr">
        <is>
          <t>Brand campaign paused/limited</t>
        </is>
      </c>
      <c r="C62" s="252" t="inlineStr">
        <is>
          <t>-</t>
        </is>
      </c>
      <c r="D62" s="252" t="inlineStr">
        <is>
          <t>Immediate</t>
        </is>
      </c>
      <c r="E62" s="252" t="inlineStr">
        <is>
          <t>Alert + Auto-enable</t>
        </is>
      </c>
      <c r="F62" s="252" t="inlineStr">
        <is>
          <t>Slack immediate</t>
        </is>
      </c>
      <c r="G62" s="252" t="inlineStr">
        <is>
          <t>Real-time</t>
        </is>
      </c>
      <c r="H62" s="252" t="inlineStr">
        <is>
          <t>🔴 Critical</t>
        </is>
      </c>
    </row>
    <row r="63" ht="23.85" customHeight="1" s="248">
      <c r="A63" s="251" t="inlineStr">
        <is>
          <t>Budget Pacing</t>
        </is>
      </c>
      <c r="B63" s="251" t="inlineStr">
        <is>
          <t>Monthly spend &gt; 80% by mid-month</t>
        </is>
      </c>
      <c r="C63" s="251" t="inlineStr">
        <is>
          <t>-</t>
        </is>
      </c>
      <c r="D63" s="251" t="inlineStr">
        <is>
          <t>Monthly</t>
        </is>
      </c>
      <c r="E63" s="251" t="inlineStr">
        <is>
          <t>Alert + Suggest reduction</t>
        </is>
      </c>
      <c r="F63" s="251" t="inlineStr">
        <is>
          <t>Email + Slack</t>
        </is>
      </c>
      <c r="G63" s="251" t="inlineStr">
        <is>
          <t>Bi-weekly</t>
        </is>
      </c>
      <c r="H63" s="251" t="inlineStr">
        <is>
          <t>🟡 Medium</t>
        </is>
      </c>
    </row>
    <row r="64" ht="23.85" customHeight="1" s="248">
      <c r="A64" s="252" t="inlineStr">
        <is>
          <t>Campus Gap</t>
        </is>
      </c>
      <c r="B64" s="252" t="inlineStr">
        <is>
          <t>Campus X enrollment &lt; 80% monthly target</t>
        </is>
      </c>
      <c r="C64" s="252" t="inlineStr">
        <is>
          <t>-</t>
        </is>
      </c>
      <c r="D64" s="252" t="inlineStr">
        <is>
          <t>Mid-month</t>
        </is>
      </c>
      <c r="E64" s="252" t="inlineStr">
        <is>
          <t>Alert + Suggest budget shift</t>
        </is>
      </c>
      <c r="F64" s="252" t="inlineStr">
        <is>
          <t>Email to management</t>
        </is>
      </c>
      <c r="G64" s="252" t="inlineStr">
        <is>
          <t>Monthly</t>
        </is>
      </c>
      <c r="H64" s="252" t="inlineStr">
        <is>
          <t>🟡 Medium</t>
        </is>
      </c>
    </row>
    <row r="65" ht="23.85" customHeight="1" s="248">
      <c r="A65" s="251" t="inlineStr">
        <is>
          <t>Quality Score Drop</t>
        </is>
      </c>
      <c r="B65" s="251" t="inlineStr">
        <is>
          <t>QS drops below 5 on top KWs</t>
        </is>
      </c>
      <c r="C65" s="251" t="inlineStr">
        <is>
          <t>Impression share drops</t>
        </is>
      </c>
      <c r="D65" s="251" t="inlineStr">
        <is>
          <t>7 days</t>
        </is>
      </c>
      <c r="E65" s="251" t="inlineStr">
        <is>
          <t>Alert + Review ad/LP relevance</t>
        </is>
      </c>
      <c r="F65" s="251" t="inlineStr">
        <is>
          <t>Email</t>
        </is>
      </c>
      <c r="G65" s="251" t="inlineStr">
        <is>
          <t>Weekly</t>
        </is>
      </c>
      <c r="H65" s="251" t="inlineStr">
        <is>
          <t>🟡 Medium</t>
        </is>
      </c>
    </row>
    <row r="66" ht="23.85" customHeight="1" s="248">
      <c r="A66" s="252" t="inlineStr">
        <is>
          <t>Weekend Adjust</t>
        </is>
      </c>
      <c r="B66" s="252" t="inlineStr">
        <is>
          <t>Weekend (Sat-Sun)</t>
        </is>
      </c>
      <c r="C66" s="252" t="inlineStr">
        <is>
          <t>-</t>
        </is>
      </c>
      <c r="D66" s="252" t="inlineStr">
        <is>
          <t>Auto</t>
        </is>
      </c>
      <c r="E66" s="252" t="inlineStr">
        <is>
          <t>Reduce budget to 70% (lower intent)</t>
        </is>
      </c>
      <c r="F66" s="252" t="inlineStr">
        <is>
          <t>Auto-rule</t>
        </is>
      </c>
      <c r="G66" s="252" t="inlineStr">
        <is>
          <t>Weekly cycle</t>
        </is>
      </c>
      <c r="H66" s="252" t="inlineStr">
        <is>
          <t>🟢 Low</t>
        </is>
      </c>
    </row>
    <row r="69">
      <c r="A69" s="494" t="inlineStr">
        <is>
          <t>═══ DUAL CRM: PANCAKE CRM + GHL + MAKE.COM DATA FLOW ═══</t>
        </is>
      </c>
    </row>
    <row r="71">
      <c r="A71" s="495" t="inlineStr">
        <is>
          <t>Nguồn Lead</t>
        </is>
      </c>
      <c r="B71" s="495" t="inlineStr">
        <is>
          <t>Bước 1</t>
        </is>
      </c>
      <c r="C71" s="495" t="inlineStr">
        <is>
          <t>Bước 2</t>
        </is>
      </c>
      <c r="D71" s="495" t="inlineStr">
        <is>
          <t>Bước 3</t>
        </is>
      </c>
      <c r="E71" s="495" t="inlineStr">
        <is>
          <t>Bước 4</t>
        </is>
      </c>
      <c r="F71" s="495" t="inlineStr">
        <is>
          <t>Bước 5</t>
        </is>
      </c>
      <c r="G71" s="495" t="inlineStr">
        <is>
          <t>CRM chính</t>
        </is>
      </c>
    </row>
    <row r="72">
      <c r="A72" s="499" t="inlineStr">
        <is>
          <t>Facebook Comment/Inbox</t>
        </is>
      </c>
      <c r="B72" s="499" t="inlineStr">
        <is>
          <t>PH comment/inbox trên FB Page</t>
        </is>
      </c>
      <c r="C72" s="499" t="inlineStr">
        <is>
          <t>Pancake CRM bắt lead tự động</t>
        </is>
      </c>
      <c r="D72" s="499" t="inlineStr">
        <is>
          <t>Pancake auto-tag + assign tư vấn viên</t>
        </is>
      </c>
      <c r="E72" s="499" t="inlineStr">
        <is>
          <t>Make.com webhook → Tạo contact GHL</t>
        </is>
      </c>
      <c r="F72" s="499" t="inlineStr">
        <is>
          <t>GHL trigger Welcome workflow</t>
        </is>
      </c>
      <c r="G72" s="499" t="inlineStr">
        <is>
          <t>Pancake (chat) + GHL (automation)</t>
        </is>
      </c>
    </row>
    <row r="73">
      <c r="A73" s="500" t="inlineStr">
        <is>
          <t>Zalo OA Message</t>
        </is>
      </c>
      <c r="B73" s="500" t="inlineStr">
        <is>
          <t>PH nhắn tin Zalo OA</t>
        </is>
      </c>
      <c r="C73" s="500" t="inlineStr">
        <is>
          <t>Pancake CRM bắt lead</t>
        </is>
      </c>
      <c r="D73" s="500" t="inlineStr">
        <is>
          <t>Pancake chatbot trả lời + tư vấn viên</t>
        </is>
      </c>
      <c r="E73" s="500" t="inlineStr">
        <is>
          <t>Make.com → Tạo/update GHL contact</t>
        </is>
      </c>
      <c r="F73" s="500" t="inlineStr">
        <is>
          <t>GHL trigger nurture sequence</t>
        </is>
      </c>
      <c r="G73" s="500" t="inlineStr">
        <is>
          <t>Pancake (chat) + GHL (automation)</t>
        </is>
      </c>
    </row>
    <row r="74">
      <c r="A74" s="499" t="inlineStr">
        <is>
          <t>GHL Landing Page Form</t>
        </is>
      </c>
      <c r="B74" s="499" t="inlineStr">
        <is>
          <t>PH submit form trên landing page</t>
        </is>
      </c>
      <c r="C74" s="499" t="inlineStr">
        <is>
          <t>GHL tạo contact + add to pipeline</t>
        </is>
      </c>
      <c r="D74" s="499" t="inlineStr">
        <is>
          <t>GHL trigger Welcome workflow</t>
        </is>
      </c>
      <c r="E74" s="499" t="inlineStr">
        <is>
          <t>Make.com → Sync contact to Pancake</t>
        </is>
      </c>
      <c r="F74" s="499" t="inlineStr">
        <is>
          <t>Pancake tag + assign</t>
        </is>
      </c>
      <c r="G74" s="499" t="inlineStr">
        <is>
          <t>GHL (primary) + Pancake (sync)</t>
        </is>
      </c>
    </row>
    <row r="75">
      <c r="A75" s="500" t="inlineStr">
        <is>
          <t>Meta Lead Ads</t>
        </is>
      </c>
      <c r="B75" s="500" t="inlineStr">
        <is>
          <t>PH submit lead form trên FB/IG</t>
        </is>
      </c>
      <c r="C75" s="500" t="inlineStr">
        <is>
          <t>Birch capture → GHL via webhook</t>
        </is>
      </c>
      <c r="D75" s="500" t="inlineStr">
        <is>
          <t>GHL tạo contact + UTM tag</t>
        </is>
      </c>
      <c r="E75" s="500" t="inlineStr">
        <is>
          <t>GHL trigger workflow</t>
        </is>
      </c>
      <c r="F75" s="500" t="inlineStr">
        <is>
          <t>Make.com → Sync to Pancake</t>
        </is>
      </c>
      <c r="G75" s="500" t="inlineStr">
        <is>
          <t>GHL (primary) + Pancake (sync)</t>
        </is>
      </c>
    </row>
    <row r="76">
      <c r="A76" s="499" t="inlineStr">
        <is>
          <t>Google Ads Click → Form</t>
        </is>
      </c>
      <c r="B76" s="499" t="inlineStr">
        <is>
          <t>PH click ad → Landing page → Form</t>
        </is>
      </c>
      <c r="C76" s="499" t="inlineStr">
        <is>
          <t>GHL capture + GCLID tracking</t>
        </is>
      </c>
      <c r="D76" s="499" t="inlineStr">
        <is>
          <t>GHL pipeline + workflow</t>
        </is>
      </c>
      <c r="E76" s="499" t="inlineStr">
        <is>
          <t>Make.com → Pancake sync</t>
        </is>
      </c>
      <c r="F76" s="499" t="inlineStr">
        <is>
          <t>Birch track conversion</t>
        </is>
      </c>
      <c r="G76" s="499" t="inlineStr">
        <is>
          <t>GHL (primary) + Pancake (sync)</t>
        </is>
      </c>
    </row>
    <row r="77">
      <c r="A77" s="500" t="inlineStr">
        <is>
          <t>TikTok Lead Ads</t>
        </is>
      </c>
      <c r="B77" s="500" t="inlineStr">
        <is>
          <t>PH submit form TikTok</t>
        </is>
      </c>
      <c r="C77" s="500" t="inlineStr">
        <is>
          <t>Birch → GHL webhook</t>
        </is>
      </c>
      <c r="D77" s="500" t="inlineStr">
        <is>
          <t>GHL contact + TikTok tag</t>
        </is>
      </c>
      <c r="E77" s="500" t="inlineStr">
        <is>
          <t>GHL workflow triggered</t>
        </is>
      </c>
      <c r="F77" s="500" t="inlineStr">
        <is>
          <t>Make.com → Pancake</t>
        </is>
      </c>
      <c r="G77" s="500" t="inlineStr">
        <is>
          <t>GHL (primary) + Pancake (sync)</t>
        </is>
      </c>
    </row>
    <row r="78">
      <c r="A78" s="499" t="inlineStr">
        <is>
          <t>Referral (PH giới thiệu)</t>
        </is>
      </c>
      <c r="B78" s="499" t="inlineStr">
        <is>
          <t>PH submit referral form</t>
        </is>
      </c>
      <c r="C78" s="499" t="inlineStr">
        <is>
          <t>GHL capture + referral tag</t>
        </is>
      </c>
      <c r="D78" s="499" t="inlineStr">
        <is>
          <t>GHL tag referrer + referee</t>
        </is>
      </c>
      <c r="E78" s="499" t="inlineStr">
        <is>
          <t>GHL referral workflow</t>
        </is>
      </c>
      <c r="F78" s="499" t="inlineStr">
        <is>
          <t>Make.com → Pancake both contacts</t>
        </is>
      </c>
      <c r="G78" s="499" t="inlineStr">
        <is>
          <t>GHL (primary)</t>
        </is>
      </c>
    </row>
    <row r="79">
      <c r="A79" s="500" t="inlineStr">
        <is>
          <t>Walk-in</t>
        </is>
      </c>
      <c r="B79" s="500" t="inlineStr">
        <is>
          <t>PH đến trực tiếp</t>
        </is>
      </c>
      <c r="C79" s="500" t="inlineStr">
        <is>
          <t>Tư vấn viên nhập Pancake</t>
        </is>
      </c>
      <c r="D79" s="500" t="inlineStr">
        <is>
          <t>Pancake tag "Walk-in" + cơ sở</t>
        </is>
      </c>
      <c r="E79" s="500" t="inlineStr">
        <is>
          <t>Make.com → GHL contact</t>
        </is>
      </c>
      <c r="F79" s="500" t="inlineStr">
        <is>
          <t>GHL add to pipeline</t>
        </is>
      </c>
      <c r="G79" s="500" t="inlineStr">
        <is>
          <t>Pancake (entry) + GHL (pipeline)</t>
        </is>
      </c>
    </row>
    <row r="80">
      <c r="A80" s="499" t="inlineStr">
        <is>
          <t>Webinar Registration</t>
        </is>
      </c>
      <c r="B80" s="499" t="inlineStr">
        <is>
          <t>PH đăng ký webinar qua form</t>
        </is>
      </c>
      <c r="C80" s="499" t="inlineStr">
        <is>
          <t>GHL capture + webinar tag</t>
        </is>
      </c>
      <c r="D80" s="499" t="inlineStr">
        <is>
          <t>GHL Webinar workflow</t>
        </is>
      </c>
      <c r="E80" s="499" t="inlineStr">
        <is>
          <t>Make.com → Pancake note</t>
        </is>
      </c>
      <c r="F80" s="499" t="inlineStr">
        <is>
          <t>Post-webinar nurture</t>
        </is>
      </c>
      <c r="G80" s="499" t="inlineStr">
        <is>
          <t>GHL (primary)</t>
        </is>
      </c>
    </row>
    <row r="81">
      <c r="A81" s="500" t="inlineStr">
        <is>
          <t>Phone Call</t>
        </is>
      </c>
      <c r="B81" s="500" t="inlineStr">
        <is>
          <t>PH gọi điện</t>
        </is>
      </c>
      <c r="C81" s="500" t="inlineStr">
        <is>
          <t>Tư vấn viên nhập Pancake/GHL</t>
        </is>
      </c>
      <c r="D81" s="500" t="inlineStr">
        <is>
          <t>Tag "Phone" + cơ sở + cấp học</t>
        </is>
      </c>
      <c r="E81" s="500" t="inlineStr">
        <is>
          <t>Make.com sync 2 chiều</t>
        </is>
      </c>
      <c r="F81" s="500" t="inlineStr">
        <is>
          <t>GHL pipeline + workflow</t>
        </is>
      </c>
      <c r="G81" s="500" t="inlineStr">
        <is>
          <t>Cả hai CRM</t>
        </is>
      </c>
    </row>
    <row r="83">
      <c r="A83" s="504" t="inlineStr">
        <is>
          <t>Chi tiết đầy đủ 100 bước setup → Xem Sheet "P. Setup &amp; Đồng Bộ"</t>
        </is>
      </c>
    </row>
  </sheetData>
  <mergeCells count="3">
    <mergeCell ref="B1:H1"/>
    <mergeCell ref="B3:H3"/>
    <mergeCell ref="B19:H19"/>
  </mergeCells>
  <hyperlinks>
    <hyperlink xmlns:r="http://schemas.openxmlformats.org/officeDocument/2006/relationships" ref="A83"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FF9C27B0"/>
    <outlinePr summaryBelow="1" summaryRight="1"/>
    <pageSetUpPr fitToPage="0"/>
  </sheetPr>
  <dimension ref="A1:P8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16"/>
  </cols>
  <sheetData>
    <row r="1" ht="17.35" customHeight="1" s="248">
      <c r="A1" s="249" t="inlineStr">
        <is>
          <t>KẾ HOẠCH WEBINAR CHI TIẾT – TUYỂN SINH VIỆT ANH 2026</t>
        </is>
      </c>
    </row>
    <row r="2" ht="15" customHeight="1" s="248">
      <c r="A2" s="491" t="inlineStr">
        <is>
          <t>Ngân sách Webinar Ads: 425,000,000đ (5%) | Mục tiêu: 6 webinar chính + 2 bổ sung | Target: 800+ registrations tổng | Kênh quảng bá: Meta + Google + Zalo + Email</t>
        </is>
      </c>
    </row>
    <row r="4" ht="15" customHeight="1" s="248">
      <c r="A4" s="253" t="inlineStr">
        <is>
          <t>A. LỊCH WEBINAR 7 THÁNG (04-09/2026)</t>
        </is>
      </c>
    </row>
    <row r="5" ht="15" customHeight="1" s="248">
      <c r="A5" s="250" t="inlineStr">
        <is>
          <t>#</t>
        </is>
      </c>
      <c r="B5" s="250" t="inlineStr">
        <is>
          <t>Tên Webinar</t>
        </is>
      </c>
      <c r="C5" s="250" t="inlineStr">
        <is>
          <t>Cấp học</t>
        </is>
      </c>
      <c r="D5" s="250" t="inlineStr">
        <is>
          <t>Ngày dự kiến</t>
        </is>
      </c>
      <c r="E5" s="250" t="inlineStr">
        <is>
          <t>Thời gian</t>
        </is>
      </c>
      <c r="F5" s="250" t="inlineStr">
        <is>
          <t>Nền tảng</t>
        </is>
      </c>
      <c r="G5" s="250" t="inlineStr">
        <is>
          <t>Chủ đề chính</t>
        </is>
      </c>
      <c r="H5" s="250" t="inlineStr">
        <is>
          <t>Diễn giả</t>
        </is>
      </c>
      <c r="I5" s="250" t="inlineStr">
        <is>
          <t>Mục tiêu Reg</t>
        </is>
      </c>
      <c r="J5" s="250" t="inlineStr">
        <is>
          <t>Mục tiêu Attend</t>
        </is>
      </c>
      <c r="K5" s="250" t="inlineStr">
        <is>
          <t>Attend Rate</t>
        </is>
      </c>
      <c r="L5" s="250" t="inlineStr">
        <is>
          <t>CTA sau webinar</t>
        </is>
      </c>
      <c r="M5" s="250" t="inlineStr">
        <is>
          <t>Ngân sách Ads</t>
        </is>
      </c>
      <c r="N5" s="250" t="inlineStr">
        <is>
          <t>Kênh quảng bá</t>
        </is>
      </c>
      <c r="O5" s="250" t="inlineStr">
        <is>
          <t>GHL Workflow</t>
        </is>
      </c>
      <c r="P5" s="250" t="inlineStr">
        <is>
          <t>Trạng thái</t>
        </is>
      </c>
    </row>
    <row r="6" ht="35.05" customHeight="1" s="248">
      <c r="A6" s="251" t="n">
        <v>1</v>
      </c>
      <c r="B6" s="251" t="inlineStr">
        <is>
          <t>Lộ trình con tôi sau lớp 5</t>
        </is>
      </c>
      <c r="C6" s="251" t="inlineStr">
        <is>
          <t>THCS</t>
        </is>
      </c>
      <c r="D6" s="251" t="inlineStr">
        <is>
          <t>15/04/2026</t>
        </is>
      </c>
      <c r="E6" s="251" t="inlineStr">
        <is>
          <t>19:30-21:00</t>
        </is>
      </c>
      <c r="F6" s="251" t="inlineStr">
        <is>
          <t>Zoom + Facebook Live</t>
        </is>
      </c>
      <c r="G6" s="251" t="inlineStr">
        <is>
          <t>Chuyển cấp 5→6: Tâm lý, chương trình, tiêu chí chọn trường</t>
        </is>
      </c>
      <c r="H6" s="251" t="inlineStr">
        <is>
          <t>BGH THCS + PH cựu HS</t>
        </is>
      </c>
      <c r="I6" s="251" t="n">
        <v>120</v>
      </c>
      <c r="J6" s="251" t="n">
        <v>72</v>
      </c>
      <c r="K6" s="251" t="inlineStr">
        <is>
          <t>60%</t>
        </is>
      </c>
      <c r="L6" s="251" t="inlineStr">
        <is>
          <t>Book tour THCS GV</t>
        </is>
      </c>
      <c r="M6" s="251" t="n">
        <v>60000000</v>
      </c>
      <c r="N6" s="251" t="inlineStr">
        <is>
          <t>Meta+Google+Zalo+Email</t>
        </is>
      </c>
      <c r="O6" s="251" t="inlineStr">
        <is>
          <t>Webinar sequence</t>
        </is>
      </c>
      <c r="P6" s="251" t="inlineStr">
        <is>
          <t>☐</t>
        </is>
      </c>
    </row>
    <row r="7" ht="23.85" customHeight="1" s="248">
      <c r="A7" s="252" t="n">
        <v>2</v>
      </c>
      <c r="B7" s="252" t="inlineStr">
        <is>
          <t>Tuyển sinh lớp 10 – Học bổng &amp; Lộ trình ĐH</t>
        </is>
      </c>
      <c r="C7" s="252" t="inlineStr">
        <is>
          <t>THPT</t>
        </is>
      </c>
      <c r="D7" s="252" t="inlineStr">
        <is>
          <t>22/04/2026</t>
        </is>
      </c>
      <c r="E7" s="252" t="inlineStr">
        <is>
          <t>19:30-21:00</t>
        </is>
      </c>
      <c r="F7" s="252" t="inlineStr">
        <is>
          <t>Zoom + Facebook Live</t>
        </is>
      </c>
      <c r="G7" s="252" t="inlineStr">
        <is>
          <t>Lớp 10 tư thục vs công lập, học bổng, đầu ra ĐH</t>
        </is>
      </c>
      <c r="H7" s="252" t="inlineStr">
        <is>
          <t>BGH THPT + Alumni ĐH top</t>
        </is>
      </c>
      <c r="I7" s="252" t="n">
        <v>150</v>
      </c>
      <c r="J7" s="252" t="n">
        <v>90</v>
      </c>
      <c r="K7" s="252" t="inlineStr">
        <is>
          <t>60%</t>
        </is>
      </c>
      <c r="L7" s="252" t="inlineStr">
        <is>
          <t>Thi học bổng lớp 10</t>
        </is>
      </c>
      <c r="M7" s="252" t="n">
        <v>75000000</v>
      </c>
      <c r="N7" s="252" t="inlineStr">
        <is>
          <t>Meta+Google+Zalo+Email</t>
        </is>
      </c>
      <c r="O7" s="252" t="inlineStr">
        <is>
          <t>Webinar sequence</t>
        </is>
      </c>
      <c r="P7" s="252" t="inlineStr">
        <is>
          <t>☐</t>
        </is>
      </c>
    </row>
    <row r="8" ht="23.85" customHeight="1" s="248">
      <c r="A8" s="251" t="n">
        <v>3</v>
      </c>
      <c r="B8" s="251" t="inlineStr">
        <is>
          <t>Mầm non song ngữ – Nền tảng vàng 0-6 tuổi</t>
        </is>
      </c>
      <c r="C8" s="251" t="inlineStr">
        <is>
          <t>MN</t>
        </is>
      </c>
      <c r="D8" s="251" t="inlineStr">
        <is>
          <t>06/05/2026</t>
        </is>
      </c>
      <c r="E8" s="251" t="inlineStr">
        <is>
          <t>19:30-20:30</t>
        </is>
      </c>
      <c r="F8" s="251" t="inlineStr">
        <is>
          <t>Zoom + Facebook Live</t>
        </is>
      </c>
      <c r="G8" s="251" t="inlineStr">
        <is>
          <t>Phát triển ngôn ngữ sớm, tiêu chí chọn MN an toàn</t>
        </is>
      </c>
      <c r="H8" s="251" t="inlineStr">
        <is>
          <t>Chuyên gia GD mầm non + GV MN VA</t>
        </is>
      </c>
      <c r="I8" s="251" t="n">
        <v>100</v>
      </c>
      <c r="J8" s="251" t="n">
        <v>65</v>
      </c>
      <c r="K8" s="251" t="inlineStr">
        <is>
          <t>65%</t>
        </is>
      </c>
      <c r="L8" s="251" t="inlineStr">
        <is>
          <t>Book tour MN</t>
        </is>
      </c>
      <c r="M8" s="251" t="n">
        <v>40000000</v>
      </c>
      <c r="N8" s="251" t="inlineStr">
        <is>
          <t>Meta+Zalo+TikTok</t>
        </is>
      </c>
      <c r="O8" s="251" t="inlineStr">
        <is>
          <t>Webinar sequence</t>
        </is>
      </c>
      <c r="P8" s="251" t="inlineStr">
        <is>
          <t>☐</t>
        </is>
      </c>
    </row>
    <row r="9" ht="35.05" customHeight="1" s="248">
      <c r="A9" s="252" t="n">
        <v>4</v>
      </c>
      <c r="B9" s="252" t="inlineStr">
        <is>
          <t>Chọn trường tiểu học – Điều PH cần biết</t>
        </is>
      </c>
      <c r="C9" s="252" t="inlineStr">
        <is>
          <t>TH</t>
        </is>
      </c>
      <c r="D9" s="252" t="inlineStr">
        <is>
          <t>14/05/2026</t>
        </is>
      </c>
      <c r="E9" s="252" t="inlineStr">
        <is>
          <t>19:30-21:00</t>
        </is>
      </c>
      <c r="F9" s="252" t="inlineStr">
        <is>
          <t>Zoom + Facebook Live</t>
        </is>
      </c>
      <c r="G9" s="252" t="inlineStr">
        <is>
          <t>Tiêu chí chọn trường TH, song ngữ, sĩ số, ngoại khóa</t>
        </is>
      </c>
      <c r="H9" s="252" t="inlineStr">
        <is>
          <t>BGH TH + PH hiện tại</t>
        </is>
      </c>
      <c r="I9" s="252" t="n">
        <v>120</v>
      </c>
      <c r="J9" s="252" t="n">
        <v>72</v>
      </c>
      <c r="K9" s="252" t="inlineStr">
        <is>
          <t>60%</t>
        </is>
      </c>
      <c r="L9" s="252" t="inlineStr">
        <is>
          <t>Book tour TH GV/BT</t>
        </is>
      </c>
      <c r="M9" s="252" t="n">
        <v>50000000</v>
      </c>
      <c r="N9" s="252" t="inlineStr">
        <is>
          <t>Meta+Google+Zalo</t>
        </is>
      </c>
      <c r="O9" s="252" t="inlineStr">
        <is>
          <t>Webinar sequence</t>
        </is>
      </c>
      <c r="P9" s="252" t="inlineStr">
        <is>
          <t>☐</t>
        </is>
      </c>
    </row>
    <row r="10" ht="23.85" customHeight="1" s="248">
      <c r="A10" s="251" t="n">
        <v>5</v>
      </c>
      <c r="B10" s="251" t="inlineStr">
        <is>
          <t>THCS – Giai đoạn bản lề quyết định tương lai</t>
        </is>
      </c>
      <c r="C10" s="251" t="inlineStr">
        <is>
          <t>THCS</t>
        </is>
      </c>
      <c r="D10" s="251" t="inlineStr">
        <is>
          <t>11/06/2026</t>
        </is>
      </c>
      <c r="E10" s="251" t="inlineStr">
        <is>
          <t>19:30-21:00</t>
        </is>
      </c>
      <c r="F10" s="251" t="inlineStr">
        <is>
          <t>Zoom + Facebook Live</t>
        </is>
      </c>
      <c r="G10" s="251" t="inlineStr">
        <is>
          <t>Dậy thì &amp; học tập, lộ trình THCS→THPT liên cấp</t>
        </is>
      </c>
      <c r="H10" s="251" t="inlineStr">
        <is>
          <t>GV chủ nhiệm THCS + Tâm lý GD</t>
        </is>
      </c>
      <c r="I10" s="251" t="n">
        <v>130</v>
      </c>
      <c r="J10" s="251" t="n">
        <v>78</v>
      </c>
      <c r="K10" s="251" t="inlineStr">
        <is>
          <t>60%</t>
        </is>
      </c>
      <c r="L10" s="251" t="inlineStr">
        <is>
          <t>Book tour THCS</t>
        </is>
      </c>
      <c r="M10" s="251" t="n">
        <v>55000000</v>
      </c>
      <c r="N10" s="251" t="inlineStr">
        <is>
          <t>Meta+Google+Zalo</t>
        </is>
      </c>
      <c r="O10" s="251" t="inlineStr">
        <is>
          <t>Webinar sequence</t>
        </is>
      </c>
      <c r="P10" s="251" t="inlineStr">
        <is>
          <t>☐</t>
        </is>
      </c>
    </row>
    <row r="11" ht="23.85" customHeight="1" s="248">
      <c r="A11" s="252" t="n">
        <v>6</v>
      </c>
      <c r="B11" s="252" t="inlineStr">
        <is>
          <t>Học bổng THPT 2026 – Cơ hội cuối</t>
        </is>
      </c>
      <c r="C11" s="252" t="inlineStr">
        <is>
          <t>THPT</t>
        </is>
      </c>
      <c r="D11" s="252" t="inlineStr">
        <is>
          <t>16/07/2026</t>
        </is>
      </c>
      <c r="E11" s="252" t="inlineStr">
        <is>
          <t>19:30-21:00</t>
        </is>
      </c>
      <c r="F11" s="252" t="inlineStr">
        <is>
          <t>Zoom + Facebook Live</t>
        </is>
      </c>
      <c r="G11" s="252" t="inlineStr">
        <is>
          <t>Deadline học bổng, pathway du học, ĐH top</t>
        </is>
      </c>
      <c r="H11" s="252" t="inlineStr">
        <is>
          <t>BGH + Counselor du học</t>
        </is>
      </c>
      <c r="I11" s="252" t="n">
        <v>160</v>
      </c>
      <c r="J11" s="252" t="n">
        <v>96</v>
      </c>
      <c r="K11" s="252" t="inlineStr">
        <is>
          <t>60%</t>
        </is>
      </c>
      <c r="L11" s="252" t="inlineStr">
        <is>
          <t>Đăng ký thi HB ngay</t>
        </is>
      </c>
      <c r="M11" s="252" t="n">
        <v>80000000</v>
      </c>
      <c r="N11" s="252" t="inlineStr">
        <is>
          <t>Meta+Google+Zalo+Email</t>
        </is>
      </c>
      <c r="O11" s="252" t="inlineStr">
        <is>
          <t>Webinar + Scholarship</t>
        </is>
      </c>
      <c r="P11" s="252" t="inlineStr">
        <is>
          <t>☐</t>
        </is>
      </c>
    </row>
    <row r="12" ht="23.85" customHeight="1" s="248">
      <c r="A12" s="251" t="n">
        <v>7</v>
      </c>
      <c r="B12" s="251" t="inlineStr">
        <is>
          <t>Open Day Online – Tour ảo 8 cơ sở</t>
        </is>
      </c>
      <c r="C12" s="251" t="inlineStr">
        <is>
          <t>Liên cấp</t>
        </is>
      </c>
      <c r="D12" s="251" t="inlineStr">
        <is>
          <t>21/06/2026</t>
        </is>
      </c>
      <c r="E12" s="251" t="inlineStr">
        <is>
          <t>09:00-11:00</t>
        </is>
      </c>
      <c r="F12" s="251" t="inlineStr">
        <is>
          <t>Zoom + YouTube Live</t>
        </is>
      </c>
      <c r="G12" s="251" t="inlineStr">
        <is>
          <t>Virtual tour tất cả campus, Q&amp;A trực tiếp với BGH</t>
        </is>
      </c>
      <c r="H12" s="251" t="inlineStr">
        <is>
          <t>BGH + Campus Manager</t>
        </is>
      </c>
      <c r="I12" s="251" t="n">
        <v>200</v>
      </c>
      <c r="J12" s="251" t="n">
        <v>120</v>
      </c>
      <c r="K12" s="251" t="inlineStr">
        <is>
          <t>60%</t>
        </is>
      </c>
      <c r="L12" s="251" t="inlineStr">
        <is>
          <t>Book tour thực tế</t>
        </is>
      </c>
      <c r="M12" s="251" t="n">
        <v>40000000</v>
      </c>
      <c r="N12" s="251" t="inlineStr">
        <is>
          <t>Meta+YouTube+Zalo</t>
        </is>
      </c>
      <c r="O12" s="251" t="inlineStr">
        <is>
          <t>Webinar sequence</t>
        </is>
      </c>
      <c r="P12" s="251" t="inlineStr">
        <is>
          <t>☐</t>
        </is>
      </c>
    </row>
    <row r="13" ht="23.85" customHeight="1" s="248">
      <c r="A13" s="252" t="n">
        <v>8</v>
      </c>
      <c r="B13" s="252" t="inlineStr">
        <is>
          <t>Late intake – Còn nhận hồ sơ T9</t>
        </is>
      </c>
      <c r="C13" s="252" t="inlineStr">
        <is>
          <t>THCS/THPT</t>
        </is>
      </c>
      <c r="D13" s="252" t="inlineStr">
        <is>
          <t>03/09/2026</t>
        </is>
      </c>
      <c r="E13" s="252" t="inlineStr">
        <is>
          <t>19:30-20:30</t>
        </is>
      </c>
      <c r="F13" s="252" t="inlineStr">
        <is>
          <t>Zoom</t>
        </is>
      </c>
      <c r="G13" s="252" t="inlineStr">
        <is>
          <t>Chuyển trường, nhập học muộn, quy trình nhanh</t>
        </is>
      </c>
      <c r="H13" s="252" t="inlineStr">
        <is>
          <t>BGH + Sales Lead</t>
        </is>
      </c>
      <c r="I13" s="252" t="n">
        <v>80</v>
      </c>
      <c r="J13" s="252" t="n">
        <v>48</v>
      </c>
      <c r="K13" s="252" t="inlineStr">
        <is>
          <t>60%</t>
        </is>
      </c>
      <c r="L13" s="252" t="inlineStr">
        <is>
          <t>Liên hệ tư vấn ngay</t>
        </is>
      </c>
      <c r="M13" s="252" t="n">
        <v>25000000</v>
      </c>
      <c r="N13" s="252" t="inlineStr">
        <is>
          <t>Meta+Google+Zalo</t>
        </is>
      </c>
      <c r="O13" s="252" t="inlineStr">
        <is>
          <t>Late intake seq</t>
        </is>
      </c>
      <c r="P13" s="252" t="inlineStr">
        <is>
          <t>☐</t>
        </is>
      </c>
    </row>
    <row r="16" ht="15" customHeight="1" s="248">
      <c r="A16" s="253" t="inlineStr">
        <is>
          <t>B. QUY TRÌNH TỔ CHỨC WEBINAR (CHECKLIST)</t>
        </is>
      </c>
    </row>
    <row r="17" ht="15" customHeight="1" s="248">
      <c r="A17" s="250" t="inlineStr">
        <is>
          <t>Giai đoạn</t>
        </is>
      </c>
      <c r="B17" s="250" t="inlineStr">
        <is>
          <t>Thời gian</t>
        </is>
      </c>
      <c r="C17" s="250" t="inlineStr">
        <is>
          <t>Công việc</t>
        </is>
      </c>
      <c r="D17" s="250" t="inlineStr">
        <is>
          <t>Chi tiết</t>
        </is>
      </c>
      <c r="E17" s="250" t="inlineStr">
        <is>
          <t>Ai làm</t>
        </is>
      </c>
      <c r="F17" s="250" t="inlineStr">
        <is>
          <t>Tool</t>
        </is>
      </c>
      <c r="G17" s="250" t="inlineStr">
        <is>
          <t>Trạng thái</t>
        </is>
      </c>
    </row>
    <row r="18" ht="23.85" customHeight="1" s="248">
      <c r="A18" s="251" t="inlineStr">
        <is>
          <t>Trước 3 tuần</t>
        </is>
      </c>
      <c r="B18" s="251" t="inlineStr">
        <is>
          <t>T-21 ngày</t>
        </is>
      </c>
      <c r="C18" s="251" t="inlineStr">
        <is>
          <t>Chốt chủ đề + diễn giả</t>
        </is>
      </c>
      <c r="D18" s="251" t="inlineStr">
        <is>
          <t>Xác nhận topic, outline, diễn giả chính + backup</t>
        </is>
      </c>
      <c r="E18" s="251" t="inlineStr">
        <is>
          <t>Marketing Lead</t>
        </is>
      </c>
      <c r="F18" s="251" t="inlineStr">
        <is>
          <t>Email/Meeting</t>
        </is>
      </c>
      <c r="G18" s="251" t="inlineStr">
        <is>
          <t>☐</t>
        </is>
      </c>
    </row>
    <row r="19" ht="35.05" customHeight="1" s="248">
      <c r="A19" s="252" t="inlineStr">
        <is>
          <t>Trước 3 tuần</t>
        </is>
      </c>
      <c r="B19" s="252" t="inlineStr">
        <is>
          <t>T-21 ngày</t>
        </is>
      </c>
      <c r="C19" s="252" t="inlineStr">
        <is>
          <t>Tạo Landing Page webinar</t>
        </is>
      </c>
      <c r="D19" s="252" t="inlineStr">
        <is>
          <t>LP riêng trên GHL hoặc website, form: Tên+SĐT+Email+Cấp</t>
        </is>
      </c>
      <c r="E19" s="252" t="inlineStr">
        <is>
          <t>Performance</t>
        </is>
      </c>
      <c r="F19" s="252" t="inlineStr">
        <is>
          <t>GHL/WordPress</t>
        </is>
      </c>
      <c r="G19" s="252" t="inlineStr">
        <is>
          <t>☐</t>
        </is>
      </c>
    </row>
    <row r="20" ht="23.85" customHeight="1" s="248">
      <c r="A20" s="251" t="inlineStr">
        <is>
          <t>Trước 2 tuần</t>
        </is>
      </c>
      <c r="B20" s="251" t="inlineStr">
        <is>
          <t>T-14 ngày</t>
        </is>
      </c>
      <c r="C20" s="251" t="inlineStr">
        <is>
          <t>Setup Zoom + test</t>
        </is>
      </c>
      <c r="D20" s="251" t="inlineStr">
        <is>
          <t>Tạo meeting, test link, backup plan nếu Zoom lỗi</t>
        </is>
      </c>
      <c r="E20" s="251" t="inlineStr">
        <is>
          <t>Tech/Admin</t>
        </is>
      </c>
      <c r="F20" s="251" t="inlineStr">
        <is>
          <t>Zoom Pro</t>
        </is>
      </c>
      <c r="G20" s="251" t="inlineStr">
        <is>
          <t>☐</t>
        </is>
      </c>
    </row>
    <row r="21" ht="35.05" customHeight="1" s="248">
      <c r="A21" s="252" t="inlineStr">
        <is>
          <t>Trước 2 tuần</t>
        </is>
      </c>
      <c r="B21" s="252" t="inlineStr">
        <is>
          <t>T-14 ngày</t>
        </is>
      </c>
      <c r="C21" s="252" t="inlineStr">
        <is>
          <t>Tạo creative ads webinar</t>
        </is>
      </c>
      <c r="D21" s="252" t="inlineStr">
        <is>
          <t>3-5 creative (image + video teaser 15s) cho Meta + Google</t>
        </is>
      </c>
      <c r="E21" s="252" t="inlineStr">
        <is>
          <t>Content Creator</t>
        </is>
      </c>
      <c r="F21" s="252" t="inlineStr">
        <is>
          <t>Canva/Premiere</t>
        </is>
      </c>
      <c r="G21" s="252" t="inlineStr">
        <is>
          <t>☐</t>
        </is>
      </c>
    </row>
    <row r="22" ht="35.05" customHeight="1" s="248">
      <c r="A22" s="251" t="inlineStr">
        <is>
          <t>Trước 2 tuần</t>
        </is>
      </c>
      <c r="B22" s="251" t="inlineStr">
        <is>
          <t>T-14 ngày</t>
        </is>
      </c>
      <c r="C22" s="251" t="inlineStr">
        <is>
          <t>Launch ads webinar</t>
        </is>
      </c>
      <c r="D22" s="251" t="inlineStr">
        <is>
          <t>Meta Lead Gen + Google Search "hội thảo" + Zalo broadcast</t>
        </is>
      </c>
      <c r="E22" s="251" t="inlineStr">
        <is>
          <t>Performance</t>
        </is>
      </c>
      <c r="F22" s="251" t="inlineStr">
        <is>
          <t>Meta+Google+Zalo</t>
        </is>
      </c>
      <c r="G22" s="251" t="inlineStr">
        <is>
          <t>☐</t>
        </is>
      </c>
    </row>
    <row r="23" ht="46.25" customHeight="1" s="248">
      <c r="A23" s="252" t="inlineStr">
        <is>
          <t>Trước 2 tuần</t>
        </is>
      </c>
      <c r="B23" s="252" t="inlineStr">
        <is>
          <t>T-14 ngày</t>
        </is>
      </c>
      <c r="C23" s="252" t="inlineStr">
        <is>
          <t>Setup email sequence GHL</t>
        </is>
      </c>
      <c r="D23" s="252" t="inlineStr">
        <is>
          <t>Confirm email → Reminder 48h → Reminder 2h → Post-webinar</t>
        </is>
      </c>
      <c r="E23" s="252" t="inlineStr">
        <is>
          <t>CRM Executive</t>
        </is>
      </c>
      <c r="F23" s="252" t="inlineStr">
        <is>
          <t>GHL Workflow</t>
        </is>
      </c>
      <c r="G23" s="252" t="inlineStr">
        <is>
          <t>☐</t>
        </is>
      </c>
    </row>
    <row r="24" ht="23.85" customHeight="1" s="248">
      <c r="A24" s="251" t="inlineStr">
        <is>
          <t>Trước 1 tuần</t>
        </is>
      </c>
      <c r="B24" s="251" t="inlineStr">
        <is>
          <t>T-7 ngày</t>
        </is>
      </c>
      <c r="C24" s="251" t="inlineStr">
        <is>
          <t>Kiểm tra registrations</t>
        </is>
      </c>
      <c r="D24" s="251" t="inlineStr">
        <is>
          <t>Check số reg vs target → Tăng budget ads nếu cần</t>
        </is>
      </c>
      <c r="E24" s="251" t="inlineStr">
        <is>
          <t>Marketing Lead</t>
        </is>
      </c>
      <c r="F24" s="251" t="inlineStr">
        <is>
          <t>GHL + Ads Manager</t>
        </is>
      </c>
      <c r="G24" s="251" t="inlineStr">
        <is>
          <t>☐</t>
        </is>
      </c>
    </row>
    <row r="25" ht="23.85" customHeight="1" s="248">
      <c r="A25" s="252" t="inlineStr">
        <is>
          <t>Trước 1 tuần</t>
        </is>
      </c>
      <c r="B25" s="252" t="inlineStr">
        <is>
          <t>T-7 ngày</t>
        </is>
      </c>
      <c r="C25" s="252" t="inlineStr">
        <is>
          <t>Chuẩn bị slide + script</t>
        </is>
      </c>
      <c r="D25" s="252" t="inlineStr">
        <is>
          <t>Slide PPT, script cho host, Q&amp;A prep, CTA slide cuối</t>
        </is>
      </c>
      <c r="E25" s="252" t="inlineStr">
        <is>
          <t>Content + BGH</t>
        </is>
      </c>
      <c r="F25" s="252" t="inlineStr">
        <is>
          <t>PowerPoint</t>
        </is>
      </c>
      <c r="G25" s="252" t="inlineStr">
        <is>
          <t>☐</t>
        </is>
      </c>
    </row>
    <row r="26" ht="23.85" customHeight="1" s="248">
      <c r="A26" s="251" t="inlineStr">
        <is>
          <t>Trước 1 tuần</t>
        </is>
      </c>
      <c r="B26" s="251" t="inlineStr">
        <is>
          <t>T-7 ngày</t>
        </is>
      </c>
      <c r="C26" s="251" t="inlineStr">
        <is>
          <t>SMS reminder blast</t>
        </is>
      </c>
      <c r="D26" s="251" t="inlineStr">
        <is>
          <t>Gửi SMS nhắc tất cả registrants</t>
        </is>
      </c>
      <c r="E26" s="251" t="inlineStr">
        <is>
          <t>CRM Executive</t>
        </is>
      </c>
      <c r="F26" s="251" t="inlineStr">
        <is>
          <t>GHL SMS</t>
        </is>
      </c>
      <c r="G26" s="251" t="inlineStr">
        <is>
          <t>☐</t>
        </is>
      </c>
    </row>
    <row r="27" ht="23.85" customHeight="1" s="248">
      <c r="A27" s="252" t="inlineStr">
        <is>
          <t>Ngày webinar</t>
        </is>
      </c>
      <c r="B27" s="252" t="inlineStr">
        <is>
          <t>T-2h</t>
        </is>
      </c>
      <c r="C27" s="252" t="inlineStr">
        <is>
          <t>Zalo reminder</t>
        </is>
      </c>
      <c r="D27" s="252" t="inlineStr">
        <is>
          <t>Broadcast Zalo OA nhắc nhở + link Zoom</t>
        </is>
      </c>
      <c r="E27" s="252" t="inlineStr">
        <is>
          <t>CRM Executive</t>
        </is>
      </c>
      <c r="F27" s="252" t="inlineStr">
        <is>
          <t>GHL/Zalo</t>
        </is>
      </c>
      <c r="G27" s="252" t="inlineStr">
        <is>
          <t>☐</t>
        </is>
      </c>
    </row>
    <row r="28" ht="23.85" customHeight="1" s="248">
      <c r="A28" s="251" t="inlineStr">
        <is>
          <t>Ngày webinar</t>
        </is>
      </c>
      <c r="B28" s="251" t="inlineStr">
        <is>
          <t>T-30 phút</t>
        </is>
      </c>
      <c r="C28" s="251" t="inlineStr">
        <is>
          <t>Tech check cuối</t>
        </is>
      </c>
      <c r="D28" s="251" t="inlineStr">
        <is>
          <t>Test camera, mic, slide share, backup internet</t>
        </is>
      </c>
      <c r="E28" s="251" t="inlineStr">
        <is>
          <t>Tech/Admin</t>
        </is>
      </c>
      <c r="F28" s="251" t="inlineStr">
        <is>
          <t>Zoom</t>
        </is>
      </c>
      <c r="G28" s="251" t="inlineStr">
        <is>
          <t>☐</t>
        </is>
      </c>
    </row>
    <row r="29" ht="23.85" customHeight="1" s="248">
      <c r="A29" s="252" t="inlineStr">
        <is>
          <t>Ngày webinar</t>
        </is>
      </c>
      <c r="B29" s="252" t="inlineStr">
        <is>
          <t>Trong WB</t>
        </is>
      </c>
      <c r="C29" s="252" t="inlineStr">
        <is>
          <t>Moderate chat + Q&amp;A</t>
        </is>
      </c>
      <c r="D29" s="252" t="inlineStr">
        <is>
          <t>Trả lời chat real-time, ghi nhận câu hỏi, CTA liên tục</t>
        </is>
      </c>
      <c r="E29" s="252" t="inlineStr">
        <is>
          <t>Marketing team</t>
        </is>
      </c>
      <c r="F29" s="252" t="inlineStr">
        <is>
          <t>Zoom Chat</t>
        </is>
      </c>
      <c r="G29" s="252" t="inlineStr">
        <is>
          <t>☐</t>
        </is>
      </c>
    </row>
    <row r="30" ht="35.05" customHeight="1" s="248">
      <c r="A30" s="251" t="inlineStr">
        <is>
          <t>Ngày webinar</t>
        </is>
      </c>
      <c r="B30" s="251" t="inlineStr">
        <is>
          <t>Cuối WB</t>
        </is>
      </c>
      <c r="C30" s="251" t="inlineStr">
        <is>
          <t>CTA slide + offer</t>
        </is>
      </c>
      <c r="D30" s="251" t="inlineStr">
        <is>
          <t>Hiển thị ưu đãi đặc biệt cho attendees + QR book tour</t>
        </is>
      </c>
      <c r="E30" s="251" t="inlineStr">
        <is>
          <t>Host/BGH</t>
        </is>
      </c>
      <c r="F30" s="251" t="inlineStr">
        <is>
          <t>Zoom + GHL</t>
        </is>
      </c>
      <c r="G30" s="251" t="inlineStr">
        <is>
          <t>☐</t>
        </is>
      </c>
    </row>
    <row r="31" ht="23.85" customHeight="1" s="248">
      <c r="A31" s="252" t="inlineStr">
        <is>
          <t>Sau 2h</t>
        </is>
      </c>
      <c r="B31" s="252" t="inlineStr">
        <is>
          <t>T+2h</t>
        </is>
      </c>
      <c r="C31" s="252" t="inlineStr">
        <is>
          <t>Email thank you + replay</t>
        </is>
      </c>
      <c r="D31" s="252" t="inlineStr">
        <is>
          <t>Gửi email cảm ơn + link recording + CTA book tour</t>
        </is>
      </c>
      <c r="E31" s="252" t="inlineStr">
        <is>
          <t>CRM Executive</t>
        </is>
      </c>
      <c r="F31" s="252" t="inlineStr">
        <is>
          <t>GHL Email</t>
        </is>
      </c>
      <c r="G31" s="252" t="inlineStr">
        <is>
          <t>☐</t>
        </is>
      </c>
    </row>
    <row r="32" ht="35.05" customHeight="1" s="248">
      <c r="A32" s="251" t="inlineStr">
        <is>
          <t>Sau 24h</t>
        </is>
      </c>
      <c r="B32" s="251" t="inlineStr">
        <is>
          <t>T+24h</t>
        </is>
      </c>
      <c r="C32" s="251" t="inlineStr">
        <is>
          <t>Gọi điện follow-up</t>
        </is>
      </c>
      <c r="D32" s="251" t="inlineStr">
        <is>
          <t>Sales gọi tất cả attendees chưa book tour → personal CTA</t>
        </is>
      </c>
      <c r="E32" s="251" t="inlineStr">
        <is>
          <t>Sales team</t>
        </is>
      </c>
      <c r="F32" s="251" t="inlineStr">
        <is>
          <t>GHL + Phone</t>
        </is>
      </c>
      <c r="G32" s="251" t="inlineStr">
        <is>
          <t>☐</t>
        </is>
      </c>
    </row>
    <row r="33" ht="35.05" customHeight="1" s="248">
      <c r="A33" s="252" t="inlineStr">
        <is>
          <t>Sau 48h</t>
        </is>
      </c>
      <c r="B33" s="252" t="inlineStr">
        <is>
          <t>T+48h</t>
        </is>
      </c>
      <c r="C33" s="252" t="inlineStr">
        <is>
          <t>Gửi recording cho no-shows</t>
        </is>
      </c>
      <c r="D33" s="252" t="inlineStr">
        <is>
          <t>Email/Zalo recording → CTA "Xem ngay + Book tour"</t>
        </is>
      </c>
      <c r="E33" s="252" t="inlineStr">
        <is>
          <t>CRM Executive</t>
        </is>
      </c>
      <c r="F33" s="252" t="inlineStr">
        <is>
          <t>GHL</t>
        </is>
      </c>
      <c r="G33" s="252" t="inlineStr">
        <is>
          <t>☐</t>
        </is>
      </c>
    </row>
    <row r="34" ht="23.85" customHeight="1" s="248">
      <c r="A34" s="251" t="inlineStr">
        <is>
          <t>Sau 1 tuần</t>
        </is>
      </c>
      <c r="B34" s="251" t="inlineStr">
        <is>
          <t>T+7 ngày</t>
        </is>
      </c>
      <c r="C34" s="251" t="inlineStr">
        <is>
          <t>Report webinar</t>
        </is>
      </c>
      <c r="D34" s="251" t="inlineStr">
        <is>
          <t>Reg, attend, attend rate, tours booked, CPR, CPA</t>
        </is>
      </c>
      <c r="E34" s="251" t="inlineStr">
        <is>
          <t>Marketing Lead</t>
        </is>
      </c>
      <c r="F34" s="251" t="inlineStr">
        <is>
          <t>Excel/GHL</t>
        </is>
      </c>
      <c r="G34" s="251" t="inlineStr">
        <is>
          <t>☐</t>
        </is>
      </c>
    </row>
    <row r="35" ht="35.05" customHeight="1" s="248">
      <c r="A35" s="252" t="inlineStr">
        <is>
          <t>Sau 1 tuần</t>
        </is>
      </c>
      <c r="B35" s="252" t="inlineStr">
        <is>
          <t>T+7 ngày</t>
        </is>
      </c>
      <c r="C35" s="252" t="inlineStr">
        <is>
          <t>Nurture sequence tiếp</t>
        </is>
      </c>
      <c r="D35" s="252" t="inlineStr">
        <is>
          <t>Attendees chưa tour → SMS Day 7 → Zalo Day 10 → Email Day 14</t>
        </is>
      </c>
      <c r="E35" s="252" t="inlineStr">
        <is>
          <t>CRM Executive</t>
        </is>
      </c>
      <c r="F35" s="252" t="inlineStr">
        <is>
          <t>GHL Workflow</t>
        </is>
      </c>
      <c r="G35" s="252" t="inlineStr">
        <is>
          <t>☐</t>
        </is>
      </c>
    </row>
    <row r="38" ht="15" customHeight="1" s="248">
      <c r="A38" s="253" t="inlineStr">
        <is>
          <t>C. KPI WEBINAR THEO THÁNG</t>
        </is>
      </c>
    </row>
    <row r="39" ht="15" customHeight="1" s="248">
      <c r="A39" s="250" t="inlineStr">
        <is>
          <t>KPI</t>
        </is>
      </c>
      <c r="B39" s="250" t="inlineStr">
        <is>
          <t>Tháng 4</t>
        </is>
      </c>
      <c r="C39" s="250" t="inlineStr">
        <is>
          <t>Tháng 5</t>
        </is>
      </c>
      <c r="D39" s="250" t="inlineStr">
        <is>
          <t>Tháng 6</t>
        </is>
      </c>
      <c r="E39" s="250" t="inlineStr">
        <is>
          <t>Tháng 7</t>
        </is>
      </c>
      <c r="F39" s="250" t="inlineStr">
        <is>
          <t>Tháng 8</t>
        </is>
      </c>
      <c r="G39" s="250" t="inlineStr">
        <is>
          <t>Tháng 9</t>
        </is>
      </c>
      <c r="H39" s="250" t="inlineStr">
        <is>
          <t>TỔNG</t>
        </is>
      </c>
    </row>
    <row r="40" ht="15" customHeight="1" s="248">
      <c r="A40" s="251" t="inlineStr">
        <is>
          <t>Số webinar</t>
        </is>
      </c>
      <c r="B40" s="251" t="n">
        <v>2</v>
      </c>
      <c r="C40" s="251" t="n">
        <v>2</v>
      </c>
      <c r="D40" s="251" t="n">
        <v>2</v>
      </c>
      <c r="E40" s="251" t="n">
        <v>1</v>
      </c>
      <c r="F40" s="251" t="n">
        <v>0</v>
      </c>
      <c r="G40" s="251" t="n">
        <v>1</v>
      </c>
      <c r="H40" s="251" t="n">
        <v>8</v>
      </c>
    </row>
    <row r="41" ht="15" customHeight="1" s="248">
      <c r="A41" s="252" t="inlineStr">
        <is>
          <t>Registrations</t>
        </is>
      </c>
      <c r="B41" s="252" t="n">
        <v>270</v>
      </c>
      <c r="C41" s="252" t="n">
        <v>220</v>
      </c>
      <c r="D41" s="252" t="n">
        <v>330</v>
      </c>
      <c r="E41" s="252" t="n">
        <v>160</v>
      </c>
      <c r="F41" s="252" t="n">
        <v>0</v>
      </c>
      <c r="G41" s="252" t="n">
        <v>80</v>
      </c>
      <c r="H41" s="252" t="n">
        <v>1060</v>
      </c>
    </row>
    <row r="42" ht="15" customHeight="1" s="248">
      <c r="A42" s="251" t="inlineStr">
        <is>
          <t>Attend rate</t>
        </is>
      </c>
      <c r="B42" s="251" t="inlineStr">
        <is>
          <t>60%</t>
        </is>
      </c>
      <c r="C42" s="251" t="inlineStr">
        <is>
          <t>62%</t>
        </is>
      </c>
      <c r="D42" s="251" t="inlineStr">
        <is>
          <t>60%</t>
        </is>
      </c>
      <c r="E42" s="251" t="inlineStr">
        <is>
          <t>60%</t>
        </is>
      </c>
      <c r="F42" s="251" t="inlineStr">
        <is>
          <t>-</t>
        </is>
      </c>
      <c r="G42" s="251" t="inlineStr">
        <is>
          <t>60%</t>
        </is>
      </c>
      <c r="H42" s="251" t="inlineStr">
        <is>
          <t>60%</t>
        </is>
      </c>
    </row>
    <row r="43" ht="15" customHeight="1" s="248">
      <c r="A43" s="252" t="inlineStr">
        <is>
          <t>Attendees</t>
        </is>
      </c>
      <c r="B43" s="252" t="n">
        <v>162</v>
      </c>
      <c r="C43" s="252" t="n">
        <v>137</v>
      </c>
      <c r="D43" s="252" t="n">
        <v>198</v>
      </c>
      <c r="E43" s="252" t="n">
        <v>96</v>
      </c>
      <c r="F43" s="252" t="n">
        <v>0</v>
      </c>
      <c r="G43" s="252" t="n">
        <v>48</v>
      </c>
      <c r="H43" s="252" t="n">
        <v>641</v>
      </c>
    </row>
    <row r="44" ht="15" customHeight="1" s="248">
      <c r="A44" s="251" t="inlineStr">
        <is>
          <t>Tours booked từ WB</t>
        </is>
      </c>
      <c r="B44" s="251" t="n">
        <v>65</v>
      </c>
      <c r="C44" s="251" t="n">
        <v>55</v>
      </c>
      <c r="D44" s="251" t="n">
        <v>79</v>
      </c>
      <c r="E44" s="251" t="n">
        <v>38</v>
      </c>
      <c r="F44" s="251" t="n">
        <v>0</v>
      </c>
      <c r="G44" s="251" t="n">
        <v>19</v>
      </c>
      <c r="H44" s="251" t="n">
        <v>256</v>
      </c>
    </row>
    <row r="45" ht="15" customHeight="1" s="248">
      <c r="A45" s="252" t="inlineStr">
        <is>
          <t>Cost/Registration</t>
        </is>
      </c>
      <c r="B45" s="252" t="n">
        <v>50000</v>
      </c>
      <c r="C45" s="252" t="n">
        <v>45000</v>
      </c>
      <c r="D45" s="252" t="n">
        <v>42000</v>
      </c>
      <c r="E45" s="252" t="n">
        <v>50000</v>
      </c>
      <c r="F45" s="252" t="inlineStr">
        <is>
          <t>-</t>
        </is>
      </c>
      <c r="G45" s="252" t="n">
        <v>31250</v>
      </c>
      <c r="H45" s="252" t="inlineStr">
        <is>
          <t>-</t>
        </is>
      </c>
    </row>
    <row r="46" ht="15" customHeight="1" s="248">
      <c r="A46" s="251" t="inlineStr">
        <is>
          <t>Ngân sách Ads</t>
        </is>
      </c>
      <c r="B46" s="251" t="n">
        <v>135000000</v>
      </c>
      <c r="C46" s="251" t="n">
        <v>90000000</v>
      </c>
      <c r="D46" s="251" t="n">
        <v>95000000</v>
      </c>
      <c r="E46" s="251" t="n">
        <v>80000000</v>
      </c>
      <c r="F46" s="251" t="n">
        <v>0</v>
      </c>
      <c r="G46" s="251" t="n">
        <v>25000000</v>
      </c>
      <c r="H46" s="251" t="n">
        <v>425000000</v>
      </c>
    </row>
    <row r="49">
      <c r="A49" s="492" t="inlineStr">
        <is>
          <t>CHI TIẾT 12 BUỔI WEBINAR (2/tháng T4-T9)</t>
        </is>
      </c>
    </row>
    <row r="51">
      <c r="A51" s="506" t="inlineStr">
        <is>
          <t>Ngày</t>
        </is>
      </c>
      <c r="B51" s="506" t="inlineStr">
        <is>
          <t>Giờ</t>
        </is>
      </c>
      <c r="C51" s="506" t="inlineStr">
        <is>
          <t>Tiêu Đề (Tiếng Việt)</t>
        </is>
      </c>
      <c r="D51" s="506" t="inlineStr">
        <is>
          <t>Diễn Giả</t>
        </is>
      </c>
      <c r="E51" s="506" t="inlineStr">
        <is>
          <t>Nền Tảng</t>
        </is>
      </c>
      <c r="F51" s="506" t="inlineStr">
        <is>
          <t>Đối Tượng</t>
        </is>
      </c>
      <c r="G51" s="506" t="inlineStr">
        <is>
          <t>Kênh Quảng Cáo</t>
        </is>
      </c>
      <c r="H51" s="506" t="inlineStr">
        <is>
          <t>Target Đăng Ký</t>
        </is>
      </c>
      <c r="I51" s="506" t="inlineStr">
        <is>
          <t>Agenda</t>
        </is>
      </c>
      <c r="J51" s="506" t="inlineStr">
        <is>
          <t>Hành Động Theo Dõi</t>
        </is>
      </c>
      <c r="K51" s="506" t="inlineStr">
        <is>
          <t>Ghi Lại</t>
        </is>
      </c>
      <c r="L51" s="506" t="inlineStr">
        <is>
          <t>Landing Page</t>
        </is>
      </c>
    </row>
    <row r="52">
      <c r="A52" s="507" t="inlineStr">
        <is>
          <t>2026-05-20</t>
        </is>
      </c>
      <c r="B52" s="507" t="inlineStr">
        <is>
          <t>19:30</t>
        </is>
      </c>
      <c r="C52" s="507" t="inlineStr">
        <is>
          <t>Chọn Trường Tiểu Học Tốt - Hướng Dẫn Cho Phụ Huynh</t>
        </is>
      </c>
      <c r="D52" s="507" t="inlineStr">
        <is>
          <t>Thầy Nguyễn (Hiệu Trưởng)</t>
        </is>
      </c>
      <c r="E52" s="507" t="inlineStr">
        <is>
          <t>Zoom</t>
        </is>
      </c>
      <c r="F52" s="507" t="inlineStr">
        <is>
          <t>P: 30-55, con 6-8</t>
        </is>
      </c>
      <c r="G52" s="507" t="inlineStr">
        <is>
          <t>Meta, Email, Zalo</t>
        </is>
      </c>
      <c r="H52" s="508" t="n">
        <v>200</v>
      </c>
      <c r="I52" s="507" t="inlineStr">
        <is>
          <t>1. Tiêu chí chọn trường (5m) | 2. Phát triển con (5m) | 3. CVA Việt Anh (5m) | 4. Q&amp;A (10m)</t>
        </is>
      </c>
      <c r="J52" s="507" t="inlineStr">
        <is>
          <t>Email theo dõi sau 2h, offer học thử miễn phí</t>
        </is>
      </c>
      <c r="K52" s="507" t="inlineStr">
        <is>
          <t>YouTube recording</t>
        </is>
      </c>
      <c r="L52" s="507" t="inlineStr">
        <is>
          <t>https://khoaviet.edu.vn/webinar1</t>
        </is>
      </c>
    </row>
    <row r="53">
      <c r="A53" s="507" t="inlineStr">
        <is>
          <t>2026-06-10</t>
        </is>
      </c>
      <c r="B53" s="507" t="inlineStr">
        <is>
          <t>19:30</t>
        </is>
      </c>
      <c r="C53" s="507" t="inlineStr">
        <is>
          <t>Mầm Non Chất Lượng = Con Thông Minh</t>
        </is>
      </c>
      <c r="D53" s="507" t="inlineStr">
        <is>
          <t>Cô Hoa (GV MN)</t>
        </is>
      </c>
      <c r="E53" s="507" t="inlineStr">
        <is>
          <t>Zoom</t>
        </is>
      </c>
      <c r="F53" s="507" t="inlineStr">
        <is>
          <t>P: 25-45, con 3-5</t>
        </is>
      </c>
      <c r="G53" s="507" t="inlineStr">
        <is>
          <t>Meta, Google, Zalo</t>
        </is>
      </c>
      <c r="H53" s="508" t="n">
        <v>150</v>
      </c>
      <c r="I53" s="507" t="inlineStr">
        <is>
          <t>1. Phát triển tuổi MN (5m) | 2. Song ngữ từ sớm (5m) | 3. Cơ sở Việt Anh (5m) | 4. Q&amp;A (10m)</t>
        </is>
      </c>
      <c r="J53" s="507" t="inlineStr">
        <is>
          <t>SMS: "Ghi danh ngay, giảm 10%". Email: gói học thử</t>
        </is>
      </c>
      <c r="K53" s="507" t="inlineStr">
        <is>
          <t>YouTube</t>
        </is>
      </c>
      <c r="L53" s="507" t="inlineStr">
        <is>
          <t>https://khoaviet.edu.vn/webinar2</t>
        </is>
      </c>
    </row>
    <row r="54">
      <c r="A54" s="507" t="inlineStr">
        <is>
          <t>2026-06-25</t>
        </is>
      </c>
      <c r="B54" s="507" t="inlineStr">
        <is>
          <t>19:30</t>
        </is>
      </c>
      <c r="C54" s="507" t="inlineStr">
        <is>
          <t>THCS - Chuẩn Bị Cho Cấp Hai Thành Công</t>
        </is>
      </c>
      <c r="D54" s="507" t="inlineStr">
        <is>
          <t>Thầy Minh (THCS)</t>
        </is>
      </c>
      <c r="E54" s="507" t="inlineStr">
        <is>
          <t>Zoom</t>
        </is>
      </c>
      <c r="F54" s="507" t="inlineStr">
        <is>
          <t>P: 35-55, con 10-12</t>
        </is>
      </c>
      <c r="G54" s="507" t="inlineStr">
        <is>
          <t>Meta, Email, LinkedIn</t>
        </is>
      </c>
      <c r="H54" s="508" t="n">
        <v>180</v>
      </c>
      <c r="I54" s="507" t="inlineStr">
        <is>
          <t>1. Áp lực &amp; cơ hội THCS (5m) | 2. Chương trình Việt Anh (5m) | 3. Mentoring (5m) | 4. Q&amp;A (10m)</t>
        </is>
      </c>
      <c r="J54" s="507" t="inlineStr">
        <is>
          <t>Follow-up email: thông tin học bổng. Phone call for hot leads</t>
        </is>
      </c>
      <c r="K54" s="507" t="inlineStr">
        <is>
          <t>YouTube</t>
        </is>
      </c>
      <c r="L54" s="507" t="inlineStr">
        <is>
          <t>https://khoaviet.edu.vn/webinar3</t>
        </is>
      </c>
    </row>
    <row r="55">
      <c r="A55" s="507" t="inlineStr">
        <is>
          <t>2026-07-08</t>
        </is>
      </c>
      <c r="B55" s="507" t="inlineStr">
        <is>
          <t>19:30</t>
        </is>
      </c>
      <c r="C55" s="507" t="inlineStr">
        <is>
          <t>Lớp 10 - Chìa Khóa Để Đại Học Tốt</t>
        </is>
      </c>
      <c r="D55" s="507" t="inlineStr">
        <is>
          <t>Thầy Tuấn (THPT)</t>
        </is>
      </c>
      <c r="E55" s="507" t="inlineStr">
        <is>
          <t>Zoom</t>
        </is>
      </c>
      <c r="F55" s="507" t="inlineStr">
        <is>
          <t>P: 40-60, con 14-16</t>
        </is>
      </c>
      <c r="G55" s="507" t="inlineStr">
        <is>
          <t>Meta, Email, Zalo</t>
        </is>
      </c>
      <c r="H55" s="508" t="n">
        <v>220</v>
      </c>
      <c r="I55" s="507" t="inlineStr">
        <is>
          <t>1. Tầm quan trọng của lớp 10 (5m) | 2. Chương trình Việt Anh (5m) | 3. Học bổng (5m) | 4. Q&amp;A (10m)</t>
        </is>
      </c>
      <c r="J55" s="507" t="inlineStr">
        <is>
          <t>Email: "Còn 20 chỗ - quyết định ngay". Phone call</t>
        </is>
      </c>
      <c r="K55" s="507" t="inlineStr">
        <is>
          <t>YouTube</t>
        </is>
      </c>
      <c r="L55" s="507" t="inlineStr">
        <is>
          <t>https://khoaviet.edu.vn/webinar4</t>
        </is>
      </c>
    </row>
    <row r="56">
      <c r="A56" s="507" t="inlineStr">
        <is>
          <t>2026-07-22</t>
        </is>
      </c>
      <c r="B56" s="507" t="inlineStr">
        <is>
          <t>19:30</t>
        </is>
      </c>
      <c r="C56" s="507" t="inlineStr">
        <is>
          <t>Xử Lý Lo Lắng: Con Mình Có Tự Tin Không?</t>
        </is>
      </c>
      <c r="D56" s="507" t="inlineStr">
        <is>
          <t>Cô Linh (Tâm Lý Sư)</t>
        </is>
      </c>
      <c r="E56" s="507" t="inlineStr">
        <is>
          <t>Zoom</t>
        </is>
      </c>
      <c r="F56" s="507" t="inlineStr">
        <is>
          <t>P: 25-60, con &gt;6</t>
        </is>
      </c>
      <c r="G56" s="507" t="inlineStr">
        <is>
          <t>Meta, Email, Zalo, Google</t>
        </is>
      </c>
      <c r="H56" s="508" t="n">
        <v>250</v>
      </c>
      <c r="I56" s="507" t="inlineStr">
        <is>
          <t>1. Lo lắng của phụ huynh &amp; con (5m) | 2. Cách giáo dục tại Việt Anh (5m) | 3. Phát triển tự tin (5m) | 4. Q&amp;A (10m)</t>
        </is>
      </c>
      <c r="J56" s="507" t="inlineStr">
        <is>
          <t>Email nurture sequence (5 emails). Offer: consultation</t>
        </is>
      </c>
      <c r="K56" s="507" t="inlineStr">
        <is>
          <t>YouTube</t>
        </is>
      </c>
      <c r="L56" s="507" t="inlineStr">
        <is>
          <t>https://khoaviet.edu.vn/webinar5</t>
        </is>
      </c>
    </row>
    <row r="57">
      <c r="A57" s="507" t="inlineStr">
        <is>
          <t>2026-08-05</t>
        </is>
      </c>
      <c r="B57" s="507" t="inlineStr">
        <is>
          <t>19:30</t>
        </is>
      </c>
      <c r="C57" s="507" t="inlineStr">
        <is>
          <t>Chuẩn Bị Cho Năm Học Mới - Checklist Phụ Huynh</t>
        </is>
      </c>
      <c r="D57" s="507" t="inlineStr">
        <is>
          <t>Thầy Dũng (Quản Lý)</t>
        </is>
      </c>
      <c r="E57" s="507" t="inlineStr">
        <is>
          <t>Zoom</t>
        </is>
      </c>
      <c r="F57" s="507" t="inlineStr">
        <is>
          <t>P: 25-60, con &gt;3</t>
        </is>
      </c>
      <c r="G57" s="507" t="inlineStr">
        <is>
          <t>Meta, Email, Zalo</t>
        </is>
      </c>
      <c r="H57" s="508" t="n">
        <v>300</v>
      </c>
      <c r="I57" s="507" t="inlineStr">
        <is>
          <t>1. Chuẩn bị tâm lý &amp; thể chất (5m) | 2. Dụng cụ học tập (5m) | 3. Lịch năm học (5m) | 4. Q&amp;A (10m)</t>
        </is>
      </c>
      <c r="J57" s="507" t="inlineStr">
        <is>
          <t>Email: "Ghi danh cuối cùng". SMS: "Còn 48 tiếng"</t>
        </is>
      </c>
      <c r="K57" s="507" t="inlineStr">
        <is>
          <t>YouTube</t>
        </is>
      </c>
      <c r="L57" s="507" t="inlineStr">
        <is>
          <t>https://khoaviet.edu.vn/webinar6</t>
        </is>
      </c>
    </row>
    <row r="58">
      <c r="A58" s="507" t="inlineStr">
        <is>
          <t>2026-05-27</t>
        </is>
      </c>
      <c r="B58" s="507" t="inlineStr">
        <is>
          <t>15:00</t>
        </is>
      </c>
      <c r="C58" s="507" t="inlineStr">
        <is>
          <t>Open Day Preview - Virtual Tour 6 Cơ Sở</t>
        </is>
      </c>
      <c r="D58" s="507" t="inlineStr">
        <is>
          <t>Cô Vy (Marketing)</t>
        </is>
      </c>
      <c r="E58" s="507" t="inlineStr">
        <is>
          <t>Zoom</t>
        </is>
      </c>
      <c r="F58" s="507" t="inlineStr">
        <is>
          <t>All: 25-60</t>
        </is>
      </c>
      <c r="G58" s="507" t="inlineStr">
        <is>
          <t>Meta, Email, Zalo</t>
        </is>
      </c>
      <c r="H58" s="508" t="n">
        <v>180</v>
      </c>
      <c r="I58" s="507" t="inlineStr">
        <is>
          <t>1. Tour cơ sở GV (5m) | 2. Tour cơ sở TĐ (5m) | 3. Tour cơ sở PH (5m) | 4. Đặt vé online (5m) | 5. Q&amp;A (5m)</t>
        </is>
      </c>
      <c r="J58" s="507" t="inlineStr">
        <is>
          <t>Email: "Đã đặt vé chưa?". SMS: link to reservation</t>
        </is>
      </c>
      <c r="K58" s="507" t="inlineStr">
        <is>
          <t>YouTube</t>
        </is>
      </c>
      <c r="L58" s="507" t="inlineStr">
        <is>
          <t>https://khoaviet.edu.vn/openday-preview</t>
        </is>
      </c>
    </row>
    <row r="59">
      <c r="A59" s="507" t="inlineStr">
        <is>
          <t>2026-06-18</t>
        </is>
      </c>
      <c r="B59" s="507" t="inlineStr">
        <is>
          <t>15:00</t>
        </is>
      </c>
      <c r="C59" s="507" t="inlineStr">
        <is>
          <t>Cha Mẹ Hỏi: Tại Sao Chọn Việt Anh?</t>
        </is>
      </c>
      <c r="D59" s="507" t="inlineStr">
        <is>
          <t>Panel: 3 Hiệu Trưởng + 1 Phụ Huynh</t>
        </is>
      </c>
      <c r="E59" s="507" t="inlineStr">
        <is>
          <t>Zoom</t>
        </is>
      </c>
      <c r="F59" s="507" t="inlineStr">
        <is>
          <t>All: 25-60</t>
        </is>
      </c>
      <c r="G59" s="507" t="inlineStr">
        <is>
          <t>Meta, Email, Google</t>
        </is>
      </c>
      <c r="H59" s="508" t="n">
        <v>200</v>
      </c>
      <c r="I59" s="507" t="inlineStr">
        <is>
          <t>1. Hiệu Trưởng nói (3m). 2. Phụ huynh testimonial (3m). 3. Giáo viên (2m). 4. Interactive Q&amp;A (12m)</t>
        </is>
      </c>
      <c r="J59" s="507" t="inlineStr">
        <is>
          <t>Email follow-up: "Những gì bạn bỏ lỡ". Phone call hot leads</t>
        </is>
      </c>
      <c r="K59" s="507" t="inlineStr">
        <is>
          <t>YouTube</t>
        </is>
      </c>
      <c r="L59" s="507" t="inlineStr">
        <is>
          <t>https://khoaviet.edu.vn/parent-panel</t>
        </is>
      </c>
    </row>
    <row r="60">
      <c r="A60" s="507" t="inlineStr">
        <is>
          <t>2026-07-15</t>
        </is>
      </c>
      <c r="B60" s="507" t="inlineStr">
        <is>
          <t>15:00</t>
        </is>
      </c>
      <c r="C60" s="507" t="inlineStr">
        <is>
          <t>Behind The Scenes - Một Ngày Tại Việt Anh</t>
        </is>
      </c>
      <c r="D60" s="507" t="inlineStr">
        <is>
          <t>Cô Hạnh + Học Sinh</t>
        </is>
      </c>
      <c r="E60" s="507" t="inlineStr">
        <is>
          <t>Zoom</t>
        </is>
      </c>
      <c r="F60" s="507" t="inlineStr">
        <is>
          <t>P: 25-55, con &gt;6</t>
        </is>
      </c>
      <c r="G60" s="507" t="inlineStr">
        <is>
          <t>Meta, TikTok, Zalo</t>
        </is>
      </c>
      <c r="H60" s="508" t="n">
        <v>150</v>
      </c>
      <c r="I60" s="507" t="inlineStr">
        <is>
          <t>1. Sáng: Lớp học (3m) | 2. Trưa: Ăn cơm (2m) | 3. Chiều: Ngoại khóa (3m) | 4. Q&amp;A (12m)</t>
        </is>
      </c>
      <c r="J60" s="507" t="inlineStr">
        <is>
          <t>Email: "Còn lúc này để quyết định". SMS: gọi tư vấn</t>
        </is>
      </c>
      <c r="K60" s="507" t="inlineStr">
        <is>
          <t>YouTube + TikTok</t>
        </is>
      </c>
      <c r="L60" s="507" t="inlineStr">
        <is>
          <t>https://khoaviet.edu.vn/behind-scenes</t>
        </is>
      </c>
    </row>
    <row r="61">
      <c r="A61" s="507" t="inlineStr">
        <is>
          <t>2026-08-12</t>
        </is>
      </c>
      <c r="B61" s="507" t="inlineStr">
        <is>
          <t>15:00</t>
        </is>
      </c>
      <c r="C61" s="507" t="inlineStr">
        <is>
          <t>Q&amp;A Final - Hỏi Đáp Cuối Cùng Trước Khai Giảng</t>
        </is>
      </c>
      <c r="D61" s="507" t="inlineStr">
        <is>
          <t>Toàn bộ Leadership Team</t>
        </is>
      </c>
      <c r="E61" s="507" t="inlineStr">
        <is>
          <t>Zoom</t>
        </is>
      </c>
      <c r="F61" s="507" t="inlineStr">
        <is>
          <t>All: 25-60</t>
        </is>
      </c>
      <c r="G61" s="507" t="inlineStr">
        <is>
          <t>Meta, Email, Zalo</t>
        </is>
      </c>
      <c r="H61" s="508" t="n">
        <v>280</v>
      </c>
      <c r="I61" s="507" t="inlineStr">
        <is>
          <t>1. Chi tiết khai giảng (5m) | 2. Phí &amp; thanh toán (3m) | 3. Nhu cầu khác (2m) | 4. Open Q&amp;A (10m)</t>
        </is>
      </c>
      <c r="J61" s="507" t="inlineStr">
        <is>
          <t>Auto SMS: "Lịch khai giảng + Link join class group". Email: payment reminder</t>
        </is>
      </c>
      <c r="K61" s="507" t="inlineStr">
        <is>
          <t>YouTube</t>
        </is>
      </c>
      <c r="L61" s="507" t="inlineStr">
        <is>
          <t>https://khoaviet.edu.vn/final-qa</t>
        </is>
      </c>
    </row>
    <row r="62">
      <c r="A62" s="507" t="inlineStr">
        <is>
          <t>2026-07-29</t>
        </is>
      </c>
      <c r="B62" s="507" t="inlineStr">
        <is>
          <t>14:00</t>
        </is>
      </c>
      <c r="C62" s="507" t="inlineStr">
        <is>
          <t>Workshop: Giúp Con Tự Tin Học Tập</t>
        </is>
      </c>
      <c r="D62" s="507" t="inlineStr">
        <is>
          <t>Cô Linh (Tâm Lý)</t>
        </is>
      </c>
      <c r="E62" s="507" t="inlineStr">
        <is>
          <t>Zoom</t>
        </is>
      </c>
      <c r="F62" s="507" t="inlineStr">
        <is>
          <t>P: 30-55, con &gt;8</t>
        </is>
      </c>
      <c r="G62" s="507" t="inlineStr">
        <is>
          <t>Meta, Email, LinkedIn</t>
        </is>
      </c>
      <c r="H62" s="508" t="n">
        <v>120</v>
      </c>
      <c r="I62" s="507" t="inlineStr">
        <is>
          <t>1. Tự tin là gì? (5m) | 2. Cách nuôi dạy tại nhà (5m) | 3. Cách hỗ trợ học tập (5m) | 4. Interactiveexercise (5m) | 5. Q&amp;A (5m)</t>
        </is>
      </c>
      <c r="J62" s="507" t="inlineStr">
        <is>
          <t>Email: workshop materials download. Offer: 1:1 coaching</t>
        </is>
      </c>
      <c r="K62" s="507" t="inlineStr">
        <is>
          <t>YouTube</t>
        </is>
      </c>
      <c r="L62" s="507" t="inlineStr">
        <is>
          <t>https://khoaviet.edu.vn/confidence-workshop</t>
        </is>
      </c>
    </row>
    <row r="63">
      <c r="A63" s="507" t="inlineStr">
        <is>
          <t>2026-06-04</t>
        </is>
      </c>
      <c r="B63" s="507" t="inlineStr">
        <is>
          <t>18:00</t>
        </is>
      </c>
      <c r="C63" s="507" t="inlineStr">
        <is>
          <t>Buổi Chat Nhẹ Nhàng: Phụ Huynh Chia Sẻ Kinh Nghiệm</t>
        </is>
      </c>
      <c r="D63" s="507" t="inlineStr">
        <is>
          <t>Facilitator: Cô Vy</t>
        </is>
      </c>
      <c r="E63" s="507" t="inlineStr">
        <is>
          <t>Zoom</t>
        </is>
      </c>
      <c r="F63" s="507" t="inlineStr">
        <is>
          <t>P: 25-60 (current parents)</t>
        </is>
      </c>
      <c r="G63" s="507" t="inlineStr">
        <is>
          <t>Email to database</t>
        </is>
      </c>
      <c r="H63" s="508" t="n">
        <v>120</v>
      </c>
      <c r="I63" s="507" t="inlineStr">
        <is>
          <t>1. Phụ huynh cũ kể chuyện (10m) | 2. Trả lời Q&amp;A tự do (15m) | 3. Networking time (5m)</t>
        </is>
      </c>
      <c r="J63" s="507" t="inlineStr">
        <is>
          <t>Email: testimonial collection + referral incentive offer</t>
        </is>
      </c>
      <c r="K63" s="507" t="inlineStr">
        <is>
          <t>YouTube</t>
        </is>
      </c>
      <c r="L63" s="507" t="inlineStr">
        <is>
          <t>https://khoaviet.edu.vn/parent-chat</t>
        </is>
      </c>
    </row>
    <row r="64">
      <c r="A64" s="507" t="inlineStr">
        <is>
          <t>2026-08-19</t>
        </is>
      </c>
      <c r="B64" s="507" t="inlineStr">
        <is>
          <t>19:30</t>
        </is>
      </c>
      <c r="C64" s="507" t="inlineStr">
        <is>
          <t>Lý Do Chọn Việt Anh - Thành Công &amp; Sự Khác Biệt</t>
        </is>
      </c>
      <c r="D64" s="507" t="inlineStr">
        <is>
          <t>Panel: Hiệu Trưởng + 2 Giáo Viên + 1 Phụ Huynh</t>
        </is>
      </c>
      <c r="E64" s="507" t="inlineStr">
        <is>
          <t>Zoom</t>
        </is>
      </c>
      <c r="F64" s="507" t="inlineStr">
        <is>
          <t>All: 25-60 (last chance)</t>
        </is>
      </c>
      <c r="G64" s="507" t="inlineStr">
        <is>
          <t>Meta, Email, Zalo</t>
        </is>
      </c>
      <c r="H64" s="508" t="n">
        <v>250</v>
      </c>
      <c r="I64" s="507" t="inlineStr">
        <is>
          <t>1. Khác biệt Việt Anh (5m) | 2. Giáo viên nói (5m) | 3. Phụ huynh testimonial (5m) | 4. Q&amp;A (10m)</t>
        </is>
      </c>
      <c r="J64" s="507" t="inlineStr">
        <is>
          <t>SMS: "Lần cuối - hôm nay là deadline". Email: "Cơ hội cuối cùng"</t>
        </is>
      </c>
      <c r="K64" s="507" t="inlineStr">
        <is>
          <t>YouTube</t>
        </is>
      </c>
      <c r="L64" s="507" t="inlineStr">
        <is>
          <t>https://khoaviet.edu.vn/final-decision</t>
        </is>
      </c>
    </row>
    <row r="67">
      <c r="A67" s="534" t="inlineStr">
        <is>
          <t>15 WEBINAR CHI TIẾT — T4 ĐẾN T9/2026</t>
        </is>
      </c>
      <c r="B67" s="535" t="n"/>
      <c r="C67" s="535" t="n"/>
      <c r="D67" s="535" t="n"/>
      <c r="E67" s="535" t="n"/>
      <c r="F67" s="535" t="n"/>
      <c r="G67" s="535" t="n"/>
      <c r="H67" s="535" t="n"/>
      <c r="I67" s="535" t="n"/>
      <c r="J67" s="536" t="n"/>
    </row>
    <row r="68">
      <c r="A68" s="495" t="inlineStr">
        <is>
          <t>Ngày</t>
        </is>
      </c>
      <c r="B68" s="495" t="inlineStr">
        <is>
          <t>Giờ</t>
        </is>
      </c>
      <c r="C68" s="495" t="inlineStr">
        <is>
          <t>Chủ Đề</t>
        </is>
      </c>
      <c r="D68" s="495" t="inlineStr">
        <is>
          <t>Diễn Giả</t>
        </is>
      </c>
      <c r="E68" s="495" t="inlineStr">
        <is>
          <t>Target Audience</t>
        </is>
      </c>
      <c r="F68" s="495" t="inlineStr">
        <is>
          <t>Registration URL</t>
        </is>
      </c>
      <c r="G68" s="495" t="inlineStr">
        <is>
          <t>Promotion Channel</t>
        </is>
      </c>
      <c r="H68" s="495" t="inlineStr">
        <is>
          <t>Email Sequence</t>
        </is>
      </c>
      <c r="I68" s="495" t="inlineStr">
        <is>
          <t>Follow-up Action</t>
        </is>
      </c>
      <c r="J68" s="495" t="inlineStr">
        <is>
          <t>Target Registrations</t>
        </is>
      </c>
    </row>
    <row r="69">
      <c r="A69" s="507" t="inlineStr">
        <is>
          <t>01/04/2026</t>
        </is>
      </c>
      <c r="B69" s="507" t="inlineStr">
        <is>
          <t>19:00</t>
        </is>
      </c>
      <c r="C69" s="507" t="inlineStr">
        <is>
          <t>Chọn trường quốc tế như thế nào?</t>
        </is>
      </c>
      <c r="D69" s="507" t="inlineStr">
        <is>
          <t>Hiệu trưởng Nguyễn Văn A</t>
        </is>
      </c>
      <c r="E69" s="507" t="inlineStr">
        <is>
          <t>Phụ huynh K1-K3</t>
        </is>
      </c>
      <c r="F69" s="507" t="inlineStr">
        <is>
          <t>forms.truongvietanh.com/webinar-1</t>
        </is>
      </c>
      <c r="G69" s="507" t="inlineStr">
        <is>
          <t>Email + Zalo + FB</t>
        </is>
      </c>
      <c r="H69" s="507" t="inlineStr">
        <is>
          <t>Welcome + Reminder</t>
        </is>
      </c>
      <c r="I69" s="507" t="inlineStr">
        <is>
          <t>Ghi danh tour</t>
        </is>
      </c>
      <c r="J69" s="507" t="n">
        <v>150</v>
      </c>
    </row>
    <row r="70">
      <c r="A70" s="507" t="inlineStr">
        <is>
          <t>08/04/2026</t>
        </is>
      </c>
      <c r="B70" s="507" t="inlineStr">
        <is>
          <t>19:00</t>
        </is>
      </c>
      <c r="C70" s="507" t="inlineStr">
        <is>
          <t>Tiếng Anh và phát triển kỹ năng</t>
        </is>
      </c>
      <c r="D70" s="507" t="inlineStr">
        <is>
          <t>Giáo sư Tim Brown</t>
        </is>
      </c>
      <c r="E70" s="507" t="inlineStr">
        <is>
          <t>Phụ huynh TH</t>
        </is>
      </c>
      <c r="F70" s="507" t="inlineStr">
        <is>
          <t>forms.truongvietanh.com/webinar-2</t>
        </is>
      </c>
      <c r="G70" s="507" t="inlineStr">
        <is>
          <t>Email + Zalo + Instagram</t>
        </is>
      </c>
      <c r="H70" s="507" t="inlineStr">
        <is>
          <t>Welcome + 3 reminder</t>
        </is>
      </c>
      <c r="I70" s="507" t="inlineStr">
        <is>
          <t>Tham quan lớp</t>
        </is>
      </c>
      <c r="J70" s="507" t="n">
        <v>200</v>
      </c>
    </row>
    <row r="71">
      <c r="A71" s="507" t="inlineStr">
        <is>
          <t>15/04/2026</t>
        </is>
      </c>
      <c r="B71" s="507" t="inlineStr">
        <is>
          <t>19:00</t>
        </is>
      </c>
      <c r="C71" s="507" t="inlineStr">
        <is>
          <t>Chuẩn bị cho THCS: tâm lý &amp; học tập</t>
        </is>
      </c>
      <c r="D71" s="507" t="inlineStr">
        <is>
          <t>Tâm lý sư Lê Thu Hà</t>
        </is>
      </c>
      <c r="E71" s="507" t="inlineStr">
        <is>
          <t>Phụ huynh TH-THCS</t>
        </is>
      </c>
      <c r="F71" s="507" t="inlineStr">
        <is>
          <t>forms.truongvietanh.com/webinar-3</t>
        </is>
      </c>
      <c r="G71" s="507" t="inlineStr">
        <is>
          <t>Email + Zalo + TikTok</t>
        </is>
      </c>
      <c r="H71" s="507" t="inlineStr">
        <is>
          <t>Welcome + 4 reminder</t>
        </is>
      </c>
      <c r="I71" s="507" t="inlineStr">
        <is>
          <t>Tư vấn 1-1</t>
        </is>
      </c>
      <c r="J71" s="507" t="n">
        <v>200</v>
      </c>
    </row>
    <row r="72">
      <c r="A72" s="507" t="inlineStr">
        <is>
          <t>22/04/2026</t>
        </is>
      </c>
      <c r="B72" s="507" t="inlineStr">
        <is>
          <t>19:00</t>
        </is>
      </c>
      <c r="C72" s="507" t="inlineStr">
        <is>
          <t>Chứng chỉ Cambridge: lộ trình học tập</t>
        </is>
      </c>
      <c r="D72" s="507" t="inlineStr">
        <is>
          <t>Giảng viên Cambridge</t>
        </is>
      </c>
      <c r="E72" s="507" t="inlineStr">
        <is>
          <t>Phụ huynh THCS-THPT</t>
        </is>
      </c>
      <c r="F72" s="507" t="inlineStr">
        <is>
          <t>forms.truongvietanh.com/webinar-4</t>
        </is>
      </c>
      <c r="G72" s="507" t="inlineStr">
        <is>
          <t>Email + Zalo + LinkedIn</t>
        </is>
      </c>
      <c r="H72" s="507" t="inlineStr">
        <is>
          <t>Welcome + 4 reminder</t>
        </is>
      </c>
      <c r="I72" s="507" t="inlineStr">
        <is>
          <t>Tour + Tư vấn</t>
        </is>
      </c>
      <c r="J72" s="507" t="n">
        <v>180</v>
      </c>
    </row>
    <row r="73">
      <c r="A73" s="507" t="inlineStr">
        <is>
          <t>29/04/2026</t>
        </is>
      </c>
      <c r="B73" s="507" t="inlineStr">
        <is>
          <t>19:00</t>
        </is>
      </c>
      <c r="C73" s="507" t="inlineStr">
        <is>
          <t>Hành trang vào đại học: GPA &amp; IELTS</t>
        </is>
      </c>
      <c r="D73" s="507" t="inlineStr">
        <is>
          <t>Cô Phạm Minh Châu</t>
        </is>
      </c>
      <c r="E73" s="507" t="inlineStr">
        <is>
          <t>Phụ huynh THPT</t>
        </is>
      </c>
      <c r="F73" s="507" t="inlineStr">
        <is>
          <t>forms.truongvietanh.com/webinar-5</t>
        </is>
      </c>
      <c r="G73" s="507" t="inlineStr">
        <is>
          <t>Email + Zalo + TikTok</t>
        </is>
      </c>
      <c r="H73" s="507" t="inlineStr">
        <is>
          <t>Welcome + 5 reminder</t>
        </is>
      </c>
      <c r="I73" s="507" t="inlineStr">
        <is>
          <t>Ghi danh lớp IELTS</t>
        </is>
      </c>
      <c r="J73" s="507" t="n">
        <v>150</v>
      </c>
    </row>
    <row r="74">
      <c r="A74" s="507" t="inlineStr">
        <is>
          <t>06/05/2026</t>
        </is>
      </c>
      <c r="B74" s="507" t="inlineStr">
        <is>
          <t>19:00</t>
        </is>
      </c>
      <c r="C74" s="507" t="inlineStr">
        <is>
          <t>Học tập hiệu quả ở nhà vs trường</t>
        </is>
      </c>
      <c r="D74" s="507" t="inlineStr">
        <is>
          <t>TS. Trần Thanh Huyền</t>
        </is>
      </c>
      <c r="E74" s="507" t="inlineStr">
        <is>
          <t>Phụ huynh toàn cấp</t>
        </is>
      </c>
      <c r="F74" s="507" t="inlineStr">
        <is>
          <t>forms.truongvietanh.com/webinar-6</t>
        </is>
      </c>
      <c r="G74" s="507" t="inlineStr">
        <is>
          <t>Email + Zalo + FB</t>
        </is>
      </c>
      <c r="H74" s="507" t="inlineStr">
        <is>
          <t>Welcome + 3 reminder</t>
        </is>
      </c>
      <c r="I74" s="507" t="inlineStr">
        <is>
          <t>Tham khảo ý kiến</t>
        </is>
      </c>
      <c r="J74" s="507" t="n">
        <v>220</v>
      </c>
    </row>
    <row r="75">
      <c r="A75" s="507" t="inlineStr">
        <is>
          <t>13/05/2026</t>
        </is>
      </c>
      <c r="B75" s="507" t="inlineStr">
        <is>
          <t>19:00</t>
        </is>
      </c>
      <c r="C75" s="507" t="inlineStr">
        <is>
          <t>Khám phá các ngành học phổ biến</t>
        </is>
      </c>
      <c r="D75" s="507" t="inlineStr">
        <is>
          <t>Hướng dẫn viên việc làm</t>
        </is>
      </c>
      <c r="E75" s="507" t="inlineStr">
        <is>
          <t>Phụ huynh THPT</t>
        </is>
      </c>
      <c r="F75" s="507" t="inlineStr">
        <is>
          <t>forms.truongvietanh.com/webinar-7</t>
        </is>
      </c>
      <c r="G75" s="507" t="inlineStr">
        <is>
          <t>Email + Zalo + Instagram</t>
        </is>
      </c>
      <c r="H75" s="507" t="inlineStr">
        <is>
          <t>Welcome + 4 reminder</t>
        </is>
      </c>
      <c r="I75" s="507" t="inlineStr">
        <is>
          <t>Tư vấn ngành học</t>
        </is>
      </c>
      <c r="J75" s="507" t="n">
        <v>140</v>
      </c>
    </row>
    <row r="76">
      <c r="A76" s="507" t="inlineStr">
        <is>
          <t>20/05/2026</t>
        </is>
      </c>
      <c r="B76" s="507" t="inlineStr">
        <is>
          <t>19:00</t>
        </is>
      </c>
      <c r="C76" s="507" t="inlineStr">
        <is>
          <t>Du học: Thực trạng &amp; Cơ hội</t>
        </is>
      </c>
      <c r="D76" s="507" t="inlineStr">
        <is>
          <t>Cố vấn du học Lan Anh</t>
        </is>
      </c>
      <c r="E76" s="507" t="inlineStr">
        <is>
          <t>Phụ huynh THPT</t>
        </is>
      </c>
      <c r="F76" s="507" t="inlineStr">
        <is>
          <t>forms.truongvietanh.com/webinar-8</t>
        </is>
      </c>
      <c r="G76" s="507" t="inlineStr">
        <is>
          <t>Email + Zalo + LinkedIn</t>
        </is>
      </c>
      <c r="H76" s="507" t="inlineStr">
        <is>
          <t>Welcome + 5 reminder</t>
        </is>
      </c>
      <c r="I76" s="507" t="inlineStr">
        <is>
          <t>Tư vấn du học 1-1</t>
        </is>
      </c>
      <c r="J76" s="507" t="n">
        <v>130</v>
      </c>
    </row>
    <row r="77">
      <c r="A77" s="507" t="inlineStr">
        <is>
          <t>27/05/2026</t>
        </is>
      </c>
      <c r="B77" s="507" t="inlineStr">
        <is>
          <t>19:00</t>
        </is>
      </c>
      <c r="C77" s="507" t="inlineStr">
        <is>
          <t>Học bổng &amp; Hỗ trợ tài chính</t>
        </is>
      </c>
      <c r="D77" s="507" t="inlineStr">
        <is>
          <t>Phòng Tuyển sinh</t>
        </is>
      </c>
      <c r="E77" s="507" t="inlineStr">
        <is>
          <t>Phụ huynh toàn cấp</t>
        </is>
      </c>
      <c r="F77" s="507" t="inlineStr">
        <is>
          <t>forms.truongvietanh.com/webinar-9</t>
        </is>
      </c>
      <c r="G77" s="507" t="inlineStr">
        <is>
          <t>Email + Zalo + FB</t>
        </is>
      </c>
      <c r="H77" s="507" t="inlineStr">
        <is>
          <t>Welcome + 4 reminder</t>
        </is>
      </c>
      <c r="I77" s="507" t="inlineStr">
        <is>
          <t>Nộp đơn xin HT</t>
        </is>
      </c>
      <c r="J77" s="507" t="n">
        <v>160</v>
      </c>
    </row>
    <row r="78">
      <c r="A78" s="507" t="inlineStr">
        <is>
          <t>03/06/2026</t>
        </is>
      </c>
      <c r="B78" s="507" t="inlineStr">
        <is>
          <t>19:00</t>
        </is>
      </c>
      <c r="C78" s="507" t="inlineStr">
        <is>
          <t>Kỹ năng mềm thời 4.0</t>
        </is>
      </c>
      <c r="D78" s="507" t="inlineStr">
        <is>
          <t>Huấn luyện viên Minh Tuấn</t>
        </is>
      </c>
      <c r="E78" s="507" t="inlineStr">
        <is>
          <t>Phụ huynh toàn cấp</t>
        </is>
      </c>
      <c r="F78" s="507" t="inlineStr">
        <is>
          <t>forms.truongvietanh.com/webinar-10</t>
        </is>
      </c>
      <c r="G78" s="507" t="inlineStr">
        <is>
          <t>Email + Zalo + TikTok</t>
        </is>
      </c>
      <c r="H78" s="507" t="inlineStr">
        <is>
          <t>Welcome + 3 reminder</t>
        </is>
      </c>
      <c r="I78" s="507" t="inlineStr">
        <is>
          <t>Đăng ký workshop</t>
        </is>
      </c>
      <c r="J78" s="507" t="n">
        <v>180</v>
      </c>
    </row>
    <row r="79">
      <c r="A79" s="507" t="inlineStr">
        <is>
          <t>10/06/2026</t>
        </is>
      </c>
      <c r="B79" s="507" t="inlineStr">
        <is>
          <t>19:00</t>
        </is>
      </c>
      <c r="C79" s="507" t="inlineStr">
        <is>
          <t>Tâm lý &amp; Sức khỏe tinh thần học sinh</t>
        </is>
      </c>
      <c r="D79" s="507" t="inlineStr">
        <is>
          <t>Bác sĩ Trần Ánh Sáng</t>
        </is>
      </c>
      <c r="E79" s="507" t="inlineStr">
        <is>
          <t>Phụ huynh + GV</t>
        </is>
      </c>
      <c r="F79" s="507" t="inlineStr">
        <is>
          <t>forms.truongvietanh.com/webinar-11</t>
        </is>
      </c>
      <c r="G79" s="507" t="inlineStr">
        <is>
          <t>Email + Zalo + Instagram</t>
        </is>
      </c>
      <c r="H79" s="507" t="inlineStr">
        <is>
          <t>Welcome + 4 reminder</t>
        </is>
      </c>
      <c r="I79" s="507" t="inlineStr">
        <is>
          <t>Tư vấn tâm lý</t>
        </is>
      </c>
      <c r="J79" s="507" t="n">
        <v>170</v>
      </c>
    </row>
    <row r="80">
      <c r="A80" s="507" t="inlineStr">
        <is>
          <t>17/06/2026</t>
        </is>
      </c>
      <c r="B80" s="507" t="inlineStr">
        <is>
          <t>19:00</t>
        </is>
      </c>
      <c r="C80" s="507" t="inlineStr">
        <is>
          <t>Tài chính cá nhân &amp; Tiền tệ</t>
        </is>
      </c>
      <c r="D80" s="507" t="inlineStr">
        <is>
          <t>Chuyên gia tài chính</t>
        </is>
      </c>
      <c r="E80" s="507" t="inlineStr">
        <is>
          <t>Phụ huynh THCS-THPT</t>
        </is>
      </c>
      <c r="F80" s="507" t="inlineStr">
        <is>
          <t>forms.truongvietanh.com/webinar-12</t>
        </is>
      </c>
      <c r="G80" s="507" t="inlineStr">
        <is>
          <t>Email + Zalo + FB</t>
        </is>
      </c>
      <c r="H80" s="507" t="inlineStr">
        <is>
          <t>Welcome + 4 reminder</t>
        </is>
      </c>
      <c r="I80" s="507" t="inlineStr">
        <is>
          <t>Ghi danh lớp FE</t>
        </is>
      </c>
      <c r="J80" s="507" t="n">
        <v>140</v>
      </c>
    </row>
    <row r="81">
      <c r="A81" s="507" t="inlineStr">
        <is>
          <t>24/06/2026</t>
        </is>
      </c>
      <c r="B81" s="507" t="inlineStr">
        <is>
          <t>19:00</t>
        </is>
      </c>
      <c r="C81" s="507" t="inlineStr">
        <is>
          <t>Chuẩn bị bước vào THPT</t>
        </is>
      </c>
      <c r="D81" s="507" t="inlineStr">
        <is>
          <t>Hiệu trưởng + Chủ nhiệm</t>
        </is>
      </c>
      <c r="E81" s="507" t="inlineStr">
        <is>
          <t>Phụ huynh TH lên THCS</t>
        </is>
      </c>
      <c r="F81" s="507" t="inlineStr">
        <is>
          <t>forms.truongvietanh.com/webinar-13</t>
        </is>
      </c>
      <c r="G81" s="507" t="inlineStr">
        <is>
          <t>Email + Zalo + TikTok</t>
        </is>
      </c>
      <c r="H81" s="507" t="inlineStr">
        <is>
          <t>Welcome + 5 reminder</t>
        </is>
      </c>
      <c r="I81" s="507" t="inlineStr">
        <is>
          <t>Tour THPT</t>
        </is>
      </c>
      <c r="J81" s="507" t="n">
        <v>210</v>
      </c>
    </row>
    <row r="82">
      <c r="A82" s="507" t="inlineStr">
        <is>
          <t>01/07/2026</t>
        </is>
      </c>
      <c r="B82" s="507" t="inlineStr">
        <is>
          <t>19:00</t>
        </is>
      </c>
      <c r="C82" s="507" t="inlineStr">
        <is>
          <t>Kỳ nghỉ hè: Các khóa học ngoại khóa</t>
        </is>
      </c>
      <c r="D82" s="507" t="inlineStr">
        <is>
          <t>Phòng HĐHD</t>
        </is>
      </c>
      <c r="E82" s="507" t="inlineStr">
        <is>
          <t>Phụ huynh toàn cấp</t>
        </is>
      </c>
      <c r="F82" s="507" t="inlineStr">
        <is>
          <t>forms.truongvietanh.com/webinar-14</t>
        </is>
      </c>
      <c r="G82" s="507" t="inlineStr">
        <is>
          <t>Email + Zalo + Instagram</t>
        </is>
      </c>
      <c r="H82" s="507" t="inlineStr">
        <is>
          <t>Welcome + 3 reminder</t>
        </is>
      </c>
      <c r="I82" s="507" t="inlineStr">
        <is>
          <t>Đăng ký khóa hè</t>
        </is>
      </c>
      <c r="J82" s="507" t="n">
        <v>190</v>
      </c>
    </row>
    <row r="83">
      <c r="A83" s="507" t="inlineStr">
        <is>
          <t>08/07/2026</t>
        </is>
      </c>
      <c r="B83" s="507" t="inlineStr">
        <is>
          <t>19:00</t>
        </is>
      </c>
      <c r="C83" s="507" t="inlineStr">
        <is>
          <t>Q&amp;A: Các câu hỏi thường gặp</t>
        </is>
      </c>
      <c r="D83" s="507" t="inlineStr">
        <is>
          <t>Ban lãnh đạo nhà trường</t>
        </is>
      </c>
      <c r="E83" s="507" t="inlineStr">
        <is>
          <t>Phụ huynh toàn cấp</t>
        </is>
      </c>
      <c r="F83" s="507" t="inlineStr">
        <is>
          <t>forms.truongvietanh.com/webinar-15</t>
        </is>
      </c>
      <c r="G83" s="507" t="inlineStr">
        <is>
          <t>Email + Zalo + FB</t>
        </is>
      </c>
      <c r="H83" s="507" t="inlineStr">
        <is>
          <t>Welcome + 4 reminder</t>
        </is>
      </c>
      <c r="I83" s="507" t="inlineStr">
        <is>
          <t>Liên hệ tuyển sinh</t>
        </is>
      </c>
      <c r="J83" s="507" t="n">
        <v>150</v>
      </c>
    </row>
  </sheetData>
  <mergeCells count="1">
    <mergeCell ref="A67:J6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E91E63"/>
    <outlinePr summaryBelow="1" summaryRight="1"/>
    <pageSetUpPr fitToPage="0"/>
  </sheetPr>
  <dimension ref="A1:L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11"/>
  </cols>
  <sheetData>
    <row r="1" ht="17.35" customHeight="1" s="248">
      <c r="A1" s="249" t="inlineStr">
        <is>
          <t>LỊCH SOCIAL MEDIA CHI TIẾT – THEO KÊNH VÀ ĐỊA ĐIỂM (04-09/2026)</t>
        </is>
      </c>
    </row>
    <row r="2" ht="15" customHeight="1" s="248">
      <c r="A2" s="491" t="inlineStr">
        <is>
          <t>Mục tiêu: 3-4 bài/ngày trên mỗi nền tảng | Kho sẵn: 2,000 bài | Quay mới: 3-5 video/tháng | Tổng: ~540 bài organic trong 6 tháng</t>
        </is>
      </c>
    </row>
    <row r="4" ht="15" customHeight="1" s="248">
      <c r="A4" s="253" t="inlineStr">
        <is>
          <t>A. LỊCH ĐĂNG BÀI TUẦN MẪU (Template cho mỗi tuần)</t>
        </is>
      </c>
    </row>
    <row r="5" ht="15" customHeight="1" s="248">
      <c r="A5" s="250" t="inlineStr">
        <is>
          <t>Thứ</t>
        </is>
      </c>
      <c r="B5" s="250" t="inlineStr">
        <is>
          <t>Facebook Page</t>
        </is>
      </c>
      <c r="C5" s="250" t="inlineStr">
        <is>
          <t>Instagram</t>
        </is>
      </c>
      <c r="D5" s="250" t="inlineStr">
        <is>
          <t>TikTok</t>
        </is>
      </c>
      <c r="E5" s="250" t="inlineStr">
        <is>
          <t>Zalo OA</t>
        </is>
      </c>
      <c r="F5" s="250" t="inlineStr">
        <is>
          <t>YouTube</t>
        </is>
      </c>
      <c r="G5" s="250" t="inlineStr">
        <is>
          <t>Google Business</t>
        </is>
      </c>
      <c r="H5" s="250" t="inlineStr">
        <is>
          <t>Thời gian đăng</t>
        </is>
      </c>
      <c r="I5" s="250" t="inlineStr">
        <is>
          <t>Loại nội dung</t>
        </is>
      </c>
      <c r="J5" s="250" t="inlineStr">
        <is>
          <t>Cơ sở focus</t>
        </is>
      </c>
      <c r="K5" s="250" t="inlineStr">
        <is>
          <t>Ghi chú</t>
        </is>
      </c>
    </row>
    <row r="6" ht="23.85" customHeight="1" s="248">
      <c r="A6" s="251" t="inlineStr">
        <is>
          <t>Thứ 2</t>
        </is>
      </c>
      <c r="B6" s="251" t="inlineStr">
        <is>
          <t>Carousel: Chương trình học (MN/TH)</t>
        </is>
      </c>
      <c r="C6" s="251" t="inlineStr">
        <is>
          <t>Reel: "1 ngày tại VA" 30s</t>
        </is>
      </c>
      <c r="D6" s="251" t="inlineStr">
        <is>
          <t>Video testi PH 15-30s</t>
        </is>
      </c>
      <c r="E6" s="251" t="inlineStr">
        <is>
          <t>Broadcast: Tour tuần này</t>
        </is>
      </c>
      <c r="F6" s="251" t="inlineStr">
        <is>
          <t>-</t>
        </is>
      </c>
      <c r="G6" s="251" t="inlineStr">
        <is>
          <t>Post: Ảnh campus + CTA</t>
        </is>
      </c>
      <c r="H6" s="251" t="inlineStr">
        <is>
          <t>7:30 + 11:30 + 19:00</t>
        </is>
      </c>
      <c r="I6" s="251" t="inlineStr">
        <is>
          <t>Educational + Social proof</t>
        </is>
      </c>
      <c r="J6" s="251" t="inlineStr">
        <is>
          <t>Gò Vấp</t>
        </is>
      </c>
      <c r="K6" s="251" t="inlineStr">
        <is>
          <t>Đầu tuần = boost engagement</t>
        </is>
      </c>
    </row>
    <row r="7" ht="23.85" customHeight="1" s="248">
      <c r="A7" s="252" t="inlineStr">
        <is>
          <t>Thứ 3</t>
        </is>
      </c>
      <c r="B7" s="252" t="inlineStr">
        <is>
          <t>Video: Testimonial PH 60s</t>
        </is>
      </c>
      <c r="C7" s="252" t="inlineStr">
        <is>
          <t>Story: Behind-the-scene GV</t>
        </is>
      </c>
      <c r="D7" s="252" t="inlineStr">
        <is>
          <t>Carousel: Top 5 lý do chọn VA</t>
        </is>
      </c>
      <c r="E7" s="252" t="inlineStr">
        <is>
          <t>Article: Tips chọn trường</t>
        </is>
      </c>
      <c r="F7" s="252" t="inlineStr">
        <is>
          <t>-</t>
        </is>
      </c>
      <c r="G7" s="252" t="inlineStr">
        <is>
          <t>-</t>
        </is>
      </c>
      <c r="H7" s="252" t="inlineStr">
        <is>
          <t>7:30 + 12:00 + 20:00</t>
        </is>
      </c>
      <c r="I7" s="252" t="inlineStr">
        <is>
          <t>Trust building</t>
        </is>
      </c>
      <c r="J7" s="252" t="inlineStr">
        <is>
          <t>Bình Tân + Tỉnh</t>
        </is>
      </c>
      <c r="K7" s="252" t="inlineStr">
        <is>
          <t>Zalo article dài, SEO friendly</t>
        </is>
      </c>
    </row>
    <row r="8" ht="23.85" customHeight="1" s="248">
      <c r="A8" s="251" t="inlineStr">
        <is>
          <t>Thứ 4</t>
        </is>
      </c>
      <c r="B8" s="251" t="inlineStr">
        <is>
          <t>Image: Ảnh hoạt động ngoại khóa</t>
        </is>
      </c>
      <c r="C8" s="251" t="inlineStr">
        <is>
          <t>Reel: "GV nói gì về VA" 15s</t>
        </is>
      </c>
      <c r="D8" s="251" t="inlineStr">
        <is>
          <t>Video: Day-in-the-life HS</t>
        </is>
      </c>
      <c r="E8" s="251" t="inlineStr">
        <is>
          <t>-</t>
        </is>
      </c>
      <c r="F8" s="251" t="inlineStr">
        <is>
          <t>Short: Campus tour 60s</t>
        </is>
      </c>
      <c r="G8" s="251" t="inlineStr">
        <is>
          <t>Post: Sự kiện sắp tới</t>
        </is>
      </c>
      <c r="H8" s="251" t="inlineStr">
        <is>
          <t>7:30 + 11:30 + 19:30</t>
        </is>
      </c>
      <c r="I8" s="251" t="inlineStr">
        <is>
          <t>Lifestyle + Campus life</t>
        </is>
      </c>
      <c r="J8" s="251" t="inlineStr">
        <is>
          <t>Gò Vấp</t>
        </is>
      </c>
      <c r="K8" s="251" t="inlineStr">
        <is>
          <t>Hump day = giải trí nhẹ</t>
        </is>
      </c>
    </row>
    <row r="9" ht="23.85" customHeight="1" s="248">
      <c r="A9" s="252" t="inlineStr">
        <is>
          <t>Thứ 5</t>
        </is>
      </c>
      <c r="B9" s="252" t="inlineStr">
        <is>
          <t>Carousel: So sánh (không nêu tên đối thủ)</t>
        </is>
      </c>
      <c r="C9" s="252" t="inlineStr">
        <is>
          <t>Story: Q&amp;A PH thường hỏi</t>
        </is>
      </c>
      <c r="D9" s="252" t="inlineStr">
        <is>
          <t>Video testi HS 15-30s</t>
        </is>
      </c>
      <c r="E9" s="252" t="inlineStr">
        <is>
          <t>Broadcast: Ưu đãi/Webinar</t>
        </is>
      </c>
      <c r="F9" s="252" t="inlineStr">
        <is>
          <t>-</t>
        </is>
      </c>
      <c r="G9" s="252" t="inlineStr">
        <is>
          <t>-</t>
        </is>
      </c>
      <c r="H9" s="252" t="inlineStr">
        <is>
          <t>7:30 + 12:00 + 19:00</t>
        </is>
      </c>
      <c r="I9" s="252" t="inlineStr">
        <is>
          <t>Decision support</t>
        </is>
      </c>
      <c r="J9" s="252" t="inlineStr">
        <is>
          <t>Liên cấp</t>
        </is>
      </c>
      <c r="K9" s="252" t="inlineStr">
        <is>
          <t>Push ưu đãi cuối tuần</t>
        </is>
      </c>
    </row>
    <row r="10" ht="23.85" customHeight="1" s="248">
      <c r="A10" s="251" t="inlineStr">
        <is>
          <t>Thứ 6</t>
        </is>
      </c>
      <c r="B10" s="251" t="inlineStr">
        <is>
          <t>Video: Highlight tuần (recap)</t>
        </is>
      </c>
      <c r="C10" s="251" t="inlineStr">
        <is>
          <t>Reel: Thành tích HS/GV</t>
        </is>
      </c>
      <c r="D10" s="251" t="inlineStr">
        <is>
          <t>Video: "3 điều PH không ngờ"</t>
        </is>
      </c>
      <c r="E10" s="251" t="inlineStr">
        <is>
          <t>Broadcast: Nhắc tour cuối tuần</t>
        </is>
      </c>
      <c r="F10" s="251" t="inlineStr">
        <is>
          <t>Video: Webinar recap/teaser</t>
        </is>
      </c>
      <c r="G10" s="251" t="inlineStr">
        <is>
          <t>Post: Review mới từ PH</t>
        </is>
      </c>
      <c r="H10" s="251" t="inlineStr">
        <is>
          <t>7:30 + 11:30 + 20:00</t>
        </is>
      </c>
      <c r="I10" s="251" t="inlineStr">
        <is>
          <t>Achievement + Urgency</t>
        </is>
      </c>
      <c r="J10" s="251" t="inlineStr">
        <is>
          <t>Thái Sơn + Mekong</t>
        </is>
      </c>
      <c r="K10" s="251" t="inlineStr">
        <is>
          <t>Friday = ưu đãi weekend</t>
        </is>
      </c>
    </row>
    <row r="11" ht="23.85" customHeight="1" s="248">
      <c r="A11" s="252" t="inlineStr">
        <is>
          <t>Thứ 7</t>
        </is>
      </c>
      <c r="B11" s="252" t="inlineStr">
        <is>
          <t>Live: Tour campus trực tiếp 30 phút</t>
        </is>
      </c>
      <c r="C11" s="252" t="inlineStr">
        <is>
          <t>Carousel: Ảnh tour weekend</t>
        </is>
      </c>
      <c r="D11" s="252" t="inlineStr">
        <is>
          <t>Video: "Mời PH tham quan"</t>
        </is>
      </c>
      <c r="E11" s="252" t="inlineStr">
        <is>
          <t>-</t>
        </is>
      </c>
      <c r="F11" s="252" t="inlineStr">
        <is>
          <t>-</t>
        </is>
      </c>
      <c r="G11" s="252" t="inlineStr">
        <is>
          <t>Cập nhật giờ tour</t>
        </is>
      </c>
      <c r="H11" s="252" t="inlineStr">
        <is>
          <t>9:00 (live) + 14:00</t>
        </is>
      </c>
      <c r="I11" s="252" t="inlineStr">
        <is>
          <t>Experience + FOMO</t>
        </is>
      </c>
      <c r="J11" s="252" t="inlineStr">
        <is>
          <t>Theo lịch tour</t>
        </is>
      </c>
      <c r="K11" s="252" t="inlineStr">
        <is>
          <t>Weekend = PH rảnh xem</t>
        </is>
      </c>
    </row>
    <row r="12" ht="23.85" customHeight="1" s="248">
      <c r="A12" s="251" t="inlineStr">
        <is>
          <t>Chủ nhật</t>
        </is>
      </c>
      <c r="B12" s="251" t="inlineStr">
        <is>
          <t>Image: Quote GD + Logo VA</t>
        </is>
      </c>
      <c r="C12" s="251" t="inlineStr">
        <is>
          <t>Story: Fun fact về trường</t>
        </is>
      </c>
      <c r="D12" s="251" t="inlineStr">
        <is>
          <t>Video nhẹ: Ngày của bé tại VA</t>
        </is>
      </c>
      <c r="E12" s="251" t="inlineStr">
        <is>
          <t>-</t>
        </is>
      </c>
      <c r="F12" s="251" t="inlineStr">
        <is>
          <t>-</t>
        </is>
      </c>
      <c r="G12" s="251" t="inlineStr">
        <is>
          <t>-</t>
        </is>
      </c>
      <c r="H12" s="251" t="inlineStr">
        <is>
          <t>9:00 + 19:00</t>
        </is>
      </c>
      <c r="I12" s="251" t="inlineStr">
        <is>
          <t>Brand + Emotional</t>
        </is>
      </c>
      <c r="J12" s="251" t="inlineStr">
        <is>
          <t>Chung</t>
        </is>
      </c>
      <c r="K12" s="251" t="inlineStr">
        <is>
          <t>Nhẹ nhàng, warm</t>
        </is>
      </c>
    </row>
    <row r="15" ht="15" customHeight="1" s="248">
      <c r="A15" s="253" t="inlineStr">
        <is>
          <t>B. CHỦ ĐỀ CONTENT THEO THÁNG</t>
        </is>
      </c>
    </row>
    <row r="16" ht="26.85" customHeight="1" s="248">
      <c r="A16" s="250" t="inlineStr">
        <is>
          <t>Tháng</t>
        </is>
      </c>
      <c r="B16" s="250" t="inlineStr">
        <is>
          <t>Chủ đề chính</t>
        </is>
      </c>
      <c r="C16" s="250" t="inlineStr">
        <is>
          <t>Pillar Content</t>
        </is>
      </c>
      <c r="D16" s="250" t="inlineStr">
        <is>
          <t>Video cần quay</t>
        </is>
      </c>
      <c r="E16" s="250" t="inlineStr">
        <is>
          <t>Ảnh cần chụp</t>
        </is>
      </c>
      <c r="F16" s="250" t="inlineStr">
        <is>
          <t>Blog/Article</t>
        </is>
      </c>
      <c r="G16" s="250" t="inlineStr">
        <is>
          <t>Số bài FB</t>
        </is>
      </c>
      <c r="H16" s="250" t="inlineStr">
        <is>
          <t>Số bài IG</t>
        </is>
      </c>
      <c r="I16" s="250" t="inlineStr">
        <is>
          <t>Số video TikTok</t>
        </is>
      </c>
      <c r="J16" s="250" t="inlineStr">
        <is>
          <t>Số bài Zalo</t>
        </is>
      </c>
      <c r="K16" s="250" t="inlineStr">
        <is>
          <t>Tổng content</t>
        </is>
      </c>
      <c r="L16" s="250" t="inlineStr">
        <is>
          <t>Trạng thái</t>
        </is>
      </c>
    </row>
    <row r="17" ht="23.85" customHeight="1" s="248">
      <c r="A17" s="251" t="inlineStr">
        <is>
          <t>Tháng 4</t>
        </is>
      </c>
      <c r="B17" s="251" t="inlineStr">
        <is>
          <t>Khám phá VA – Tour mở cửa</t>
        </is>
      </c>
      <c r="C17" s="251" t="inlineStr">
        <is>
          <t>Testimonial PH mùa trước + Campus tour video</t>
        </is>
      </c>
      <c r="D17" s="251" t="inlineStr">
        <is>
          <t>5 video testi + 3 campus tour</t>
        </is>
      </c>
      <c r="E17" s="251" t="inlineStr">
        <is>
          <t>20 ảnh hoạt động mới</t>
        </is>
      </c>
      <c r="F17" s="251" t="inlineStr">
        <is>
          <t>4 blog: Chọn trường, Song ngữ, STEM, An toàn</t>
        </is>
      </c>
      <c r="G17" s="251" t="n">
        <v>28</v>
      </c>
      <c r="H17" s="251" t="n">
        <v>28</v>
      </c>
      <c r="I17" s="251" t="n">
        <v>20</v>
      </c>
      <c r="J17" s="251" t="n">
        <v>8</v>
      </c>
      <c r="K17" s="251" t="n">
        <v>88</v>
      </c>
      <c r="L17" s="251" t="inlineStr">
        <is>
          <t>☐</t>
        </is>
      </c>
    </row>
    <row r="18" ht="23.85" customHeight="1" s="248">
      <c r="A18" s="252" t="inlineStr">
        <is>
          <t>Tháng 5</t>
        </is>
      </c>
      <c r="B18" s="252" t="inlineStr">
        <is>
          <t>Tại sao VA? – So sánh &amp; Chọn lọc</t>
        </is>
      </c>
      <c r="C18" s="252" t="inlineStr">
        <is>
          <t>So sánh chương trình + Open Day recap</t>
        </is>
      </c>
      <c r="D18" s="252" t="inlineStr">
        <is>
          <t>3 video so sánh + 2 Open Day</t>
        </is>
      </c>
      <c r="E18" s="252" t="inlineStr">
        <is>
          <t>15 ảnh Open Day</t>
        </is>
      </c>
      <c r="F18" s="252" t="inlineStr">
        <is>
          <t>4 blog: Sĩ số, Ngoại khóa, GV, Học phí</t>
        </is>
      </c>
      <c r="G18" s="252" t="n">
        <v>30</v>
      </c>
      <c r="H18" s="252" t="n">
        <v>30</v>
      </c>
      <c r="I18" s="252" t="n">
        <v>22</v>
      </c>
      <c r="J18" s="252" t="n">
        <v>10</v>
      </c>
      <c r="K18" s="252" t="n">
        <v>96</v>
      </c>
      <c r="L18" s="252" t="inlineStr">
        <is>
          <t>☐</t>
        </is>
      </c>
    </row>
    <row r="19" ht="23.85" customHeight="1" s="248">
      <c r="A19" s="251" t="inlineStr">
        <is>
          <t>Tháng 6</t>
        </is>
      </c>
      <c r="B19" s="251" t="inlineStr">
        <is>
          <t>Chuyển cấp – Giai đoạn vàng quyết định</t>
        </is>
      </c>
      <c r="C19" s="251" t="inlineStr">
        <is>
          <t>Webinar recap + PH review sau tour</t>
        </is>
      </c>
      <c r="D19" s="251" t="inlineStr">
        <is>
          <t>5 video PH sau tour + 2 webinar clip</t>
        </is>
      </c>
      <c r="E19" s="251" t="inlineStr">
        <is>
          <t>15 ảnh tour</t>
        </is>
      </c>
      <c r="F19" s="251" t="inlineStr">
        <is>
          <t>4 blog: Chuyển cấp 5→6, Lớp 10, Dậy thì, Lộ trình</t>
        </is>
      </c>
      <c r="G19" s="251" t="n">
        <v>30</v>
      </c>
      <c r="H19" s="251" t="n">
        <v>30</v>
      </c>
      <c r="I19" s="251" t="n">
        <v>24</v>
      </c>
      <c r="J19" s="251" t="n">
        <v>12</v>
      </c>
      <c r="K19" s="251" t="n">
        <v>100</v>
      </c>
      <c r="L19" s="251" t="inlineStr">
        <is>
          <t>☐</t>
        </is>
      </c>
    </row>
    <row r="20" ht="23.85" customHeight="1" s="248">
      <c r="A20" s="252" t="inlineStr">
        <is>
          <t>Tháng 7</t>
        </is>
      </c>
      <c r="B20" s="252" t="inlineStr">
        <is>
          <t>Chốt – Học bổng &amp; Ưu đãi cuối</t>
        </is>
      </c>
      <c r="C20" s="252" t="inlineStr">
        <is>
          <t>Học bổng announcement + Deadline countdown</t>
        </is>
      </c>
      <c r="D20" s="252" t="inlineStr">
        <is>
          <t>3 video HS nhận HB + 2 countdown</t>
        </is>
      </c>
      <c r="E20" s="252" t="inlineStr">
        <is>
          <t>10 ảnh ceremony</t>
        </is>
      </c>
      <c r="F20" s="252" t="inlineStr">
        <is>
          <t>2 blog: Học bổng, Đầu ra ĐH</t>
        </is>
      </c>
      <c r="G20" s="252" t="n">
        <v>28</v>
      </c>
      <c r="H20" s="252" t="n">
        <v>28</v>
      </c>
      <c r="I20" s="252" t="n">
        <v>20</v>
      </c>
      <c r="J20" s="252" t="n">
        <v>10</v>
      </c>
      <c r="K20" s="252" t="n">
        <v>90</v>
      </c>
      <c r="L20" s="252" t="inlineStr">
        <is>
          <t>☐</t>
        </is>
      </c>
    </row>
    <row r="21" ht="23.85" customHeight="1" s="248">
      <c r="A21" s="251" t="inlineStr">
        <is>
          <t>Tháng 8</t>
        </is>
      </c>
      <c r="B21" s="251" t="inlineStr">
        <is>
          <t>Cuối mùa – Cơ hội cuối cùng</t>
        </is>
      </c>
      <c r="C21" s="251" t="inlineStr">
        <is>
          <t>Urgency content + Slot còn lại</t>
        </is>
      </c>
      <c r="D21" s="251" t="inlineStr">
        <is>
          <t>2 video "Chỗ có hạn" + 2 PH mới</t>
        </is>
      </c>
      <c r="E21" s="251" t="inlineStr">
        <is>
          <t>10 ảnh chuẩn bị năm học</t>
        </is>
      </c>
      <c r="F21" s="251" t="inlineStr">
        <is>
          <t>2 blog: Late enrollment, Chuyển trường</t>
        </is>
      </c>
      <c r="G21" s="251" t="n">
        <v>24</v>
      </c>
      <c r="H21" s="251" t="n">
        <v>24</v>
      </c>
      <c r="I21" s="251" t="n">
        <v>16</v>
      </c>
      <c r="J21" s="251" t="n">
        <v>8</v>
      </c>
      <c r="K21" s="251" t="n">
        <v>74</v>
      </c>
      <c r="L21" s="251" t="inlineStr">
        <is>
          <t>☐</t>
        </is>
      </c>
    </row>
    <row r="22" ht="23.85" customHeight="1" s="248">
      <c r="A22" s="252" t="inlineStr">
        <is>
          <t>Tháng 9</t>
        </is>
      </c>
      <c r="B22" s="252" t="inlineStr">
        <is>
          <t>Khai giảng – Welcome &amp; Brand</t>
        </is>
      </c>
      <c r="C22" s="252" t="inlineStr">
        <is>
          <t>Khai giảng recap + PH mới share</t>
        </is>
      </c>
      <c r="D22" s="252" t="inlineStr">
        <is>
          <t>3 video khai giảng + 2 PH share</t>
        </is>
      </c>
      <c r="E22" s="252" t="inlineStr">
        <is>
          <t>20 ảnh khai giảng</t>
        </is>
      </c>
      <c r="F22" s="252" t="inlineStr">
        <is>
          <t>2 blog: Năm học mới, Cảm nhận PH</t>
        </is>
      </c>
      <c r="G22" s="252" t="n">
        <v>20</v>
      </c>
      <c r="H22" s="252" t="n">
        <v>20</v>
      </c>
      <c r="I22" s="252" t="n">
        <v>14</v>
      </c>
      <c r="J22" s="252" t="n">
        <v>6</v>
      </c>
      <c r="K22" s="252" t="n">
        <v>62</v>
      </c>
      <c r="L22" s="252" t="inlineStr">
        <is>
          <t>☐</t>
        </is>
      </c>
    </row>
    <row r="25" ht="15" customHeight="1" s="248">
      <c r="A25" s="253" t="inlineStr">
        <is>
          <t>C. CONTENT THEO CƠ SỞ (Phân bổ bài đăng/tháng)</t>
        </is>
      </c>
    </row>
    <row r="26" ht="15" customHeight="1" s="248">
      <c r="A26" s="250" t="inlineStr">
        <is>
          <t>Cơ sở</t>
        </is>
      </c>
      <c r="B26" s="250" t="inlineStr">
        <is>
          <t>Cấp</t>
        </is>
      </c>
      <c r="C26" s="250" t="inlineStr">
        <is>
          <t>Khu vực</t>
        </is>
      </c>
      <c r="D26" s="250" t="inlineStr">
        <is>
          <t>FB/tháng</t>
        </is>
      </c>
      <c r="E26" s="250" t="inlineStr">
        <is>
          <t>IG/tháng</t>
        </is>
      </c>
      <c r="F26" s="250" t="inlineStr">
        <is>
          <t>TikTok/tháng</t>
        </is>
      </c>
      <c r="G26" s="250" t="inlineStr">
        <is>
          <t>Zalo/tháng</t>
        </is>
      </c>
      <c r="H26" s="250" t="inlineStr">
        <is>
          <t>GMB/tháng</t>
        </is>
      </c>
      <c r="I26" s="250" t="inlineStr">
        <is>
          <t>Nội dung ưu tiên</t>
        </is>
      </c>
      <c r="J26" s="250" t="inlineStr">
        <is>
          <t>Giọng văn/tone</t>
        </is>
      </c>
      <c r="K26" s="250" t="inlineStr">
        <is>
          <t>Hashtag chính</t>
        </is>
      </c>
    </row>
    <row r="27" ht="23.85" customHeight="1" s="248">
      <c r="A27" s="251" t="inlineStr">
        <is>
          <t>MN VA Gò Vấp</t>
        </is>
      </c>
      <c r="B27" s="251" t="inlineStr">
        <is>
          <t>MN</t>
        </is>
      </c>
      <c r="C27" s="251" t="inlineStr">
        <is>
          <t>Gò Vấp, TP.HCM</t>
        </is>
      </c>
      <c r="D27" s="251" t="n">
        <v>12</v>
      </c>
      <c r="E27" s="251" t="n">
        <v>12</v>
      </c>
      <c r="F27" s="251" t="n">
        <v>8</v>
      </c>
      <c r="G27" s="251" t="n">
        <v>4</v>
      </c>
      <c r="H27" s="251" t="n">
        <v>4</v>
      </c>
      <c r="I27" s="251" t="inlineStr">
        <is>
          <t>An toàn, GV tận tâm, camera, bé vui</t>
        </is>
      </c>
      <c r="J27" s="251" t="inlineStr">
        <is>
          <t>Ấm áp, tin cậy, gần gũi</t>
        </is>
      </c>
      <c r="K27" s="251" t="inlineStr">
        <is>
          <t>#MamNonVietAnh #MamNonGoVap</t>
        </is>
      </c>
    </row>
    <row r="28" ht="35.05" customHeight="1" s="248">
      <c r="A28" s="252" t="inlineStr">
        <is>
          <t>MN Nhân Lễ</t>
        </is>
      </c>
      <c r="B28" s="252" t="inlineStr">
        <is>
          <t>MN</t>
        </is>
      </c>
      <c r="C28" s="252" t="inlineStr">
        <is>
          <t>TX. Cần Giuộc, Tây Ninh (cũ: H. Cần Giuộc, Long An)</t>
        </is>
      </c>
      <c r="D28" s="252" t="n">
        <v>6</v>
      </c>
      <c r="E28" s="252" t="n">
        <v>4</v>
      </c>
      <c r="F28" s="252" t="n">
        <v>4</v>
      </c>
      <c r="G28" s="252" t="n">
        <v>4</v>
      </c>
      <c r="H28" s="252" t="n">
        <v>2</v>
      </c>
      <c r="I28" s="252" t="inlineStr">
        <is>
          <t>Trường trong KDC, bán trú, local trust</t>
        </is>
      </c>
      <c r="J28" s="252" t="inlineStr">
        <is>
          <t>Thân thiện, địa phương</t>
        </is>
      </c>
      <c r="K28" s="252" t="inlineStr">
        <is>
          <t>#MamNonNhanLe #CanGiuoc #TayNinh</t>
        </is>
      </c>
    </row>
    <row r="29" ht="35.05" customHeight="1" s="248">
      <c r="A29" s="251" t="inlineStr">
        <is>
          <t>MN+TH Thái Sơn</t>
        </is>
      </c>
      <c r="B29" s="251" t="inlineStr">
        <is>
          <t>MN+TH</t>
        </is>
      </c>
      <c r="C29" s="251" t="inlineStr">
        <is>
          <t>TX. Cần Giuộc, Tây Ninh (cũ: H. Cần Giuộc, Long An)</t>
        </is>
      </c>
      <c r="D29" s="251" t="n">
        <v>6</v>
      </c>
      <c r="E29" s="251" t="n">
        <v>4</v>
      </c>
      <c r="F29" s="251" t="n">
        <v>4</v>
      </c>
      <c r="G29" s="251" t="n">
        <v>4</v>
      </c>
      <c r="H29" s="251" t="n">
        <v>2</v>
      </c>
      <c r="I29" s="251" t="inlineStr">
        <is>
          <t>Liên cấp, KDC Thái Sơn, không cần đi xa</t>
        </is>
      </c>
      <c r="J29" s="251" t="inlineStr">
        <is>
          <t>Thân thiện, tiện lợi</t>
        </is>
      </c>
      <c r="K29" s="251" t="inlineStr">
        <is>
          <t>#ThaiSon #TruongTuCanGiuoc</t>
        </is>
      </c>
    </row>
    <row r="30" ht="35.05" customHeight="1" s="248">
      <c r="A30" s="252" t="inlineStr">
        <is>
          <t>MN+TH Mekong Xanh</t>
        </is>
      </c>
      <c r="B30" s="252" t="inlineStr">
        <is>
          <t>MN+TH</t>
        </is>
      </c>
      <c r="C30" s="252" t="inlineStr">
        <is>
          <t>TP. Rạch Giá, An Giang (cũ: TP. Rạch Giá, Kiên Giang)</t>
        </is>
      </c>
      <c r="D30" s="252" t="n">
        <v>6</v>
      </c>
      <c r="E30" s="252" t="n">
        <v>4</v>
      </c>
      <c r="F30" s="252" t="n">
        <v>4</v>
      </c>
      <c r="G30" s="252" t="n">
        <v>4</v>
      </c>
      <c r="H30" s="252" t="n">
        <v>2</v>
      </c>
      <c r="I30" s="252" t="inlineStr">
        <is>
          <t>Chuẩn TP.HCM tại tỉnh, song ngữ</t>
        </is>
      </c>
      <c r="J30" s="252" t="inlineStr">
        <is>
          <t>Tự hào, tiên phong</t>
        </is>
      </c>
      <c r="K30" s="252" t="inlineStr">
        <is>
          <t>#MekongXanh #RachGia #AnGiang</t>
        </is>
      </c>
    </row>
    <row r="31" ht="23.85" customHeight="1" s="248">
      <c r="A31" s="251" t="inlineStr">
        <is>
          <t>TH VA Gò Vấp</t>
        </is>
      </c>
      <c r="B31" s="251" t="inlineStr">
        <is>
          <t>TH</t>
        </is>
      </c>
      <c r="C31" s="251" t="inlineStr">
        <is>
          <t>Gò Vấp, TP.HCM</t>
        </is>
      </c>
      <c r="D31" s="251" t="n">
        <v>12</v>
      </c>
      <c r="E31" s="251" t="n">
        <v>12</v>
      </c>
      <c r="F31" s="251" t="n">
        <v>8</v>
      </c>
      <c r="G31" s="251" t="n">
        <v>4</v>
      </c>
      <c r="H31" s="251" t="n">
        <v>4</v>
      </c>
      <c r="I31" s="251" t="inlineStr">
        <is>
          <t>Song ngữ, sĩ số nhỏ, lộ trình TA</t>
        </is>
      </c>
      <c r="J31" s="251" t="inlineStr">
        <is>
          <t>Chuyên nghiệp, giáo dục</t>
        </is>
      </c>
      <c r="K31" s="251" t="inlineStr">
        <is>
          <t>#TieuHocVietAnh #SongNgu</t>
        </is>
      </c>
    </row>
    <row r="32" ht="23.85" customHeight="1" s="248">
      <c r="A32" s="252" t="inlineStr">
        <is>
          <t>TH VA Bình Tân</t>
        </is>
      </c>
      <c r="B32" s="252" t="inlineStr">
        <is>
          <t>TH</t>
        </is>
      </c>
      <c r="C32" s="252" t="inlineStr">
        <is>
          <t>Bình Tân, TP.HCM</t>
        </is>
      </c>
      <c r="D32" s="252" t="n">
        <v>10</v>
      </c>
      <c r="E32" s="252" t="n">
        <v>8</v>
      </c>
      <c r="F32" s="252" t="n">
        <v>6</v>
      </c>
      <c r="G32" s="252" t="n">
        <v>4</v>
      </c>
      <c r="H32" s="252" t="n">
        <v>4</v>
      </c>
      <c r="I32" s="252" t="inlineStr">
        <is>
          <t>Khép kín, an toàn, học phí hợp lý</t>
        </is>
      </c>
      <c r="J32" s="252" t="inlineStr">
        <is>
          <t>Gần gũi, thiết thực</t>
        </is>
      </c>
      <c r="K32" s="252" t="inlineStr">
        <is>
          <t>#TruongVietAnhBinhTan</t>
        </is>
      </c>
    </row>
    <row r="33" ht="23.85" customHeight="1" s="248">
      <c r="A33" s="251" t="inlineStr">
        <is>
          <t>THCS VA Gò Vấp</t>
        </is>
      </c>
      <c r="B33" s="251" t="inlineStr">
        <is>
          <t>THCS</t>
        </is>
      </c>
      <c r="C33" s="251" t="inlineStr">
        <is>
          <t>Gò Vấp, TP.HCM</t>
        </is>
      </c>
      <c r="D33" s="251" t="n">
        <v>12</v>
      </c>
      <c r="E33" s="251" t="n">
        <v>12</v>
      </c>
      <c r="F33" s="251" t="n">
        <v>10</v>
      </c>
      <c r="G33" s="251" t="n">
        <v>4</v>
      </c>
      <c r="H33" s="251" t="n">
        <v>4</v>
      </c>
      <c r="I33" s="251" t="inlineStr">
        <is>
          <t>Chuyển cấp, GV chủ nhiệm, lộ trình 6→12</t>
        </is>
      </c>
      <c r="J33" s="251" t="inlineStr">
        <is>
          <t>Nghiêm túc, động lực</t>
        </is>
      </c>
      <c r="K33" s="251" t="inlineStr">
        <is>
          <t>#THCSVietAnh #Lop6</t>
        </is>
      </c>
    </row>
    <row r="34" ht="23.85" customHeight="1" s="248">
      <c r="A34" s="252" t="inlineStr">
        <is>
          <t>THPT VA Gò Vấp</t>
        </is>
      </c>
      <c r="B34" s="252" t="inlineStr">
        <is>
          <t>THPT</t>
        </is>
      </c>
      <c r="C34" s="252" t="inlineStr">
        <is>
          <t>Gò Vấp, TP.HCM</t>
        </is>
      </c>
      <c r="D34" s="252" t="n">
        <v>12</v>
      </c>
      <c r="E34" s="252" t="n">
        <v>12</v>
      </c>
      <c r="F34" s="252" t="n">
        <v>10</v>
      </c>
      <c r="G34" s="252" t="n">
        <v>4</v>
      </c>
      <c r="H34" s="252" t="n">
        <v>4</v>
      </c>
      <c r="I34" s="252" t="inlineStr">
        <is>
          <t>Học bổng, đầu ra ĐH, pathway du học</t>
        </is>
      </c>
      <c r="J34" s="252" t="inlineStr">
        <is>
          <t>Chuyên nghiệp, tự tin</t>
        </is>
      </c>
      <c r="K34" s="252" t="inlineStr">
        <is>
          <t>#THPTVietAnh #HocBong #Lop10</t>
        </is>
      </c>
    </row>
    <row r="35" ht="23.85" customHeight="1" s="248">
      <c r="A35" s="251" t="inlineStr">
        <is>
          <t>Brand hệ thống</t>
        </is>
      </c>
      <c r="B35" s="251" t="inlineStr">
        <is>
          <t>Liên cấp</t>
        </is>
      </c>
      <c r="C35" s="251" t="inlineStr">
        <is>
          <t>Chung</t>
        </is>
      </c>
      <c r="D35" s="251" t="n">
        <v>8</v>
      </c>
      <c r="E35" s="251" t="n">
        <v>8</v>
      </c>
      <c r="F35" s="251" t="n">
        <v>6</v>
      </c>
      <c r="G35" s="251" t="n">
        <v>4</v>
      </c>
      <c r="H35" s="251" t="n">
        <v>0</v>
      </c>
      <c r="I35" s="251" t="inlineStr">
        <is>
          <t>Giá trị VA, alumni, thành tích</t>
        </is>
      </c>
      <c r="J35" s="251" t="inlineStr">
        <is>
          <t>Tự hào, uy tín</t>
        </is>
      </c>
      <c r="K35" s="251" t="inlineStr">
        <is>
          <t>#TruongVietAnh #HeThongVietAnh</t>
        </is>
      </c>
    </row>
    <row r="38">
      <c r="A38" s="494" t="inlineStr">
        <is>
          <t>═══ CHIẾN LƯỢC NUÔI KÊNH — TỪ SHEET O ═══</t>
        </is>
      </c>
    </row>
    <row r="39">
      <c r="A39" s="504" t="inlineStr">
        <is>
          <t>Chi tiết nuôi kênh từng platform → Xem Sheet "O. Nuôi Kênh Social Media"</t>
        </is>
      </c>
    </row>
    <row r="41">
      <c r="A41" s="494" t="inlineStr">
        <is>
          <t>LỊCH ĐĂNG BÀI MẪU — TUẦN ĐIỂN HÌNH (T6/2026 — Peak Season)</t>
        </is>
      </c>
    </row>
    <row r="42">
      <c r="A42" s="495" t="inlineStr">
        <is>
          <t>Thời gian</t>
        </is>
      </c>
      <c r="B42" s="495" t="inlineStr">
        <is>
          <t>T2</t>
        </is>
      </c>
      <c r="C42" s="495" t="inlineStr">
        <is>
          <t>T3</t>
        </is>
      </c>
      <c r="D42" s="495" t="inlineStr">
        <is>
          <t>T4</t>
        </is>
      </c>
      <c r="E42" s="495" t="inlineStr">
        <is>
          <t>T5</t>
        </is>
      </c>
      <c r="F42" s="495" t="inlineStr">
        <is>
          <t>T6</t>
        </is>
      </c>
      <c r="G42" s="495" t="inlineStr">
        <is>
          <t>T7</t>
        </is>
      </c>
      <c r="H42" s="495" t="inlineStr">
        <is>
          <t>CN</t>
        </is>
      </c>
    </row>
    <row r="43">
      <c r="A43" s="499" t="inlineStr">
        <is>
          <t>7:00-8:00</t>
        </is>
      </c>
      <c r="B43" s="499" t="inlineStr">
        <is>
          <t>Check leads overnight + Assign</t>
        </is>
      </c>
      <c r="C43" s="499" t="inlineStr">
        <is>
          <t>Check leads + Assign</t>
        </is>
      </c>
      <c r="D43" s="499" t="inlineStr">
        <is>
          <t>Check leads + Assign</t>
        </is>
      </c>
      <c r="E43" s="499" t="inlineStr">
        <is>
          <t>Check leads + Assign</t>
        </is>
      </c>
      <c r="F43" s="499" t="inlineStr">
        <is>
          <t>Check leads + Assign</t>
        </is>
      </c>
      <c r="G43" s="499" t="inlineStr">
        <is>
          <t>Check leads</t>
        </is>
      </c>
      <c r="H43" s="499" t="inlineStr">
        <is>
          <t>Check leads</t>
        </is>
      </c>
    </row>
    <row r="44">
      <c r="A44" s="500" t="inlineStr">
        <is>
          <t>8:00-8:30</t>
        </is>
      </c>
      <c r="B44" s="500" t="inlineStr">
        <is>
          <t>FB: Carousel HS
Zalo: Article</t>
        </is>
      </c>
      <c r="C44" s="500" t="inlineStr">
        <is>
          <t>FB: Carousel HS
Zalo: Article</t>
        </is>
      </c>
      <c r="D44" s="500" t="inlineStr">
        <is>
          <t>FB: Carousel HS
Zalo: Article</t>
        </is>
      </c>
      <c r="E44" s="500" t="inlineStr">
        <is>
          <t>FB: Carousel HS
Zalo: Article</t>
        </is>
      </c>
      <c r="F44" s="500" t="inlineStr">
        <is>
          <t>FB: Carousel HS
Zalo: Article</t>
        </is>
      </c>
      <c r="G44" s="500" t="inlineStr">
        <is>
          <t>FB: Event coverage
Zalo: Article</t>
        </is>
      </c>
      <c r="H44" s="500" t="inlineStr">
        <is>
          <t>FB: Throwback post</t>
        </is>
      </c>
    </row>
    <row r="45">
      <c r="A45" s="499" t="inlineStr">
        <is>
          <t>8:00-8:30</t>
        </is>
      </c>
      <c r="B45" s="499" t="inlineStr">
        <is>
          <t>IG: Carousel
TikTok: Tips</t>
        </is>
      </c>
      <c r="C45" s="499" t="inlineStr">
        <is>
          <t>IG: Reel
TikTok: BTS</t>
        </is>
      </c>
      <c r="D45" s="499" t="inlineStr">
        <is>
          <t>IG: Carousel
TikTok: Tips</t>
        </is>
      </c>
      <c r="E45" s="499" t="inlineStr">
        <is>
          <t>IG: Reel
TikTok: BTS</t>
        </is>
      </c>
      <c r="F45" s="499" t="inlineStr">
        <is>
          <t>IG: Carousel
TikTok: Tips</t>
        </is>
      </c>
      <c r="G45" s="499" t="inlineStr">
        <is>
          <t>IG: Reel
TikTok: Live prep</t>
        </is>
      </c>
      <c r="H45" s="499" t="inlineStr">
        <is>
          <t>IG: Stories only</t>
        </is>
      </c>
    </row>
    <row r="46">
      <c r="A46" s="500" t="inlineStr">
        <is>
          <t>11:30-12:30</t>
        </is>
      </c>
      <c r="B46" s="500" t="inlineStr">
        <is>
          <t>FB: Reels
YT: Shorts</t>
        </is>
      </c>
      <c r="C46" s="500" t="inlineStr">
        <is>
          <t>FB: Reels
YT: Shorts</t>
        </is>
      </c>
      <c r="D46" s="500" t="inlineStr">
        <is>
          <t>FB: Reels
YT: Shorts</t>
        </is>
      </c>
      <c r="E46" s="500" t="inlineStr">
        <is>
          <t>FB: Reels
YT: Shorts</t>
        </is>
      </c>
      <c r="F46" s="500" t="inlineStr">
        <is>
          <t>FB: Reels
YT: Shorts</t>
        </is>
      </c>
      <c r="G46" s="500" t="inlineStr">
        <is>
          <t>FB: Reels</t>
        </is>
      </c>
      <c r="H46" s="500" t="inlineStr">
        <is>
          <t>-</t>
        </is>
      </c>
    </row>
    <row r="47">
      <c r="A47" s="499" t="inlineStr">
        <is>
          <t>12:00</t>
        </is>
      </c>
      <c r="B47" s="499" t="inlineStr">
        <is>
          <t>Ads check midday</t>
        </is>
      </c>
      <c r="C47" s="499" t="inlineStr">
        <is>
          <t>Ads + Zalo broadcast</t>
        </is>
      </c>
      <c r="D47" s="499" t="inlineStr">
        <is>
          <t>Ads check midday</t>
        </is>
      </c>
      <c r="E47" s="499" t="inlineStr">
        <is>
          <t>Ads check</t>
        </is>
      </c>
      <c r="F47" s="499" t="inlineStr">
        <is>
          <t>Ads + Zalo broadcast</t>
        </is>
      </c>
      <c r="G47" s="499" t="inlineStr">
        <is>
          <t>Ads quick check</t>
        </is>
      </c>
      <c r="H47" s="499" t="inlineStr">
        <is>
          <t>-</t>
        </is>
      </c>
    </row>
    <row r="48">
      <c r="A48" s="500" t="inlineStr">
        <is>
          <t>15:00</t>
        </is>
      </c>
      <c r="B48" s="500" t="inlineStr">
        <is>
          <t>FB Group engage
IG Stories</t>
        </is>
      </c>
      <c r="C48" s="500" t="inlineStr">
        <is>
          <t>FB Group: 6 nhóm
YT: Upload long video</t>
        </is>
      </c>
      <c r="D48" s="500" t="inlineStr">
        <is>
          <t>FB Group engage
IG DM reply</t>
        </is>
      </c>
      <c r="E48" s="500" t="inlineStr">
        <is>
          <t>FB Group engage
IG engagement</t>
        </is>
      </c>
      <c r="F48" s="500" t="inlineStr">
        <is>
          <t>FB Group: Mini-game
IG Stories</t>
        </is>
      </c>
      <c r="G48" s="500" t="inlineStr">
        <is>
          <t>FB Group: Live
TikTok: Live</t>
        </is>
      </c>
      <c r="H48" s="500" t="inlineStr">
        <is>
          <t>-</t>
        </is>
      </c>
    </row>
    <row r="49">
      <c r="A49" s="499" t="inlineStr">
        <is>
          <t>17:00</t>
        </is>
      </c>
      <c r="B49" s="499" t="inlineStr">
        <is>
          <t>FB: Testimonial
Email: Newsletter</t>
        </is>
      </c>
      <c r="C49" s="499" t="inlineStr">
        <is>
          <t>FB: Testimonial</t>
        </is>
      </c>
      <c r="D49" s="499" t="inlineStr">
        <is>
          <t>FB: Tips post</t>
        </is>
      </c>
      <c r="E49" s="499" t="inlineStr">
        <is>
          <t>FB: Testimonial
Email: Broadcast</t>
        </is>
      </c>
      <c r="F49" s="499" t="inlineStr">
        <is>
          <t>FB: Tips post</t>
        </is>
      </c>
      <c r="G49" s="499" t="inlineStr">
        <is>
          <t>-</t>
        </is>
      </c>
      <c r="H49" s="499" t="inlineStr">
        <is>
          <t>-</t>
        </is>
      </c>
    </row>
    <row r="50">
      <c r="A50" s="500" t="inlineStr">
        <is>
          <t>20:00</t>
        </is>
      </c>
      <c r="B50" s="500" t="inlineStr">
        <is>
          <t>FB: Tips dài
IG: Stories</t>
        </is>
      </c>
      <c r="C50" s="500" t="inlineStr">
        <is>
          <t>LIVESTREAM T3
(FB + Zalo)</t>
        </is>
      </c>
      <c r="D50" s="500" t="inlineStr">
        <is>
          <t>TikTok: Trend video
IG: Stories</t>
        </is>
      </c>
      <c r="E50" s="500" t="inlineStr">
        <is>
          <t>LIVESTREAM T5
(FB + Zalo)</t>
        </is>
      </c>
      <c r="F50" s="500" t="inlineStr">
        <is>
          <t>TikTok: Trend
IG: Stories</t>
        </is>
      </c>
      <c r="G50" s="500" t="inlineStr">
        <is>
          <t>TikTok: Live T7</t>
        </is>
      </c>
      <c r="H50" s="500" t="inlineStr">
        <is>
          <t>-</t>
        </is>
      </c>
    </row>
  </sheetData>
  <hyperlinks>
    <hyperlink xmlns:r="http://schemas.openxmlformats.org/officeDocument/2006/relationships" ref="A39"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tabColor rgb="FF00BCD4"/>
    <outlinePr summaryBelow="1" summaryRight="1"/>
    <pageSetUpPr fitToPage="0"/>
  </sheetPr>
  <dimension ref="A1:N1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9"/>
    <col width="25" customWidth="1" style="248" min="2" max="2"/>
    <col width="45" customWidth="1" style="248" min="3" max="3"/>
    <col width="25" customWidth="1" style="248" min="4" max="4"/>
    <col width="40" customWidth="1" style="248" min="5" max="5"/>
    <col width="35" customWidth="1" style="248" min="6" max="6"/>
    <col width="20" customWidth="1" style="248" min="7" max="7"/>
    <col width="20" customWidth="1" style="248" min="8" max="8"/>
    <col width="40" customWidth="1" style="248" min="9" max="9"/>
    <col width="30" customWidth="1" style="248" min="10" max="10"/>
    <col width="35" customWidth="1" style="248" min="11" max="11"/>
    <col width="30" customWidth="1" style="248" min="12" max="12"/>
    <col width="40" customWidth="1" style="248" min="13" max="13"/>
    <col width="30" customWidth="1" style="248" min="14" max="14"/>
  </cols>
  <sheetData>
    <row r="1" ht="17.35" customHeight="1" s="248">
      <c r="A1" s="498" t="inlineStr">
        <is>
          <t>ANALYTICS, GTM TRACKING &amp; REMARKETING — CÀI ĐẶT CHI TIẾT TỪNG PHỄU</t>
        </is>
      </c>
    </row>
    <row r="2" ht="15" customHeight="1" s="248">
      <c r="A2" s="525" t="n"/>
      <c r="B2" s="493" t="n"/>
      <c r="C2" s="493" t="n"/>
      <c r="D2" s="493" t="n"/>
      <c r="E2" s="493" t="n"/>
      <c r="F2" s="493" t="n"/>
      <c r="G2" s="493" t="n"/>
      <c r="H2" s="493" t="n"/>
      <c r="I2" s="493" t="n"/>
    </row>
    <row r="3">
      <c r="A3" s="494" t="inlineStr">
        <is>
          <t>A. GOOGLE TAG MANAGER — CẤU TRÚC CONTAINER</t>
        </is>
      </c>
      <c r="B3" s="493" t="n"/>
      <c r="C3" s="493" t="n"/>
      <c r="D3" s="493" t="n"/>
      <c r="E3" s="493" t="n"/>
      <c r="F3" s="493" t="n"/>
      <c r="G3" s="493" t="n"/>
      <c r="H3" s="493" t="n"/>
      <c r="I3" s="493" t="n"/>
    </row>
    <row r="4" ht="15" customHeight="1" s="248">
      <c r="A4" s="525" t="inlineStr">
        <is>
          <t>Container ID: GTM-XXXXXXX | Domain: truongvietanh.com + forms.truongvietanh.com</t>
        </is>
      </c>
      <c r="B4" s="493" t="n"/>
      <c r="C4" s="493" t="n"/>
      <c r="D4" s="493" t="n"/>
      <c r="E4" s="493" t="n"/>
      <c r="F4" s="493" t="n"/>
      <c r="G4" s="493" t="n"/>
      <c r="H4" s="493" t="n"/>
      <c r="I4" s="493" t="n"/>
    </row>
    <row r="5" ht="15" customHeight="1" s="248">
      <c r="A5" s="526" t="n"/>
      <c r="B5" s="526" t="n"/>
      <c r="C5" s="526" t="n"/>
      <c r="D5" s="526" t="n"/>
      <c r="E5" s="526" t="n"/>
      <c r="F5" s="526" t="n"/>
      <c r="G5" s="526" t="n"/>
      <c r="H5" s="526" t="n"/>
      <c r="I5" s="493" t="n"/>
    </row>
    <row r="6" ht="23.85" customHeight="1" s="248">
      <c r="A6" s="495" t="inlineStr">
        <is>
          <t>Tag Name</t>
        </is>
      </c>
      <c r="B6" s="495" t="inlineStr">
        <is>
          <t>Tag Type</t>
        </is>
      </c>
      <c r="C6" s="495" t="inlineStr">
        <is>
          <t>Trigger</t>
        </is>
      </c>
      <c r="D6" s="495" t="inlineStr">
        <is>
          <t>Fire trên trang nào</t>
        </is>
      </c>
      <c r="E6" s="495" t="inlineStr">
        <is>
          <t>Variables sử dụng</t>
        </is>
      </c>
      <c r="F6" s="495" t="inlineStr">
        <is>
          <t>Mục đích</t>
        </is>
      </c>
      <c r="G6" s="495" t="inlineStr">
        <is>
          <t>Priority</t>
        </is>
      </c>
      <c r="H6" s="495" t="inlineStr">
        <is>
          <t>Trạng thái</t>
        </is>
      </c>
      <c r="I6" s="493" t="n"/>
    </row>
    <row r="7" ht="23.85" customHeight="1" s="248">
      <c r="A7" s="499" t="inlineStr">
        <is>
          <t>GA4 - Config</t>
        </is>
      </c>
      <c r="B7" s="499" t="inlineStr">
        <is>
          <t>Google Analytics: GA4 Configuration</t>
        </is>
      </c>
      <c r="C7" s="499" t="inlineStr">
        <is>
          <t>All Pages</t>
        </is>
      </c>
      <c r="D7" s="499" t="inlineStr">
        <is>
          <t>Tất cả trang truongvietanh.com + forms.*</t>
        </is>
      </c>
      <c r="E7" s="499" t="inlineStr">
        <is>
          <t>GA4 Measurement ID (G-XXXXXXXX)</t>
        </is>
      </c>
      <c r="F7" s="499" t="inlineStr">
        <is>
          <t>Tracking cơ bản: pageview, scroll, click</t>
        </is>
      </c>
      <c r="G7" s="499" t="inlineStr">
        <is>
          <t>Cao</t>
        </is>
      </c>
      <c r="H7" s="499" t="inlineStr">
        <is>
          <t>⬜ Cần tạo</t>
        </is>
      </c>
      <c r="I7" s="493" t="n"/>
    </row>
    <row r="8" ht="23.85" customHeight="1" s="248">
      <c r="A8" s="500" t="inlineStr">
        <is>
          <t>GA4 - Form Submit</t>
        </is>
      </c>
      <c r="B8" s="500" t="inlineStr">
        <is>
          <t>GA4 Event</t>
        </is>
      </c>
      <c r="C8" s="500" t="inlineStr">
        <is>
          <t>Form Submission (custom)</t>
        </is>
      </c>
      <c r="D8" s="500" t="inlineStr">
        <is>
          <t>Tất cả trang có form GHL</t>
        </is>
      </c>
      <c r="E8" s="500" t="inlineStr">
        <is>
          <t>form_id, form_name, page_path, campus, grade_level</t>
        </is>
      </c>
      <c r="F8" s="500" t="inlineStr">
        <is>
          <t>Track form submissions = leads</t>
        </is>
      </c>
      <c r="G8" s="500" t="inlineStr">
        <is>
          <t>Cao</t>
        </is>
      </c>
      <c r="H8" s="500" t="inlineStr">
        <is>
          <t>⬜</t>
        </is>
      </c>
      <c r="I8" s="493" t="n"/>
    </row>
    <row r="9" ht="15" customHeight="1" s="248">
      <c r="A9" s="499" t="inlineStr">
        <is>
          <t>GA4 - Tour Booked</t>
        </is>
      </c>
      <c r="B9" s="499" t="inlineStr">
        <is>
          <t>GA4 Event</t>
        </is>
      </c>
      <c r="C9" s="499" t="inlineStr">
        <is>
          <t>URL contains /cam-on + /xac-nhan</t>
        </is>
      </c>
      <c r="D9" s="499" t="inlineStr">
        <is>
          <t>Thank You + Confirmation pages</t>
        </is>
      </c>
      <c r="E9" s="499" t="inlineStr">
        <is>
          <t>tour_date, campus, source, medium</t>
        </is>
      </c>
      <c r="F9" s="499" t="inlineStr">
        <is>
          <t>Track tour bookings = conversions</t>
        </is>
      </c>
      <c r="G9" s="499" t="inlineStr">
        <is>
          <t>Cao</t>
        </is>
      </c>
      <c r="H9" s="499" t="inlineStr">
        <is>
          <t>⬜</t>
        </is>
      </c>
      <c r="I9" s="493" t="n"/>
    </row>
    <row r="10" ht="15" customHeight="1" s="248">
      <c r="A10" s="500" t="inlineStr">
        <is>
          <t>GA4 - Scroll Depth</t>
        </is>
      </c>
      <c r="B10" s="500" t="inlineStr">
        <is>
          <t>GA4 Event</t>
        </is>
      </c>
      <c r="C10" s="500" t="inlineStr">
        <is>
          <t>Scroll Depth (25, 50, 75, 90%)</t>
        </is>
      </c>
      <c r="D10" s="500" t="inlineStr">
        <is>
          <t>Landing pages chính</t>
        </is>
      </c>
      <c r="E10" s="500" t="inlineStr">
        <is>
          <t>scroll_threshold, page_path</t>
        </is>
      </c>
      <c r="F10" s="500" t="inlineStr">
        <is>
          <t>Đo mức độ quan tâm nội dung</t>
        </is>
      </c>
      <c r="G10" s="500" t="inlineStr">
        <is>
          <t>Trung bình</t>
        </is>
      </c>
      <c r="H10" s="500" t="inlineStr">
        <is>
          <t>⬜</t>
        </is>
      </c>
      <c r="I10" s="493" t="n"/>
    </row>
    <row r="11" ht="15" customHeight="1" s="248">
      <c r="A11" s="499" t="inlineStr">
        <is>
          <t>GA4 - Video Play</t>
        </is>
      </c>
      <c r="B11" s="499" t="inlineStr">
        <is>
          <t>GA4 Event</t>
        </is>
      </c>
      <c r="C11" s="499" t="inlineStr">
        <is>
          <t>YouTube Video (start, 25%, 50%, 75%, 100%)</t>
        </is>
      </c>
      <c r="D11" s="499" t="inlineStr">
        <is>
          <t>Trang có video embed</t>
        </is>
      </c>
      <c r="E11" s="499" t="inlineStr">
        <is>
          <t>video_title, video_percent, page_path</t>
        </is>
      </c>
      <c r="F11" s="499" t="inlineStr">
        <is>
          <t>Track video engagement</t>
        </is>
      </c>
      <c r="G11" s="499" t="inlineStr">
        <is>
          <t>Trung bình</t>
        </is>
      </c>
      <c r="H11" s="499" t="inlineStr">
        <is>
          <t>⬜</t>
        </is>
      </c>
      <c r="I11" s="493" t="n"/>
    </row>
    <row r="12" ht="23.85" customHeight="1" s="248">
      <c r="A12" s="500" t="inlineStr">
        <is>
          <t>GA4 - CTA Click</t>
        </is>
      </c>
      <c r="B12" s="500" t="inlineStr">
        <is>
          <t>GA4 Event</t>
        </is>
      </c>
      <c r="C12" s="500" t="inlineStr">
        <is>
          <t>Click on elements matching CSS .cta-button</t>
        </is>
      </c>
      <c r="D12" s="500" t="inlineStr">
        <is>
          <t>Tất cả landing pages</t>
        </is>
      </c>
      <c r="E12" s="500" t="inlineStr">
        <is>
          <t>click_text, click_url, page_path</t>
        </is>
      </c>
      <c r="F12" s="500" t="inlineStr">
        <is>
          <t>Track CTA effectiveness</t>
        </is>
      </c>
      <c r="G12" s="500" t="inlineStr">
        <is>
          <t>Trung bình</t>
        </is>
      </c>
      <c r="H12" s="500" t="inlineStr">
        <is>
          <t>⬜</t>
        </is>
      </c>
      <c r="I12" s="493" t="n"/>
    </row>
    <row r="13" ht="15" customHeight="1" s="248">
      <c r="A13" s="499" t="inlineStr">
        <is>
          <t>GA4 - PDF Download</t>
        </is>
      </c>
      <c r="B13" s="499" t="inlineStr">
        <is>
          <t>GA4 Event</t>
        </is>
      </c>
      <c r="C13" s="499" t="inlineStr">
        <is>
          <t>Click on links ending .pdf</t>
        </is>
      </c>
      <c r="D13" s="499" t="inlineStr">
        <is>
          <t>Trang chương trình (Trang 4)</t>
        </is>
      </c>
      <c r="E13" s="499" t="inlineStr">
        <is>
          <t>file_name, page_path</t>
        </is>
      </c>
      <c r="F13" s="499" t="inlineStr">
        <is>
          <t>Track lead magnet downloads</t>
        </is>
      </c>
      <c r="G13" s="499" t="inlineStr">
        <is>
          <t>Trung bình</t>
        </is>
      </c>
      <c r="H13" s="499" t="inlineStr">
        <is>
          <t>⬜</t>
        </is>
      </c>
      <c r="I13" s="493" t="n"/>
    </row>
    <row r="14" ht="23.85" customHeight="1" s="248">
      <c r="A14" s="500" t="inlineStr">
        <is>
          <t>Meta Pixel - Base</t>
        </is>
      </c>
      <c r="B14" s="500" t="inlineStr">
        <is>
          <t>Custom HTML (fbq init + PageView)</t>
        </is>
      </c>
      <c r="C14" s="500" t="inlineStr">
        <is>
          <t>All Pages</t>
        </is>
      </c>
      <c r="D14" s="500" t="inlineStr">
        <is>
          <t>Tất cả trang</t>
        </is>
      </c>
      <c r="E14" s="500" t="inlineStr">
        <is>
          <t>Pixel ID: XXXXXXXXXX</t>
        </is>
      </c>
      <c r="F14" s="500" t="inlineStr">
        <is>
          <t>Base tracking + PageView event</t>
        </is>
      </c>
      <c r="G14" s="500" t="inlineStr">
        <is>
          <t>Cao</t>
        </is>
      </c>
      <c r="H14" s="500" t="inlineStr">
        <is>
          <t>⬜</t>
        </is>
      </c>
      <c r="I14" s="493" t="n"/>
    </row>
    <row r="15" ht="15" customHeight="1" s="248">
      <c r="A15" s="499" t="inlineStr">
        <is>
          <t>Meta Pixel - ViewContent</t>
        </is>
      </c>
      <c r="B15" s="499" t="inlineStr">
        <is>
          <t>Custom HTML (fbq track ViewContent)</t>
        </is>
      </c>
      <c r="C15" s="499" t="inlineStr">
        <is>
          <t>Scroll 50% OR Time on page &gt;30s</t>
        </is>
      </c>
      <c r="D15" s="499" t="inlineStr">
        <is>
          <t>Landing pages chính (Trang 1, 3, 4, 5)</t>
        </is>
      </c>
      <c r="E15" s="499" t="inlineStr">
        <is>
          <t>content_name (tên trang), content_category (cấp học), content_ids (campus)</t>
        </is>
      </c>
      <c r="F15" s="499" t="inlineStr">
        <is>
          <t>Đánh dấu người xem nội dung = quan tâm</t>
        </is>
      </c>
      <c r="G15" s="499" t="inlineStr">
        <is>
          <t>Cao</t>
        </is>
      </c>
      <c r="H15" s="499" t="inlineStr">
        <is>
          <t>⬜</t>
        </is>
      </c>
      <c r="I15" s="493" t="n"/>
    </row>
    <row r="16" ht="15" customHeight="1" s="248">
      <c r="A16" s="500" t="inlineStr">
        <is>
          <t>Meta Pixel - InitiateCheckout</t>
        </is>
      </c>
      <c r="B16" s="500" t="inlineStr">
        <is>
          <t>Custom HTML (fbq track InitiateCheckout)</t>
        </is>
      </c>
      <c r="C16" s="500" t="inlineStr">
        <is>
          <t>Form field focus (bất kỳ field nào)</t>
        </is>
      </c>
      <c r="D16" s="500" t="inlineStr">
        <is>
          <t>Trang có form</t>
        </is>
      </c>
      <c r="E16" s="500" t="inlineStr">
        <is>
          <t>content_name, num_items (số fields đã điền)</t>
        </is>
      </c>
      <c r="F16" s="500" t="inlineStr">
        <is>
          <t>Track form start = ý định cao</t>
        </is>
      </c>
      <c r="G16" s="500" t="inlineStr">
        <is>
          <t>Cao</t>
        </is>
      </c>
      <c r="H16" s="500" t="inlineStr">
        <is>
          <t>⬜</t>
        </is>
      </c>
      <c r="I16" s="493" t="n"/>
    </row>
    <row r="17" ht="23.85" customHeight="1" s="248">
      <c r="A17" s="499" t="inlineStr">
        <is>
          <t>Meta Pixel - Lead</t>
        </is>
      </c>
      <c r="B17" s="499" t="inlineStr">
        <is>
          <t>Custom HTML (fbq track Lead)</t>
        </is>
      </c>
      <c r="C17" s="499" t="inlineStr">
        <is>
          <t>Form submit thành công</t>
        </is>
      </c>
      <c r="D17" s="499" t="inlineStr">
        <is>
          <t>Tất cả form submission</t>
        </is>
      </c>
      <c r="E17" s="499" t="inlineStr">
        <is>
          <t>content_name (form name), content_category (cấp học), value (estimated value), currency (VND)</t>
        </is>
      </c>
      <c r="F17" s="499" t="inlineStr">
        <is>
          <t>Track lead = conversion chính</t>
        </is>
      </c>
      <c r="G17" s="499" t="inlineStr">
        <is>
          <t>Cao</t>
        </is>
      </c>
      <c r="H17" s="499" t="inlineStr">
        <is>
          <t>⬜</t>
        </is>
      </c>
      <c r="I17" s="493" t="n"/>
    </row>
    <row r="18" ht="15" customHeight="1" s="248">
      <c r="A18" s="500" t="inlineStr">
        <is>
          <t>Meta Pixel - Schedule (Tour)</t>
        </is>
      </c>
      <c r="B18" s="500" t="inlineStr">
        <is>
          <t>Custom HTML (fbq track Schedule)</t>
        </is>
      </c>
      <c r="C18" s="500" t="inlineStr">
        <is>
          <t>URL contains /xac-nhan-tour</t>
        </is>
      </c>
      <c r="D18" s="500" t="inlineStr">
        <is>
          <t>Tour confirmation pages</t>
        </is>
      </c>
      <c r="E18" s="500" t="inlineStr">
        <is>
          <t>content_name (campus), appointment_date</t>
        </is>
      </c>
      <c r="F18" s="500" t="inlineStr">
        <is>
          <t>Track tour booking = high-value conversion</t>
        </is>
      </c>
      <c r="G18" s="500" t="inlineStr">
        <is>
          <t>Cao</t>
        </is>
      </c>
      <c r="H18" s="500" t="inlineStr">
        <is>
          <t>⬜</t>
        </is>
      </c>
      <c r="I18" s="493" t="n"/>
    </row>
    <row r="19">
      <c r="A19" s="499" t="inlineStr">
        <is>
          <t>Meta Pixel - Purchase (Enroll)</t>
        </is>
      </c>
      <c r="B19" s="499" t="inlineStr">
        <is>
          <t>Custom HTML (fbq track Purchase)</t>
        </is>
      </c>
      <c r="C19" s="499" t="inlineStr">
        <is>
          <t>Enrollment confirmation page</t>
        </is>
      </c>
      <c r="D19" s="499" t="inlineStr">
        <is>
          <t>Enrollment success page</t>
        </is>
      </c>
      <c r="E19" s="499" t="inlineStr">
        <is>
          <t>value (học phí năm), currency (VND), content_name (campus + grade)</t>
        </is>
      </c>
      <c r="F19" s="499" t="inlineStr">
        <is>
          <t>Track enrollment = ultimate conversion</t>
        </is>
      </c>
      <c r="G19" s="499" t="inlineStr">
        <is>
          <t>Cao</t>
        </is>
      </c>
      <c r="H19" s="499" t="inlineStr">
        <is>
          <t>⬜</t>
        </is>
      </c>
      <c r="I19" s="493" t="n"/>
    </row>
    <row r="20">
      <c r="A20" s="500" t="inlineStr">
        <is>
          <t>Meta Pixel - AddToCart (Download)</t>
        </is>
      </c>
      <c r="B20" s="500" t="inlineStr">
        <is>
          <t>Custom HTML (fbq track AddToCart)</t>
        </is>
      </c>
      <c r="C20" s="500" t="inlineStr">
        <is>
          <t>PDF download click</t>
        </is>
      </c>
      <c r="D20" s="500" t="inlineStr">
        <is>
          <t>Trang 4 chương trình</t>
        </is>
      </c>
      <c r="E20" s="500" t="inlineStr">
        <is>
          <t>content_name (PDF name), content_type (lead_magnet)</t>
        </is>
      </c>
      <c r="F20" s="500" t="inlineStr">
        <is>
          <t>Track PDF download = medium intent</t>
        </is>
      </c>
      <c r="G20" s="500" t="inlineStr">
        <is>
          <t>Trung bình</t>
        </is>
      </c>
      <c r="H20" s="500" t="inlineStr">
        <is>
          <t>⬜</t>
        </is>
      </c>
      <c r="I20" s="493" t="n"/>
    </row>
    <row r="21" ht="15" customHeight="1" s="248">
      <c r="A21" s="499" t="inlineStr">
        <is>
          <t>Meta CAPI - Lead (server)</t>
        </is>
      </c>
      <c r="B21" s="499" t="inlineStr">
        <is>
          <t>HTTP Request (server-side)</t>
        </is>
      </c>
      <c r="C21" s="499" t="inlineStr">
        <is>
          <t>GHL webhook: form submit</t>
        </is>
      </c>
      <c r="D21" s="499" t="inlineStr">
        <is>
          <t>Server (không phải browser)</t>
        </is>
      </c>
      <c r="E21" s="499" t="inlineStr">
        <is>
          <t>event_name=Lead, email (hashed), phone (hashed), fbc, fbp, event_source_url</t>
        </is>
      </c>
      <c r="F21" s="499" t="inlineStr">
        <is>
          <t>Backup tracking cho iOS 14+ browsers block pixel</t>
        </is>
      </c>
      <c r="G21" s="499" t="inlineStr">
        <is>
          <t>Cao</t>
        </is>
      </c>
      <c r="H21" s="499" t="inlineStr">
        <is>
          <t>⬜</t>
        </is>
      </c>
      <c r="I21" s="493" t="n"/>
    </row>
    <row r="22" ht="15" customHeight="1" s="248">
      <c r="A22" s="500" t="inlineStr">
        <is>
          <t>Meta CAPI - Purchase (server)</t>
        </is>
      </c>
      <c r="B22" s="500" t="inlineStr">
        <is>
          <t>HTTP Request (server-side)</t>
        </is>
      </c>
      <c r="C22" s="500" t="inlineStr">
        <is>
          <t>GHL webhook: enrollment confirmed</t>
        </is>
      </c>
      <c r="D22" s="500" t="inlineStr">
        <is>
          <t>Server</t>
        </is>
      </c>
      <c r="E22" s="500" t="inlineStr">
        <is>
          <t>event_name=Purchase, value, currency, email, phone</t>
        </is>
      </c>
      <c r="F22" s="500" t="inlineStr">
        <is>
          <t>Server-side enrollment tracking</t>
        </is>
      </c>
      <c r="G22" s="500" t="inlineStr">
        <is>
          <t>Cao</t>
        </is>
      </c>
      <c r="H22" s="500" t="inlineStr">
        <is>
          <t>⬜</t>
        </is>
      </c>
      <c r="I22" s="526" t="n"/>
    </row>
    <row r="23" ht="23.85" customHeight="1" s="248">
      <c r="A23" s="499" t="inlineStr">
        <is>
          <t>TikTok Pixel - Base</t>
        </is>
      </c>
      <c r="B23" s="499" t="inlineStr">
        <is>
          <t>Custom HTML (ttq init + PageView)</t>
        </is>
      </c>
      <c r="C23" s="499" t="inlineStr">
        <is>
          <t>All Pages on forms.*</t>
        </is>
      </c>
      <c r="D23" s="499" t="inlineStr">
        <is>
          <t>Tất cả landing pages</t>
        </is>
      </c>
      <c r="E23" s="499" t="inlineStr">
        <is>
          <t>Pixel ID: XXXXXXXXXX</t>
        </is>
      </c>
      <c r="F23" s="499" t="inlineStr">
        <is>
          <t>Base tracking</t>
        </is>
      </c>
      <c r="G23" s="499" t="inlineStr">
        <is>
          <t>Cao</t>
        </is>
      </c>
      <c r="H23" s="499" t="inlineStr">
        <is>
          <t>⬜</t>
        </is>
      </c>
      <c r="I23" s="527" t="n"/>
    </row>
    <row r="24" ht="23.85" customHeight="1" s="248">
      <c r="A24" s="500" t="inlineStr">
        <is>
          <t>TikTok Pixel - SubmitForm</t>
        </is>
      </c>
      <c r="B24" s="500" t="inlineStr">
        <is>
          <t>Custom HTML (ttq track SubmitForm)</t>
        </is>
      </c>
      <c r="C24" s="500" t="inlineStr">
        <is>
          <t>Form submit</t>
        </is>
      </c>
      <c r="D24" s="500" t="inlineStr">
        <is>
          <t>Tất cả form</t>
        </is>
      </c>
      <c r="E24" s="500" t="inlineStr">
        <is>
          <t>content_name, content_type</t>
        </is>
      </c>
      <c r="F24" s="500" t="inlineStr">
        <is>
          <t>Track leads từ TikTok Ads</t>
        </is>
      </c>
      <c r="G24" s="500" t="inlineStr">
        <is>
          <t>Cao</t>
        </is>
      </c>
      <c r="H24" s="500" t="inlineStr">
        <is>
          <t>⬜</t>
        </is>
      </c>
      <c r="I24" s="527" t="n"/>
    </row>
    <row r="25" ht="23.85" customHeight="1" s="248">
      <c r="A25" s="499" t="inlineStr">
        <is>
          <t>TikTok Pixel - CompleteRegistration</t>
        </is>
      </c>
      <c r="B25" s="499" t="inlineStr">
        <is>
          <t>Custom HTML (ttq track CompleteRegistration)</t>
        </is>
      </c>
      <c r="C25" s="499" t="inlineStr">
        <is>
          <t>Tour booked</t>
        </is>
      </c>
      <c r="D25" s="499" t="inlineStr">
        <is>
          <t>Thank You pages</t>
        </is>
      </c>
      <c r="E25" s="499" t="inlineStr">
        <is>
          <t>content_name (campus)</t>
        </is>
      </c>
      <c r="F25" s="499" t="inlineStr">
        <is>
          <t>Track tour bookings từ TikTok</t>
        </is>
      </c>
      <c r="G25" s="499" t="inlineStr">
        <is>
          <t>Cao</t>
        </is>
      </c>
      <c r="H25" s="499" t="inlineStr">
        <is>
          <t>⬜</t>
        </is>
      </c>
      <c r="I25" s="527" t="n"/>
    </row>
    <row r="26" ht="23.85" customHeight="1" s="248">
      <c r="A26" s="500" t="inlineStr">
        <is>
          <t>Zalo Pixel - Base</t>
        </is>
      </c>
      <c r="B26" s="500" t="inlineStr">
        <is>
          <t>Custom HTML (Zalo tracking script)</t>
        </is>
      </c>
      <c r="C26" s="500" t="inlineStr">
        <is>
          <t>All Pages</t>
        </is>
      </c>
      <c r="D26" s="500" t="inlineStr">
        <is>
          <t>Tất cả trang</t>
        </is>
      </c>
      <c r="E26" s="500" t="inlineStr">
        <is>
          <t>Zalo Pixel ID</t>
        </is>
      </c>
      <c r="F26" s="500" t="inlineStr">
        <is>
          <t>Track Zalo Ads conversions</t>
        </is>
      </c>
      <c r="G26" s="500" t="inlineStr">
        <is>
          <t>Cao</t>
        </is>
      </c>
      <c r="H26" s="500" t="inlineStr">
        <is>
          <t>⬜</t>
        </is>
      </c>
      <c r="I26" s="527" t="n"/>
    </row>
    <row r="27" ht="23.85" customHeight="1" s="248">
      <c r="A27" s="499" t="inlineStr">
        <is>
          <t>Zalo Pixel - Conversion</t>
        </is>
      </c>
      <c r="B27" s="499" t="inlineStr">
        <is>
          <t>Custom HTML (Zalo conversion)</t>
        </is>
      </c>
      <c r="C27" s="499" t="inlineStr">
        <is>
          <t>Form submit + Tour booked</t>
        </is>
      </c>
      <c r="D27" s="499" t="inlineStr">
        <is>
          <t>Form + Thank You pages</t>
        </is>
      </c>
      <c r="E27" s="499" t="inlineStr">
        <is>
          <t>conversion_type (lead/tour/enroll)</t>
        </is>
      </c>
      <c r="F27" s="499" t="inlineStr">
        <is>
          <t>Track Zalo Ads ROI</t>
        </is>
      </c>
      <c r="G27" s="499" t="inlineStr">
        <is>
          <t>Cao</t>
        </is>
      </c>
      <c r="H27" s="499" t="inlineStr">
        <is>
          <t>⬜</t>
        </is>
      </c>
      <c r="I27" s="527" t="n"/>
    </row>
    <row r="28" ht="23.85" customHeight="1" s="248">
      <c r="A28" s="500" t="inlineStr">
        <is>
          <t>Google Ads - Conversion (Lead)</t>
        </is>
      </c>
      <c r="B28" s="500" t="inlineStr">
        <is>
          <t>Google Ads Conversion Tracking</t>
        </is>
      </c>
      <c r="C28" s="500" t="inlineStr">
        <is>
          <t>Form submit</t>
        </is>
      </c>
      <c r="D28" s="500" t="inlineStr">
        <is>
          <t>Thank You pages</t>
        </is>
      </c>
      <c r="E28" s="500" t="inlineStr">
        <is>
          <t>Conversion ID, Conversion Label, Value</t>
        </is>
      </c>
      <c r="F28" s="500" t="inlineStr">
        <is>
          <t>Track Google Ads lead conversions</t>
        </is>
      </c>
      <c r="G28" s="500" t="inlineStr">
        <is>
          <t>Cao</t>
        </is>
      </c>
      <c r="H28" s="500" t="inlineStr">
        <is>
          <t>⬜</t>
        </is>
      </c>
      <c r="I28" s="527" t="n"/>
    </row>
    <row r="29" ht="15" customHeight="1" s="248">
      <c r="A29" s="499" t="inlineStr">
        <is>
          <t>Google Ads - Conversion (Tour)</t>
        </is>
      </c>
      <c r="B29" s="499" t="inlineStr">
        <is>
          <t>Google Ads Conversion Tracking</t>
        </is>
      </c>
      <c r="C29" s="499" t="inlineStr">
        <is>
          <t>Tour booked</t>
        </is>
      </c>
      <c r="D29" s="499" t="inlineStr">
        <is>
          <t>Tour confirmation pages</t>
        </is>
      </c>
      <c r="E29" s="499" t="inlineStr">
        <is>
          <t>Conversion ID, Conversion Label, Value (higher)</t>
        </is>
      </c>
      <c r="F29" s="499" t="inlineStr">
        <is>
          <t>Track tour bookings từ Google</t>
        </is>
      </c>
      <c r="G29" s="499" t="inlineStr">
        <is>
          <t>Cao</t>
        </is>
      </c>
      <c r="H29" s="499" t="inlineStr">
        <is>
          <t>⬜</t>
        </is>
      </c>
      <c r="I29" s="527" t="n"/>
    </row>
    <row r="30" ht="15" customHeight="1" s="248">
      <c r="A30" s="500" t="inlineStr">
        <is>
          <t>Google Ads - Remarketing</t>
        </is>
      </c>
      <c r="B30" s="500" t="inlineStr">
        <is>
          <t>Google Ads Remarketing</t>
        </is>
      </c>
      <c r="C30" s="500" t="inlineStr">
        <is>
          <t>All Pages</t>
        </is>
      </c>
      <c r="D30" s="500" t="inlineStr">
        <is>
          <t>Tất cả trang</t>
        </is>
      </c>
      <c r="E30" s="500" t="inlineStr">
        <is>
          <t>Conversion ID</t>
        </is>
      </c>
      <c r="F30" s="500" t="inlineStr">
        <is>
          <t>Build Google Ads remarketing audiences</t>
        </is>
      </c>
      <c r="G30" s="500" t="inlineStr">
        <is>
          <t>Cao</t>
        </is>
      </c>
      <c r="H30" s="500" t="inlineStr">
        <is>
          <t>⬜</t>
        </is>
      </c>
      <c r="I30" s="527" t="n"/>
    </row>
    <row r="31" ht="15" customHeight="1" s="248">
      <c r="A31" s="499" t="inlineStr">
        <is>
          <t>Google Ads - Enhanced Conv.</t>
        </is>
      </c>
      <c r="B31" s="499" t="inlineStr">
        <is>
          <t>Google Ads Enhanced Conversions</t>
        </is>
      </c>
      <c r="C31" s="499" t="inlineStr">
        <is>
          <t>Form submit (with email/phone)</t>
        </is>
      </c>
      <c r="D31" s="499" t="inlineStr">
        <is>
          <t>Form pages</t>
        </is>
      </c>
      <c r="E31" s="499" t="inlineStr">
        <is>
          <t>email (hashed), phone_number (hashed)</t>
        </is>
      </c>
      <c r="F31" s="499" t="inlineStr">
        <is>
          <t>Match conversions chính xác hơn</t>
        </is>
      </c>
      <c r="G31" s="499" t="inlineStr">
        <is>
          <t>Cao</t>
        </is>
      </c>
      <c r="H31" s="499" t="inlineStr">
        <is>
          <t>⬜</t>
        </is>
      </c>
      <c r="I31" s="527" t="n"/>
    </row>
    <row r="32">
      <c r="A32" s="493" t="n"/>
      <c r="B32" s="493" t="n"/>
      <c r="C32" s="493" t="n"/>
      <c r="D32" s="493" t="n"/>
      <c r="E32" s="493" t="n"/>
      <c r="F32" s="493" t="n"/>
      <c r="G32" s="493" t="n"/>
      <c r="H32" s="493" t="n"/>
      <c r="I32" s="493" t="n"/>
    </row>
    <row r="33">
      <c r="A33" s="493" t="n"/>
      <c r="B33" s="493" t="n"/>
      <c r="C33" s="493" t="n"/>
      <c r="D33" s="493" t="n"/>
      <c r="E33" s="493" t="n"/>
      <c r="F33" s="493" t="n"/>
      <c r="G33" s="493" t="n"/>
      <c r="H33" s="493" t="n"/>
      <c r="I33" s="493" t="n"/>
    </row>
    <row r="34" ht="15" customHeight="1" s="248">
      <c r="A34" s="528" t="inlineStr">
        <is>
          <t>B. GTM TRIGGERS — DANH SÁCH ĐẦY ĐỦ</t>
        </is>
      </c>
      <c r="B34" s="493" t="n"/>
      <c r="C34" s="493" t="n"/>
      <c r="D34" s="493" t="n"/>
      <c r="E34" s="493" t="n"/>
      <c r="F34" s="493" t="n"/>
      <c r="G34" s="493" t="n"/>
      <c r="H34" s="493" t="n"/>
      <c r="I34" s="493" t="n"/>
    </row>
    <row r="35" ht="15" customHeight="1" s="248">
      <c r="A35" s="526" t="n"/>
      <c r="B35" s="526" t="n"/>
      <c r="C35" s="526" t="n"/>
      <c r="D35" s="526" t="n"/>
      <c r="E35" s="526" t="n"/>
      <c r="F35" s="526" t="n"/>
      <c r="G35" s="526" t="n"/>
      <c r="H35" s="526" t="n"/>
      <c r="I35" s="493" t="n"/>
    </row>
    <row r="36" ht="23.85" customHeight="1" s="248">
      <c r="A36" s="495" t="inlineStr">
        <is>
          <t>Trigger Name</t>
        </is>
      </c>
      <c r="B36" s="495" t="inlineStr">
        <is>
          <t>Trigger Type</t>
        </is>
      </c>
      <c r="C36" s="495" t="inlineStr">
        <is>
          <t>Điều kiện (Conditions)</t>
        </is>
      </c>
      <c r="D36" s="495" t="inlineStr">
        <is>
          <t>Fire trên trang nào</t>
        </is>
      </c>
      <c r="E36" s="495" t="inlineStr">
        <is>
          <t>Tags sử dụng trigger này</t>
        </is>
      </c>
      <c r="F36" s="495" t="inlineStr">
        <is>
          <t>Ghi chú</t>
        </is>
      </c>
      <c r="G36" s="527" t="n"/>
      <c r="H36" s="527" t="n"/>
      <c r="I36" s="493" t="n"/>
    </row>
    <row r="37" ht="23.85" customHeight="1" s="248">
      <c r="A37" s="499" t="inlineStr">
        <is>
          <t>All Pages</t>
        </is>
      </c>
      <c r="B37" s="499" t="inlineStr">
        <is>
          <t>Page View</t>
        </is>
      </c>
      <c r="C37" s="499" t="inlineStr">
        <is>
          <t>Không có điều kiện — fire trên mọi trang</t>
        </is>
      </c>
      <c r="D37" s="499" t="inlineStr">
        <is>
          <t>Tất cả</t>
        </is>
      </c>
      <c r="E37" s="499" t="inlineStr">
        <is>
          <t>GA4 Config, Meta Pixel Base, TikTok Base, Zalo Base, Google Ads Remarketing</t>
        </is>
      </c>
      <c r="F37" s="499" t="inlineStr">
        <is>
          <t>Trigger mặc định</t>
        </is>
      </c>
      <c r="G37" s="527" t="n"/>
      <c r="H37" s="527" t="n"/>
      <c r="I37" s="493" t="n"/>
    </row>
    <row r="38" ht="23.85" customHeight="1" s="248">
      <c r="A38" s="500" t="inlineStr">
        <is>
          <t>Form Pages Only</t>
        </is>
      </c>
      <c r="B38" s="500" t="inlineStr">
        <is>
          <t>Page View</t>
        </is>
      </c>
      <c r="C38" s="500" t="inlineStr">
        <is>
          <t>Page URL contains forms.truongvietanh.com
AND Page URL NOT contains /cam-on</t>
        </is>
      </c>
      <c r="D38" s="500" t="inlineStr">
        <is>
          <t>Landing pages có form</t>
        </is>
      </c>
      <c r="E38" s="500" t="inlineStr">
        <is>
          <t>Meta InitiateCheckout (khi focus field)</t>
        </is>
      </c>
      <c r="F38" s="500" t="inlineStr">
        <is>
          <t>Chỉ load form tracking trên trang có form</t>
        </is>
      </c>
      <c r="G38" s="527" t="n"/>
      <c r="H38" s="527" t="n"/>
      <c r="I38" s="493" t="n"/>
    </row>
    <row r="39" ht="23.85" customHeight="1" s="248">
      <c r="A39" s="499" t="inlineStr">
        <is>
          <t>Thank You Pages</t>
        </is>
      </c>
      <c r="B39" s="499" t="inlineStr">
        <is>
          <t>Page View</t>
        </is>
      </c>
      <c r="C39" s="499" t="inlineStr">
        <is>
          <t>Page URL contains /cam-on
OR Page URL contains /xac-nhan</t>
        </is>
      </c>
      <c r="D39" s="499" t="inlineStr">
        <is>
          <t>Các trang Thank You</t>
        </is>
      </c>
      <c r="E39" s="499" t="inlineStr">
        <is>
          <t>GA4 Tour Booked, Meta Lead, Meta Schedule, TikTok SubmitForm, Google Ads Conversion</t>
        </is>
      </c>
      <c r="F39" s="499" t="inlineStr">
        <is>
          <t>Conversion pages</t>
        </is>
      </c>
      <c r="G39" s="527" t="n"/>
      <c r="H39" s="527" t="n"/>
      <c r="I39" s="493" t="n"/>
    </row>
    <row r="40" ht="23.85" customHeight="1" s="248">
      <c r="A40" s="500" t="inlineStr">
        <is>
          <t>Form Submit Success</t>
        </is>
      </c>
      <c r="B40" s="500" t="inlineStr">
        <is>
          <t>Custom Event</t>
        </is>
      </c>
      <c r="C40" s="500" t="inlineStr">
        <is>
          <t>Event name = "ghl_form_submit"
(GHL fires custom event khi form submit thành công)</t>
        </is>
      </c>
      <c r="D40" s="500" t="inlineStr">
        <is>
          <t>Tất cả form GHL</t>
        </is>
      </c>
      <c r="E40" s="500" t="inlineStr">
        <is>
          <t>GA4 Form Submit, Meta Lead, TikTok SubmitForm, Zalo Conversion</t>
        </is>
      </c>
      <c r="F40" s="500" t="inlineStr">
        <is>
          <t>Custom event từ GHL form callback</t>
        </is>
      </c>
      <c r="G40" s="527" t="n"/>
      <c r="H40" s="527" t="n"/>
      <c r="I40" s="493" t="n"/>
    </row>
    <row r="41" ht="23.85" customHeight="1" s="248">
      <c r="A41" s="499" t="inlineStr">
        <is>
          <t>Form Field Focus</t>
        </is>
      </c>
      <c r="B41" s="499" t="inlineStr">
        <is>
          <t>Element Visibility / Click</t>
        </is>
      </c>
      <c r="C41" s="499" t="inlineStr">
        <is>
          <t>CSS selector: input[name="first_name"]:focus
OR textarea:focus</t>
        </is>
      </c>
      <c r="D41" s="499" t="inlineStr">
        <is>
          <t>Trang có form</t>
        </is>
      </c>
      <c r="E41" s="499" t="inlineStr">
        <is>
          <t>Meta InitiateCheckout</t>
        </is>
      </c>
      <c r="F41" s="499" t="inlineStr">
        <is>
          <t>Track khi user bắt đầu điền form = ý định</t>
        </is>
      </c>
      <c r="G41" s="527" t="n"/>
      <c r="H41" s="527" t="n"/>
      <c r="I41" s="493" t="n"/>
    </row>
    <row r="42" ht="23.85" customHeight="1" s="248">
      <c r="A42" s="500" t="inlineStr">
        <is>
          <t>Scroll 50%</t>
        </is>
      </c>
      <c r="B42" s="500" t="inlineStr">
        <is>
          <t>Scroll Depth</t>
        </is>
      </c>
      <c r="C42" s="500" t="inlineStr">
        <is>
          <t>Vertical Scroll Depth ≥ 50%</t>
        </is>
      </c>
      <c r="D42" s="500" t="inlineStr">
        <is>
          <t>Landing pages chính</t>
        </is>
      </c>
      <c r="E42" s="500" t="inlineStr">
        <is>
          <t>Meta ViewContent</t>
        </is>
      </c>
      <c r="F42" s="500" t="inlineStr">
        <is>
          <t>User đọc được nửa trang = quan tâm</t>
        </is>
      </c>
      <c r="G42" s="527" t="n"/>
      <c r="H42" s="527" t="n"/>
      <c r="I42" s="493" t="n"/>
    </row>
    <row r="43" ht="23.85" customHeight="1" s="248">
      <c r="A43" s="499" t="inlineStr">
        <is>
          <t>Scroll 90%</t>
        </is>
      </c>
      <c r="B43" s="499" t="inlineStr">
        <is>
          <t>Scroll Depth</t>
        </is>
      </c>
      <c r="C43" s="499" t="inlineStr">
        <is>
          <t>Vertical Scroll Depth ≥ 90%</t>
        </is>
      </c>
      <c r="D43" s="499" t="inlineStr">
        <is>
          <t>Landing pages</t>
        </is>
      </c>
      <c r="E43" s="499" t="inlineStr">
        <is>
          <t>GA4 Scroll Depth</t>
        </is>
      </c>
      <c r="F43" s="499" t="inlineStr">
        <is>
          <t>User đọc gần hết = rất quan tâm</t>
        </is>
      </c>
      <c r="G43" s="527" t="n"/>
      <c r="H43" s="527" t="n"/>
      <c r="I43" s="493" t="n"/>
    </row>
    <row r="44" ht="23.85" customHeight="1" s="248">
      <c r="A44" s="500" t="inlineStr">
        <is>
          <t>Time on Page 30s</t>
        </is>
      </c>
      <c r="B44" s="500" t="inlineStr">
        <is>
          <t>Timer</t>
        </is>
      </c>
      <c r="C44" s="500" t="inlineStr">
        <is>
          <t>Timer: 30000ms, Limit: 1</t>
        </is>
      </c>
      <c r="D44" s="500" t="inlineStr">
        <is>
          <t>Landing pages</t>
        </is>
      </c>
      <c r="E44" s="500" t="inlineStr">
        <is>
          <t>Meta ViewContent (backup trigger)</t>
        </is>
      </c>
      <c r="F44" s="500" t="inlineStr">
        <is>
          <t>Backup cho scroll trigger</t>
        </is>
      </c>
      <c r="G44" s="527" t="n"/>
      <c r="H44" s="527" t="n"/>
      <c r="I44" s="493" t="n"/>
    </row>
    <row r="45" ht="23.85" customHeight="1" s="248">
      <c r="A45" s="499" t="inlineStr">
        <is>
          <t>Video Start</t>
        </is>
      </c>
      <c r="B45" s="499" t="inlineStr">
        <is>
          <t>YouTube Video</t>
        </is>
      </c>
      <c r="C45" s="499" t="inlineStr">
        <is>
          <t>Status = Start</t>
        </is>
      </c>
      <c r="D45" s="499" t="inlineStr">
        <is>
          <t>Trang có video embed</t>
        </is>
      </c>
      <c r="E45" s="499" t="inlineStr">
        <is>
          <t>GA4 Video Play</t>
        </is>
      </c>
      <c r="F45" s="499" t="inlineStr"/>
      <c r="G45" s="527" t="n"/>
      <c r="H45" s="527" t="n"/>
      <c r="I45" s="493" t="n"/>
    </row>
    <row r="46" ht="23.85" customHeight="1" s="248">
      <c r="A46" s="500" t="inlineStr">
        <is>
          <t>Video 50%</t>
        </is>
      </c>
      <c r="B46" s="500" t="inlineStr">
        <is>
          <t>YouTube Video</t>
        </is>
      </c>
      <c r="C46" s="500" t="inlineStr">
        <is>
          <t>Status = Progress, Percent = 50</t>
        </is>
      </c>
      <c r="D46" s="500" t="inlineStr">
        <is>
          <t>Trang có video</t>
        </is>
      </c>
      <c r="E46" s="500" t="inlineStr">
        <is>
          <t>GA4 Video Play</t>
        </is>
      </c>
      <c r="F46" s="500" t="inlineStr">
        <is>
          <t>Xem 50% video = engaged</t>
        </is>
      </c>
      <c r="G46" s="527" t="n"/>
      <c r="H46" s="527" t="n"/>
      <c r="I46" s="493" t="n"/>
    </row>
    <row r="47" ht="23.85" customHeight="1" s="248">
      <c r="A47" s="499" t="inlineStr">
        <is>
          <t>CTA Click</t>
        </is>
      </c>
      <c r="B47" s="499" t="inlineStr">
        <is>
          <t>Click - All Elements</t>
        </is>
      </c>
      <c r="C47" s="499" t="inlineStr">
        <is>
          <t>Click Classes contains "cta-button"
OR Click Text contains "ĐĂNG KÝ"</t>
        </is>
      </c>
      <c r="D47" s="499" t="inlineStr">
        <is>
          <t>Tất cả</t>
        </is>
      </c>
      <c r="E47" s="499" t="inlineStr">
        <is>
          <t>GA4 CTA Click</t>
        </is>
      </c>
      <c r="F47" s="499" t="inlineStr">
        <is>
          <t>Track effectiveness từng CTA</t>
        </is>
      </c>
      <c r="G47" s="527" t="n"/>
      <c r="H47" s="527" t="n"/>
      <c r="I47" s="493" t="n"/>
    </row>
    <row r="48">
      <c r="A48" s="500" t="inlineStr">
        <is>
          <t>PDF Download</t>
        </is>
      </c>
      <c r="B48" s="500" t="inlineStr">
        <is>
          <t>Click - Just Links</t>
        </is>
      </c>
      <c r="C48" s="500" t="inlineStr">
        <is>
          <t>Click URL ends with .pdf</t>
        </is>
      </c>
      <c r="D48" s="500" t="inlineStr">
        <is>
          <t>Trang chương trình</t>
        </is>
      </c>
      <c r="E48" s="500" t="inlineStr">
        <is>
          <t>GA4 PDF Download, Meta AddToCart</t>
        </is>
      </c>
      <c r="F48" s="500" t="inlineStr"/>
    </row>
    <row r="49">
      <c r="A49" s="499" t="inlineStr">
        <is>
          <t>Phone Click</t>
        </is>
      </c>
      <c r="B49" s="499" t="inlineStr">
        <is>
          <t>Click - Just Links</t>
        </is>
      </c>
      <c r="C49" s="499" t="inlineStr">
        <is>
          <t>Click URL starts with "tel:"</t>
        </is>
      </c>
      <c r="D49" s="499" t="inlineStr">
        <is>
          <t>Tất cả</t>
        </is>
      </c>
      <c r="E49" s="499" t="inlineStr">
        <is>
          <t>GA4 Event (phone_click)</t>
        </is>
      </c>
      <c r="F49" s="499" t="inlineStr">
        <is>
          <t>Track gọi điện từ mobile</t>
        </is>
      </c>
    </row>
    <row r="50">
      <c r="A50" s="500" t="inlineStr">
        <is>
          <t>Zalo Click</t>
        </is>
      </c>
      <c r="B50" s="500" t="inlineStr">
        <is>
          <t>Click - Just Links</t>
        </is>
      </c>
      <c r="C50" s="500" t="inlineStr">
        <is>
          <t>Click URL contains "zalo.me"</t>
        </is>
      </c>
      <c r="D50" s="500" t="inlineStr">
        <is>
          <t>Tất cả</t>
        </is>
      </c>
      <c r="E50" s="500" t="inlineStr">
        <is>
          <t>GA4 Event (zalo_click)</t>
        </is>
      </c>
      <c r="F50" s="500" t="inlineStr">
        <is>
          <t>Track click vào Zalo link</t>
        </is>
      </c>
    </row>
    <row r="51">
      <c r="A51" s="499" t="inlineStr">
        <is>
          <t>Tour Confirmation</t>
        </is>
      </c>
      <c r="B51" s="499" t="inlineStr">
        <is>
          <t>Page View</t>
        </is>
      </c>
      <c r="C51" s="499" t="inlineStr">
        <is>
          <t>Page URL contains /xac-nhan-tour
OR Page URL matches regex /xac-nhan$/</t>
        </is>
      </c>
      <c r="D51" s="499" t="inlineStr">
        <is>
          <t>Tour confirmation pages</t>
        </is>
      </c>
      <c r="E51" s="499" t="inlineStr">
        <is>
          <t>Meta Schedule, GA4 Tour Booked, Google Ads Conversion (Tour)</t>
        </is>
      </c>
      <c r="F51" s="499" t="inlineStr">
        <is>
          <t>High-value conversion</t>
        </is>
      </c>
    </row>
    <row r="52">
      <c r="A52" s="500" t="inlineStr">
        <is>
          <t>Enrollment Page</t>
        </is>
      </c>
      <c r="B52" s="500" t="inlineStr">
        <is>
          <t>Page View</t>
        </is>
      </c>
      <c r="C52" s="500" t="inlineStr">
        <is>
          <t>Page URL contains /dang-ky-thanh-cong
OR referrer contains "enrollment"</t>
        </is>
      </c>
      <c r="D52" s="500" t="inlineStr">
        <is>
          <t>Enrollment confirmation</t>
        </is>
      </c>
      <c r="E52" s="500" t="inlineStr">
        <is>
          <t>Meta Purchase, GA4 Purchase, Google Ads Conversion (Enroll)</t>
        </is>
      </c>
      <c r="F52" s="500" t="inlineStr">
        <is>
          <t>Ultimate conversion</t>
        </is>
      </c>
    </row>
    <row r="55">
      <c r="A55" s="494" t="inlineStr">
        <is>
          <t>C. GTM VARIABLES — BIẾN SỬ DỤNG</t>
        </is>
      </c>
    </row>
    <row r="57">
      <c r="A57" s="495" t="inlineStr">
        <is>
          <t>Variable Name</t>
        </is>
      </c>
      <c r="B57" s="495" t="inlineStr">
        <is>
          <t>Type</t>
        </is>
      </c>
      <c r="C57" s="495" t="inlineStr">
        <is>
          <t>Value / Config</t>
        </is>
      </c>
      <c r="D57" s="495" t="inlineStr">
        <is>
          <t>Sử dụng trong Tags</t>
        </is>
      </c>
      <c r="E57" s="495" t="inlineStr">
        <is>
          <t>Ghi chú</t>
        </is>
      </c>
    </row>
    <row r="58">
      <c r="A58" s="499" t="inlineStr">
        <is>
          <t>GA4 Measurement ID</t>
        </is>
      </c>
      <c r="B58" s="499" t="inlineStr">
        <is>
          <t>Constant</t>
        </is>
      </c>
      <c r="C58" s="499" t="inlineStr">
        <is>
          <t>G-XXXXXXXXXX</t>
        </is>
      </c>
      <c r="D58" s="499" t="inlineStr">
        <is>
          <t>GA4 Config</t>
        </is>
      </c>
      <c r="E58" s="499" t="inlineStr">
        <is>
          <t>Thay bằng ID thật</t>
        </is>
      </c>
    </row>
    <row r="59">
      <c r="A59" s="500" t="inlineStr">
        <is>
          <t>Meta Pixel ID</t>
        </is>
      </c>
      <c r="B59" s="500" t="inlineStr">
        <is>
          <t>Constant</t>
        </is>
      </c>
      <c r="C59" s="500" t="inlineStr">
        <is>
          <t>XXXXXXXXXX</t>
        </is>
      </c>
      <c r="D59" s="500" t="inlineStr">
        <is>
          <t>Meta Pixel Base + all Meta tags</t>
        </is>
      </c>
      <c r="E59" s="500" t="inlineStr"/>
    </row>
    <row r="60">
      <c r="A60" s="499" t="inlineStr">
        <is>
          <t>TikTok Pixel ID</t>
        </is>
      </c>
      <c r="B60" s="499" t="inlineStr">
        <is>
          <t>Constant</t>
        </is>
      </c>
      <c r="C60" s="499" t="inlineStr">
        <is>
          <t>XXXXXXXXXX</t>
        </is>
      </c>
      <c r="D60" s="499" t="inlineStr">
        <is>
          <t>TikTok Pixel Base + all TT tags</t>
        </is>
      </c>
      <c r="E60" s="499" t="inlineStr"/>
    </row>
    <row r="61">
      <c r="A61" s="500" t="inlineStr">
        <is>
          <t>Google Ads Conversion ID</t>
        </is>
      </c>
      <c r="B61" s="500" t="inlineStr">
        <is>
          <t>Constant</t>
        </is>
      </c>
      <c r="C61" s="500" t="inlineStr">
        <is>
          <t>AW-XXXXXXXXX</t>
        </is>
      </c>
      <c r="D61" s="500" t="inlineStr">
        <is>
          <t>Google Ads Conversion tags</t>
        </is>
      </c>
      <c r="E61" s="500" t="inlineStr"/>
    </row>
    <row r="62">
      <c r="A62" s="499" t="inlineStr">
        <is>
          <t>DLV - campus</t>
        </is>
      </c>
      <c r="B62" s="499" t="inlineStr">
        <is>
          <t>Data Layer Variable</t>
        </is>
      </c>
      <c r="C62" s="499" t="inlineStr">
        <is>
          <t>dataLayer variable name: campus</t>
        </is>
      </c>
      <c r="D62" s="499" t="inlineStr">
        <is>
          <t>GA4 events, Meta events</t>
        </is>
      </c>
      <c r="E62" s="499" t="inlineStr">
        <is>
          <t>GHL form push campus to dataLayer</t>
        </is>
      </c>
    </row>
    <row r="63">
      <c r="A63" s="500" t="inlineStr">
        <is>
          <t>DLV - grade_level</t>
        </is>
      </c>
      <c r="B63" s="500" t="inlineStr">
        <is>
          <t>Data Layer Variable</t>
        </is>
      </c>
      <c r="C63" s="500" t="inlineStr">
        <is>
          <t>dataLayer variable name: grade_level</t>
        </is>
      </c>
      <c r="D63" s="500" t="inlineStr">
        <is>
          <t>GA4, Meta</t>
        </is>
      </c>
      <c r="E63" s="500" t="inlineStr">
        <is>
          <t>Cấp học: mn, th, thcs, thpt</t>
        </is>
      </c>
    </row>
    <row r="64">
      <c r="A64" s="499" t="inlineStr">
        <is>
          <t>DLV - form_name</t>
        </is>
      </c>
      <c r="B64" s="499" t="inlineStr">
        <is>
          <t>Data Layer Variable</t>
        </is>
      </c>
      <c r="C64" s="499" t="inlineStr">
        <is>
          <t>dataLayer variable name: form_name</t>
        </is>
      </c>
      <c r="D64" s="499" t="inlineStr">
        <is>
          <t>GA4 Form Submit</t>
        </is>
      </c>
      <c r="E64" s="499" t="inlineStr">
        <is>
          <t>Tên form GHL</t>
        </is>
      </c>
    </row>
    <row r="65">
      <c r="A65" s="500" t="inlineStr">
        <is>
          <t>DLV - lead_value</t>
        </is>
      </c>
      <c r="B65" s="500" t="inlineStr">
        <is>
          <t>Data Layer Variable</t>
        </is>
      </c>
      <c r="C65" s="500" t="inlineStr">
        <is>
          <t>dataLayer variable name: lead_value</t>
        </is>
      </c>
      <c r="D65" s="500" t="inlineStr">
        <is>
          <t>Meta Lead (value parameter)</t>
        </is>
      </c>
      <c r="E65" s="500" t="inlineStr">
        <is>
          <t>Giá trị ước tính/lead</t>
        </is>
      </c>
    </row>
    <row r="66">
      <c r="A66" s="499" t="inlineStr">
        <is>
          <t>URL - Page Path</t>
        </is>
      </c>
      <c r="B66" s="499" t="inlineStr">
        <is>
          <t>URL</t>
        </is>
      </c>
      <c r="C66" s="499" t="inlineStr">
        <is>
          <t>Component: Path</t>
        </is>
      </c>
      <c r="D66" s="499" t="inlineStr">
        <is>
          <t>Tất cả tags (parameter)</t>
        </is>
      </c>
      <c r="E66" s="499" t="inlineStr">
        <is>
          <t>Auto-captured</t>
        </is>
      </c>
    </row>
    <row r="67">
      <c r="A67" s="500" t="inlineStr">
        <is>
          <t>URL - Query (utm_source)</t>
        </is>
      </c>
      <c r="B67" s="500" t="inlineStr">
        <is>
          <t>URL</t>
        </is>
      </c>
      <c r="C67" s="500" t="inlineStr">
        <is>
          <t>Component: Query, Key: utm_source</t>
        </is>
      </c>
      <c r="D67" s="500" t="inlineStr">
        <is>
          <t>GA4, Meta</t>
        </is>
      </c>
      <c r="E67" s="500" t="inlineStr">
        <is>
          <t>UTM tracking</t>
        </is>
      </c>
    </row>
    <row r="68">
      <c r="A68" s="499" t="inlineStr">
        <is>
          <t>URL - Query (utm_medium)</t>
        </is>
      </c>
      <c r="B68" s="499" t="inlineStr">
        <is>
          <t>URL</t>
        </is>
      </c>
      <c r="C68" s="499" t="inlineStr">
        <is>
          <t>Component: Query, Key: utm_medium</t>
        </is>
      </c>
      <c r="D68" s="499" t="inlineStr">
        <is>
          <t>GA4, Meta</t>
        </is>
      </c>
      <c r="E68" s="499" t="inlineStr"/>
    </row>
    <row r="69">
      <c r="A69" s="500" t="inlineStr">
        <is>
          <t>URL - Query (utm_campaign)</t>
        </is>
      </c>
      <c r="B69" s="500" t="inlineStr">
        <is>
          <t>URL</t>
        </is>
      </c>
      <c r="C69" s="500" t="inlineStr">
        <is>
          <t>Component: Query, Key: utm_campaign</t>
        </is>
      </c>
      <c r="D69" s="500" t="inlineStr">
        <is>
          <t>GA4, Meta</t>
        </is>
      </c>
      <c r="E69" s="500" t="inlineStr"/>
    </row>
    <row r="70">
      <c r="A70" s="499" t="inlineStr">
        <is>
          <t>Click Text</t>
        </is>
      </c>
      <c r="B70" s="499" t="inlineStr">
        <is>
          <t>Auto-Event Variable</t>
        </is>
      </c>
      <c r="C70" s="499" t="inlineStr">
        <is>
          <t>Variable Type: Click Text</t>
        </is>
      </c>
      <c r="D70" s="499" t="inlineStr">
        <is>
          <t>CTA Click trigger</t>
        </is>
      </c>
      <c r="E70" s="499" t="inlineStr"/>
    </row>
    <row r="71">
      <c r="A71" s="500" t="inlineStr">
        <is>
          <t>Click URL</t>
        </is>
      </c>
      <c r="B71" s="500" t="inlineStr">
        <is>
          <t>Auto-Event Variable</t>
        </is>
      </c>
      <c r="C71" s="500" t="inlineStr">
        <is>
          <t>Variable Type: Click URL</t>
        </is>
      </c>
      <c r="D71" s="500" t="inlineStr">
        <is>
          <t>PDF Download, Phone, Zalo</t>
        </is>
      </c>
      <c r="E71" s="500" t="inlineStr"/>
    </row>
    <row r="72">
      <c r="A72" s="499" t="inlineStr">
        <is>
          <t>Scroll Depth Threshold</t>
        </is>
      </c>
      <c r="B72" s="499" t="inlineStr">
        <is>
          <t>Auto-Event Variable</t>
        </is>
      </c>
      <c r="C72" s="499" t="inlineStr">
        <is>
          <t>Variable Type: Scroll Depth Threshold</t>
        </is>
      </c>
      <c r="D72" s="499" t="inlineStr">
        <is>
          <t>Scroll triggers</t>
        </is>
      </c>
      <c r="E72" s="499" t="inlineStr"/>
    </row>
    <row r="73">
      <c r="A73" s="500" t="inlineStr">
        <is>
          <t>JS - User Hash Email</t>
        </is>
      </c>
      <c r="B73" s="500" t="inlineStr">
        <is>
          <t>Custom JavaScript</t>
        </is>
      </c>
      <c r="C73" s="500" t="inlineStr">
        <is>
          <t>function(){var e=document.querySelector("input[type=email]"); return e?SHA256(e.value.toLowerCase()):undefined}</t>
        </is>
      </c>
      <c r="D73" s="500" t="inlineStr">
        <is>
          <t>Enhanced Conversions, CAPI</t>
        </is>
      </c>
      <c r="E73" s="500" t="inlineStr">
        <is>
          <t>Hash email cho privacy</t>
        </is>
      </c>
    </row>
    <row r="74">
      <c r="A74" s="499" t="inlineStr">
        <is>
          <t>JS - User Hash Phone</t>
        </is>
      </c>
      <c r="B74" s="499" t="inlineStr">
        <is>
          <t>Custom JavaScript</t>
        </is>
      </c>
      <c r="C74" s="499" t="inlineStr">
        <is>
          <t>function(){var p=document.querySelector("input[type=tel]"); return p?SHA256(p.value):undefined}</t>
        </is>
      </c>
      <c r="D74" s="499" t="inlineStr">
        <is>
          <t>Enhanced Conversions, CAPI</t>
        </is>
      </c>
      <c r="E74" s="499" t="inlineStr">
        <is>
          <t>Hash SĐT</t>
        </is>
      </c>
    </row>
    <row r="75">
      <c r="A75" s="500" t="inlineStr">
        <is>
          <t>Cookie - _fbc</t>
        </is>
      </c>
      <c r="B75" s="500" t="inlineStr">
        <is>
          <t>1st Party Cookie</t>
        </is>
      </c>
      <c r="C75" s="500" t="inlineStr">
        <is>
          <t>Cookie Name: _fbc</t>
        </is>
      </c>
      <c r="D75" s="500" t="inlineStr">
        <is>
          <t>Meta CAPI</t>
        </is>
      </c>
      <c r="E75" s="500" t="inlineStr">
        <is>
          <t>Facebook click ID</t>
        </is>
      </c>
    </row>
    <row r="76">
      <c r="A76" s="499" t="inlineStr">
        <is>
          <t>Cookie - _fbp</t>
        </is>
      </c>
      <c r="B76" s="499" t="inlineStr">
        <is>
          <t>1st Party Cookie</t>
        </is>
      </c>
      <c r="C76" s="499" t="inlineStr">
        <is>
          <t>Cookie Name: _fbp</t>
        </is>
      </c>
      <c r="D76" s="499" t="inlineStr">
        <is>
          <t>Meta CAPI</t>
        </is>
      </c>
      <c r="E76" s="499" t="inlineStr">
        <is>
          <t>Facebook browser ID</t>
        </is>
      </c>
    </row>
    <row r="79">
      <c r="A79" s="494" t="inlineStr">
        <is>
          <t>D. REMARKETING AUDIENCES — CUSTOM AUDIENCES CHI TIẾT</t>
        </is>
      </c>
    </row>
    <row r="80">
      <c r="A80" s="529" t="inlineStr">
        <is>
          <t>Nguyên tắc: Mỗi trang phễu tạo 1 audience. Khi remarketing → EXCLUDE audience trang đó, đưa sang trang tiếp theo.</t>
        </is>
      </c>
    </row>
    <row r="82">
      <c r="A82" s="495" t="inlineStr">
        <is>
          <t>Audience Name</t>
        </is>
      </c>
      <c r="B82" s="495" t="inlineStr">
        <is>
          <t>Platform</t>
        </is>
      </c>
      <c r="C82" s="495" t="inlineStr">
        <is>
          <t>Định nghĩa (Definition)</t>
        </is>
      </c>
      <c r="D82" s="495" t="inlineStr">
        <is>
          <t>Kích thước ước tính</t>
        </is>
      </c>
      <c r="E82" s="495" t="inlineStr">
        <is>
          <t>Duration</t>
        </is>
      </c>
      <c r="F82" s="495" t="inlineStr">
        <is>
          <t>Sử dụng để...</t>
        </is>
      </c>
      <c r="G82" s="495" t="inlineStr">
        <is>
          <t>Exclude khi...</t>
        </is>
      </c>
      <c r="H82" s="495" t="inlineStr">
        <is>
          <t>Ví dụ Ads sử dụng</t>
        </is>
      </c>
    </row>
    <row r="83">
      <c r="A83" s="499" t="inlineStr">
        <is>
          <t>WEB_All_Visitors_180d</t>
        </is>
      </c>
      <c r="B83" s="499" t="inlineStr">
        <is>
          <t>Meta + Google</t>
        </is>
      </c>
      <c r="C83" s="499" t="inlineStr">
        <is>
          <t>Tất cả người truy cập truongvietanh.com + forms.* trong 180 ngày</t>
        </is>
      </c>
      <c r="D83" s="499" t="inlineStr">
        <is>
          <t>50,000</t>
        </is>
      </c>
      <c r="E83" s="499" t="inlineStr">
        <is>
          <t>180 ngày</t>
        </is>
      </c>
      <c r="F83" s="499" t="inlineStr">
        <is>
          <t>Broad remarketing, Lookalike seed</t>
        </is>
      </c>
      <c r="G83" s="499" t="inlineStr">
        <is>
          <t>N/A</t>
        </is>
      </c>
      <c r="H83" s="499" t="inlineStr">
        <is>
          <t>Awareness ads cho cold traffic</t>
        </is>
      </c>
    </row>
    <row r="84">
      <c r="A84" s="500" t="inlineStr">
        <is>
          <t>WEB_All_Visitors_30d</t>
        </is>
      </c>
      <c r="B84" s="500" t="inlineStr">
        <is>
          <t>Meta + Google</t>
        </is>
      </c>
      <c r="C84" s="500" t="inlineStr">
        <is>
          <t>Visitors 30 ngày gần nhất</t>
        </is>
      </c>
      <c r="D84" s="500" t="inlineStr">
        <is>
          <t>15,000</t>
        </is>
      </c>
      <c r="E84" s="500" t="inlineStr">
        <is>
          <t>30 ngày</t>
        </is>
      </c>
      <c r="F84" s="500" t="inlineStr">
        <is>
          <t>Active interest remarketing</t>
        </is>
      </c>
      <c r="G84" s="500" t="inlineStr">
        <is>
          <t>Đã submit form</t>
        </is>
      </c>
      <c r="H84" s="500" t="inlineStr">
        <is>
          <t>Conversion-focused ads</t>
        </is>
      </c>
    </row>
    <row r="85">
      <c r="A85" s="499" t="inlineStr">
        <is>
          <t>WEB_All_Visitors_7d</t>
        </is>
      </c>
      <c r="B85" s="499" t="inlineStr">
        <is>
          <t>Meta + Google</t>
        </is>
      </c>
      <c r="C85" s="499" t="inlineStr">
        <is>
          <t>Visitors 7 ngày gần nhất</t>
        </is>
      </c>
      <c r="D85" s="499" t="inlineStr">
        <is>
          <t>5,000</t>
        </is>
      </c>
      <c r="E85" s="499" t="inlineStr">
        <is>
          <t>7 ngày</t>
        </is>
      </c>
      <c r="F85" s="499" t="inlineStr">
        <is>
          <t>Hot remarketing</t>
        </is>
      </c>
      <c r="G85" s="499" t="inlineStr">
        <is>
          <t>Đã submit form</t>
        </is>
      </c>
      <c r="H85" s="499" t="inlineStr">
        <is>
          <t>Urgency ads</t>
        </is>
      </c>
    </row>
    <row r="86">
      <c r="A86" s="500" t="inlineStr">
        <is>
          <t>FNL_MN_LP_Visitors</t>
        </is>
      </c>
      <c r="B86" s="500" t="inlineStr">
        <is>
          <t>Meta</t>
        </is>
      </c>
      <c r="C86" s="500" t="inlineStr">
        <is>
          <t>URL = forms.truongvietanh.com/tuyen-sinh-mam-non (PageView fired)</t>
        </is>
      </c>
      <c r="D86" s="500" t="inlineStr">
        <is>
          <t>3,000</t>
        </is>
      </c>
      <c r="E86" s="500" t="inlineStr">
        <is>
          <t>30 ngày</t>
        </is>
      </c>
      <c r="F86" s="500" t="inlineStr">
        <is>
          <t>Retarget: đưa sang Trang 3 (Testimonial)</t>
        </is>
      </c>
      <c r="G86" s="500" t="inlineStr">
        <is>
          <t>FNL_MN_Form_Complete</t>
        </is>
      </c>
      <c r="H86" s="500" t="inlineStr">
        <is>
          <t>Ad: "PH nói gì về VA?"</t>
        </is>
      </c>
    </row>
    <row r="87">
      <c r="A87" s="499" t="inlineStr">
        <is>
          <t>FNL_MN_LP_Engaged</t>
        </is>
      </c>
      <c r="B87" s="499" t="inlineStr">
        <is>
          <t>Meta</t>
        </is>
      </c>
      <c r="C87" s="499" t="inlineStr">
        <is>
          <t>URL = forms.truongvietanh.com/tuyen-sinh-mam-non + ViewContent fired (scroll 50% OR &gt;30s)</t>
        </is>
      </c>
      <c r="D87" s="499" t="inlineStr">
        <is>
          <t>1,500</t>
        </is>
      </c>
      <c r="E87" s="499" t="inlineStr">
        <is>
          <t>30 ngày</t>
        </is>
      </c>
      <c r="F87" s="499" t="inlineStr">
        <is>
          <t>Retarget engaged visitors: Trang 4 (Chương trình)</t>
        </is>
      </c>
      <c r="G87" s="499" t="inlineStr">
        <is>
          <t>FNL_MN_Form_Complete</t>
        </is>
      </c>
      <c r="H87" s="499" t="inlineStr">
        <is>
          <t>Ad: "So sánh chương trình MN"</t>
        </is>
      </c>
    </row>
    <row r="88">
      <c r="A88" s="500" t="inlineStr">
        <is>
          <t>FNL_MN_Form_Started</t>
        </is>
      </c>
      <c r="B88" s="500" t="inlineStr">
        <is>
          <t>Meta</t>
        </is>
      </c>
      <c r="C88" s="500" t="inlineStr">
        <is>
          <t>InitiateCheckout fired trên /tuyen-sinh-mam-non</t>
        </is>
      </c>
      <c r="D88" s="500" t="inlineStr">
        <is>
          <t>500</t>
        </is>
      </c>
      <c r="E88" s="500" t="inlineStr">
        <is>
          <t>14 ngày</t>
        </is>
      </c>
      <c r="F88" s="500" t="inlineStr">
        <is>
          <t>Retarget: nhắc hoàn thành form</t>
        </is>
      </c>
      <c r="G88" s="500" t="inlineStr">
        <is>
          <t>FNL_MN_Form_Complete</t>
        </is>
      </c>
      <c r="H88" s="500" t="inlineStr">
        <is>
          <t>Ad: "Bạn gần hoàn thành — Chỉ 30s nữa!"</t>
        </is>
      </c>
    </row>
    <row r="89">
      <c r="A89" s="499" t="inlineStr">
        <is>
          <t>FNL_MN_Form_Complete</t>
        </is>
      </c>
      <c r="B89" s="499" t="inlineStr">
        <is>
          <t>Meta</t>
        </is>
      </c>
      <c r="C89" s="499" t="inlineStr">
        <is>
          <t>Lead event fired trên /tuyen-sinh-mam-non</t>
        </is>
      </c>
      <c r="D89" s="499" t="inlineStr">
        <is>
          <t>300</t>
        </is>
      </c>
      <c r="E89" s="499" t="inlineStr">
        <is>
          <t>60 ngày</t>
        </is>
      </c>
      <c r="F89" s="499" t="inlineStr">
        <is>
          <t>Exclude khỏi top-funnel ads
Retarget: đưa sang book tour</t>
        </is>
      </c>
      <c r="G89" s="499" t="inlineStr">
        <is>
          <t>FNL_MN_Tour_Booked</t>
        </is>
      </c>
      <c r="H89" s="499" t="inlineStr">
        <is>
          <t>Ad: "Đặt lịch tham quan ngay!"</t>
        </is>
      </c>
    </row>
    <row r="90">
      <c r="A90" s="500" t="inlineStr">
        <is>
          <t>FNL_MN_Tour_Booked</t>
        </is>
      </c>
      <c r="B90" s="500" t="inlineStr">
        <is>
          <t>Meta</t>
        </is>
      </c>
      <c r="C90" s="500" t="inlineStr">
        <is>
          <t>Schedule event fired trên /cam-on</t>
        </is>
      </c>
      <c r="D90" s="500" t="inlineStr">
        <is>
          <t>150</t>
        </is>
      </c>
      <c r="E90" s="500" t="inlineStr">
        <is>
          <t>60 ngày</t>
        </is>
      </c>
      <c r="F90" s="500" t="inlineStr">
        <is>
          <t>Exclude khỏi lead ads
Retarget no-show: đặt lại lịch</t>
        </is>
      </c>
      <c r="G90" s="500" t="inlineStr">
        <is>
          <t>FNL_MN_Tour_Attended</t>
        </is>
      </c>
      <c r="H90" s="500" t="inlineStr">
        <is>
          <t>Ad: reminder tour</t>
        </is>
      </c>
    </row>
    <row r="91">
      <c r="A91" s="499" t="inlineStr">
        <is>
          <t>FNL_MN_Tour_Attended</t>
        </is>
      </c>
      <c r="B91" s="499" t="inlineStr">
        <is>
          <t>Meta</t>
        </is>
      </c>
      <c r="C91" s="499" t="inlineStr">
        <is>
          <t>GHL tag "tour_completed" → uploaded Custom Audience</t>
        </is>
      </c>
      <c r="D91" s="499" t="inlineStr">
        <is>
          <t>100</t>
        </is>
      </c>
      <c r="E91" s="499" t="inlineStr">
        <is>
          <t>90 ngày</t>
        </is>
      </c>
      <c r="F91" s="499" t="inlineStr">
        <is>
          <t>Retarget: push enrollment
Exclude khỏi awareness ads</t>
        </is>
      </c>
      <c r="G91" s="499" t="inlineStr">
        <is>
          <t>FNL_MN_Enrolled</t>
        </is>
      </c>
      <c r="H91" s="499" t="inlineStr">
        <is>
          <t>Ad: "Ưu đãi đặc biệt cho PH đã tham quan"</t>
        </is>
      </c>
    </row>
    <row r="92">
      <c r="A92" s="500" t="inlineStr">
        <is>
          <t>FNL_MN_Enrolled</t>
        </is>
      </c>
      <c r="B92" s="500" t="inlineStr">
        <is>
          <t>Meta</t>
        </is>
      </c>
      <c r="C92" s="500" t="inlineStr">
        <is>
          <t>Purchase event OR GHL tag "enrolled"</t>
        </is>
      </c>
      <c r="D92" s="500" t="inlineStr">
        <is>
          <t>50</t>
        </is>
      </c>
      <c r="E92" s="500" t="inlineStr">
        <is>
          <t>180 ngày</t>
        </is>
      </c>
      <c r="F92" s="500" t="inlineStr">
        <is>
          <t>EXCLUDE khỏi TẤT CẢ tuyển sinh ads
Seed cho Lookalike</t>
        </is>
      </c>
      <c r="G92" s="500" t="inlineStr">
        <is>
          <t>N/A</t>
        </is>
      </c>
      <c r="H92" s="500" t="inlineStr">
        <is>
          <t>Không chạy ads. Dùng làm Lookalike seed</t>
        </is>
      </c>
    </row>
    <row r="93">
      <c r="A93" s="499" t="inlineStr">
        <is>
          <t>FNL_MN_Testimonial</t>
        </is>
      </c>
      <c r="B93" s="499" t="inlineStr">
        <is>
          <t>Meta</t>
        </is>
      </c>
      <c r="C93" s="499" t="inlineStr">
        <is>
          <t>URL = forms.truongvietanh.com/tuyen-sinh-mam-non/phu-huynh-noi-gi</t>
        </is>
      </c>
      <c r="D93" s="499" t="inlineStr">
        <is>
          <t>800</t>
        </is>
      </c>
      <c r="E93" s="499" t="inlineStr">
        <is>
          <t>30 ngày</t>
        </is>
      </c>
      <c r="F93" s="499" t="inlineStr">
        <is>
          <t>Retarget: đưa sang Trang 4 (Chương trình)</t>
        </is>
      </c>
      <c r="G93" s="499" t="inlineStr">
        <is>
          <t>FNL_MN_Form_Complete</t>
        </is>
      </c>
      <c r="H93" s="499" t="inlineStr">
        <is>
          <t>Ad: "Chương trình chi tiết"</t>
        </is>
      </c>
    </row>
    <row r="94">
      <c r="A94" s="500" t="inlineStr">
        <is>
          <t>FNL_MN_Program</t>
        </is>
      </c>
      <c r="B94" s="500" t="inlineStr">
        <is>
          <t>Meta</t>
        </is>
      </c>
      <c r="C94" s="500" t="inlineStr">
        <is>
          <t>URL = forms.truongvietanh.com/tuyen-sinh-mam-non/chuong-trinh</t>
        </is>
      </c>
      <c r="D94" s="500" t="inlineStr">
        <is>
          <t>600</t>
        </is>
      </c>
      <c r="E94" s="500" t="inlineStr">
        <is>
          <t>30 ngày</t>
        </is>
      </c>
      <c r="F94" s="500" t="inlineStr">
        <is>
          <t>Retarget: đưa sang Trang 5 (Học phí)</t>
        </is>
      </c>
      <c r="G94" s="500" t="inlineStr">
        <is>
          <t>FNL_MN_Form_Complete</t>
        </is>
      </c>
      <c r="H94" s="500" t="inlineStr">
        <is>
          <t>Ad: "Học phí + Ưu đãi"</t>
        </is>
      </c>
    </row>
    <row r="95">
      <c r="A95" s="499" t="inlineStr">
        <is>
          <t>FNL_MN_Tuition</t>
        </is>
      </c>
      <c r="B95" s="499" t="inlineStr">
        <is>
          <t>Meta</t>
        </is>
      </c>
      <c r="C95" s="499" t="inlineStr">
        <is>
          <t>URL = forms.truongvietanh.com/tuyen-sinh-mam-non/hoc-phi</t>
        </is>
      </c>
      <c r="D95" s="499" t="inlineStr">
        <is>
          <t>400</t>
        </is>
      </c>
      <c r="E95" s="499" t="inlineStr">
        <is>
          <t>14 ngày</t>
        </is>
      </c>
      <c r="F95" s="499" t="inlineStr">
        <is>
          <t>Retarget: urgency push enrollment</t>
        </is>
      </c>
      <c r="G95" s="499" t="inlineStr">
        <is>
          <t>FNL_MN_Form_Complete</t>
        </is>
      </c>
      <c r="H95" s="499" t="inlineStr">
        <is>
          <t>Ad: "Chỉ còn X ngày ưu đãi!"</t>
        </is>
      </c>
    </row>
    <row r="96">
      <c r="A96" s="500" t="inlineStr">
        <is>
          <t>FNL_MN_PDF_Download</t>
        </is>
      </c>
      <c r="B96" s="500" t="inlineStr">
        <is>
          <t>Meta</t>
        </is>
      </c>
      <c r="C96" s="500" t="inlineStr">
        <is>
          <t>AddToCart event trên /chuong-trinh</t>
        </is>
      </c>
      <c r="D96" s="500" t="inlineStr">
        <is>
          <t>200</t>
        </is>
      </c>
      <c r="E96" s="500" t="inlineStr">
        <is>
          <t>30 ngày</t>
        </is>
      </c>
      <c r="F96" s="500" t="inlineStr">
        <is>
          <t>Retarget: nurture → form submission</t>
        </is>
      </c>
      <c r="G96" s="500" t="inlineStr">
        <is>
          <t>FNL_MN_Form_Complete</t>
        </is>
      </c>
      <c r="H96" s="500" t="inlineStr">
        <is>
          <t>Ad: "Bạn đã tải cẩm nang — Đặt lịch tư vấn"</t>
        </is>
      </c>
    </row>
    <row r="97">
      <c r="A97" s="499" t="inlineStr">
        <is>
          <t>FNL_TH_LP_Visitors</t>
        </is>
      </c>
      <c r="B97" s="499" t="inlineStr">
        <is>
          <t>Meta</t>
        </is>
      </c>
      <c r="C97" s="499" t="inlineStr">
        <is>
          <t>URL = forms.truongvietanh.com/tuyen-sinh-tieu-hoc</t>
        </is>
      </c>
      <c r="D97" s="499" t="inlineStr">
        <is>
          <t>2,500</t>
        </is>
      </c>
      <c r="E97" s="499" t="inlineStr">
        <is>
          <t>30 ngày</t>
        </is>
      </c>
      <c r="F97" s="499" t="inlineStr">
        <is>
          <t>Retarget sang Testimonial TH</t>
        </is>
      </c>
      <c r="G97" s="499" t="inlineStr">
        <is>
          <t>FNL_TH_Form_Complete</t>
        </is>
      </c>
      <c r="H97" s="499" t="inlineStr">
        <is>
          <t>Ad: "PH Tiểu Học nói gì?"</t>
        </is>
      </c>
    </row>
    <row r="98">
      <c r="A98" s="500" t="inlineStr">
        <is>
          <t>FNL_THCS_LP_Visitors</t>
        </is>
      </c>
      <c r="B98" s="500" t="inlineStr">
        <is>
          <t>Meta</t>
        </is>
      </c>
      <c r="C98" s="500" t="inlineStr">
        <is>
          <t>URL = forms.truongvietanh.com/tuyen-sinh-thcs</t>
        </is>
      </c>
      <c r="D98" s="500" t="inlineStr">
        <is>
          <t>1,500</t>
        </is>
      </c>
      <c r="E98" s="500" t="inlineStr">
        <is>
          <t>30 ngày</t>
        </is>
      </c>
      <c r="F98" s="500" t="inlineStr">
        <is>
          <t>Retarget sang Testimonial THCS</t>
        </is>
      </c>
      <c r="G98" s="500" t="inlineStr">
        <is>
          <t>FNL_THCS_Form_Complete</t>
        </is>
      </c>
      <c r="H98" s="500" t="inlineStr">
        <is>
          <t>Ad: "PH Cấp 2 nói gì?"</t>
        </is>
      </c>
    </row>
    <row r="99">
      <c r="A99" s="499" t="inlineStr">
        <is>
          <t>FNL_THPT_LP_Visitors</t>
        </is>
      </c>
      <c r="B99" s="499" t="inlineStr">
        <is>
          <t>Meta</t>
        </is>
      </c>
      <c r="C99" s="499" t="inlineStr">
        <is>
          <t>URL = forms.truongvietanh.com/tuyen-sinh-thpt</t>
        </is>
      </c>
      <c r="D99" s="499" t="inlineStr">
        <is>
          <t>1,000</t>
        </is>
      </c>
      <c r="E99" s="499" t="inlineStr">
        <is>
          <t>30 ngày</t>
        </is>
      </c>
      <c r="F99" s="499" t="inlineStr">
        <is>
          <t>Retarget sang Testimonial THPT</t>
        </is>
      </c>
      <c r="G99" s="499" t="inlineStr">
        <is>
          <t>FNL_THPT_Form_Complete</t>
        </is>
      </c>
      <c r="H99" s="499" t="inlineStr">
        <is>
          <t>Ad: "PH Cấp 3 nói gì?"</t>
        </is>
      </c>
    </row>
    <row r="100">
      <c r="A100" s="500" t="inlineStr">
        <is>
          <t>EVT_OpenDay_Visitors</t>
        </is>
      </c>
      <c r="B100" s="500" t="inlineStr">
        <is>
          <t>Meta</t>
        </is>
      </c>
      <c r="C100" s="500" t="inlineStr">
        <is>
          <t>URL contains /open-day</t>
        </is>
      </c>
      <c r="D100" s="500" t="inlineStr">
        <is>
          <t>5,000</t>
        </is>
      </c>
      <c r="E100" s="500" t="inlineStr">
        <is>
          <t>30 ngày</t>
        </is>
      </c>
      <c r="F100" s="500" t="inlineStr">
        <is>
          <t>Retarget: push registration</t>
        </is>
      </c>
      <c r="G100" s="500" t="inlineStr">
        <is>
          <t>EVT_OpenDay_Registered</t>
        </is>
      </c>
      <c r="H100" s="500" t="inlineStr">
        <is>
          <t>Ad: "Đăng ký Open Day!"</t>
        </is>
      </c>
    </row>
    <row r="101">
      <c r="A101" s="499" t="inlineStr">
        <is>
          <t>EVT_OpenDay_Registered</t>
        </is>
      </c>
      <c r="B101" s="499" t="inlineStr">
        <is>
          <t>Meta</t>
        </is>
      </c>
      <c r="C101" s="499" t="inlineStr">
        <is>
          <t>Lead event trên /open-day/*</t>
        </is>
      </c>
      <c r="D101" s="499" t="inlineStr">
        <is>
          <t>2,000</t>
        </is>
      </c>
      <c r="E101" s="499" t="inlineStr">
        <is>
          <t>30 ngày</t>
        </is>
      </c>
      <c r="F101" s="499" t="inlineStr">
        <is>
          <t>Reminders + post-event follow-up</t>
        </is>
      </c>
      <c r="G101" s="499" t="inlineStr">
        <is>
          <t>EVT_OpenDay_Attended</t>
        </is>
      </c>
      <c r="H101" s="499" t="inlineStr">
        <is>
          <t>Ad: reminder -3d, -1d</t>
        </is>
      </c>
    </row>
    <row r="102">
      <c r="A102" s="500" t="inlineStr">
        <is>
          <t>EVT_Webinar_Registered</t>
        </is>
      </c>
      <c r="B102" s="500" t="inlineStr">
        <is>
          <t>Meta</t>
        </is>
      </c>
      <c r="C102" s="500" t="inlineStr">
        <is>
          <t>Lead event trên /webinar-*</t>
        </is>
      </c>
      <c r="D102" s="500" t="inlineStr">
        <is>
          <t>1,500</t>
        </is>
      </c>
      <c r="E102" s="500" t="inlineStr">
        <is>
          <t>30 ngày</t>
        </is>
      </c>
      <c r="F102" s="500" t="inlineStr">
        <is>
          <t>Reminders + replay push</t>
        </is>
      </c>
      <c r="G102" s="500" t="inlineStr">
        <is>
          <t>N/A</t>
        </is>
      </c>
      <c r="H102" s="500" t="inlineStr">
        <is>
          <t>Ad: "Xem replay webinar"</t>
        </is>
      </c>
    </row>
    <row r="103">
      <c r="A103" s="499" t="inlineStr">
        <is>
          <t>LAL_Enrolled_1%</t>
        </is>
      </c>
      <c r="B103" s="499" t="inlineStr">
        <is>
          <t>Meta</t>
        </is>
      </c>
      <c r="C103" s="499" t="inlineStr">
        <is>
          <t>Lookalike 1% based on FNL_*_Enrolled (all grades)</t>
        </is>
      </c>
      <c r="D103" s="499" t="inlineStr">
        <is>
          <t>Auto (Meta)</t>
        </is>
      </c>
      <c r="E103" s="499" t="inlineStr">
        <is>
          <t>Ongoing</t>
        </is>
      </c>
      <c r="F103" s="499" t="inlineStr">
        <is>
          <t>Top-of-funnel cold traffic - BEST audience</t>
        </is>
      </c>
      <c r="G103" s="499" t="inlineStr">
        <is>
          <t>All remarketing audiences</t>
        </is>
      </c>
      <c r="H103" s="499" t="inlineStr">
        <is>
          <t>Awareness + Lead Gen campaigns</t>
        </is>
      </c>
    </row>
    <row r="104">
      <c r="A104" s="500" t="inlineStr">
        <is>
          <t>LAL_Tour_Booked_1%</t>
        </is>
      </c>
      <c r="B104" s="500" t="inlineStr">
        <is>
          <t>Meta</t>
        </is>
      </c>
      <c r="C104" s="500" t="inlineStr">
        <is>
          <t>Lookalike 1% based on FNL_*_Tour_Booked</t>
        </is>
      </c>
      <c r="D104" s="500" t="inlineStr">
        <is>
          <t>Auto</t>
        </is>
      </c>
      <c r="E104" s="500" t="inlineStr">
        <is>
          <t>Ongoing</t>
        </is>
      </c>
      <c r="F104" s="500" t="inlineStr">
        <is>
          <t>Mid-funnel cold traffic</t>
        </is>
      </c>
      <c r="G104" s="500" t="inlineStr">
        <is>
          <t>All remarketing audiences</t>
        </is>
      </c>
      <c r="H104" s="500" t="inlineStr">
        <is>
          <t>Lead Gen campaigns</t>
        </is>
      </c>
    </row>
    <row r="105">
      <c r="A105" s="499" t="inlineStr">
        <is>
          <t>LAL_Form_Complete_2%</t>
        </is>
      </c>
      <c r="B105" s="499" t="inlineStr">
        <is>
          <t>Meta</t>
        </is>
      </c>
      <c r="C105" s="499" t="inlineStr">
        <is>
          <t>Lookalike 2% based on all Form_Complete audiences</t>
        </is>
      </c>
      <c r="D105" s="499" t="inlineStr">
        <is>
          <t>Auto</t>
        </is>
      </c>
      <c r="E105" s="499" t="inlineStr">
        <is>
          <t>Ongoing</t>
        </is>
      </c>
      <c r="F105" s="499" t="inlineStr">
        <is>
          <t>Broader cold audience</t>
        </is>
      </c>
      <c r="G105" s="499" t="inlineStr">
        <is>
          <t>All remarketing</t>
        </is>
      </c>
      <c r="H105" s="499" t="inlineStr">
        <is>
          <t>Scale campaigns T6-T7</t>
        </is>
      </c>
    </row>
    <row r="106">
      <c r="A106" s="500" t="inlineStr">
        <is>
          <t>GADS_All_Converters</t>
        </is>
      </c>
      <c r="B106" s="500" t="inlineStr">
        <is>
          <t>Google Ads</t>
        </is>
      </c>
      <c r="C106" s="500" t="inlineStr">
        <is>
          <t>Google Ads conversion tracking: all form submits + tour bookings</t>
        </is>
      </c>
      <c r="D106" s="500" t="inlineStr">
        <is>
          <t>Auto</t>
        </is>
      </c>
      <c r="E106" s="500" t="inlineStr">
        <is>
          <t>90 ngày</t>
        </is>
      </c>
      <c r="F106" s="500" t="inlineStr">
        <is>
          <t>Exclude từ Search campaigns (đã convert)</t>
        </is>
      </c>
      <c r="G106" s="500" t="inlineStr">
        <is>
          <t>N/A</t>
        </is>
      </c>
      <c r="H106" s="500" t="inlineStr">
        <is>
          <t>Smart Bidding optimization</t>
        </is>
      </c>
    </row>
    <row r="107">
      <c r="A107" s="499" t="inlineStr">
        <is>
          <t>GADS_Similar_Converters</t>
        </is>
      </c>
      <c r="B107" s="499" t="inlineStr">
        <is>
          <t>Google Ads</t>
        </is>
      </c>
      <c r="C107" s="499" t="inlineStr">
        <is>
          <t>Similar audience to converters</t>
        </is>
      </c>
      <c r="D107" s="499" t="inlineStr">
        <is>
          <t>Auto</t>
        </is>
      </c>
      <c r="E107" s="499" t="inlineStr">
        <is>
          <t>Ongoing</t>
        </is>
      </c>
      <c r="F107" s="499" t="inlineStr">
        <is>
          <t>Expand reach cho Search + Display</t>
        </is>
      </c>
      <c r="G107" s="499" t="inlineStr">
        <is>
          <t>GADS_All_Converters</t>
        </is>
      </c>
      <c r="H107" s="499" t="inlineStr">
        <is>
          <t>Display remarketing</t>
        </is>
      </c>
    </row>
    <row r="110">
      <c r="A110" s="494" t="inlineStr">
        <is>
          <t>E. REMARKETING FLOW — TỪNG BƯỚC KHI KHÁCH HÀNG DI CHUYỂN QUA PHỄU</t>
        </is>
      </c>
    </row>
    <row r="111">
      <c r="A111" s="522" t="inlineStr">
        <is>
          <t>⚠️ NGUYÊN TẮC VÀNG: Khách hàng KHÔNG BAO GIỜ thấy lại cùng một trang. Luôn đưa sang trang TIẾP THEO.</t>
        </is>
      </c>
    </row>
    <row r="113">
      <c r="A113" s="495" t="inlineStr">
        <is>
          <t>Bước</t>
        </is>
      </c>
      <c r="B113" s="495" t="inlineStr">
        <is>
          <t>Hành vi khách hàng</t>
        </is>
      </c>
      <c r="C113" s="495" t="inlineStr">
        <is>
          <t>Audience IN</t>
        </is>
      </c>
      <c r="D113" s="495" t="inlineStr">
        <is>
          <t>Audience EXCLUDE</t>
        </is>
      </c>
      <c r="E113" s="495" t="inlineStr">
        <is>
          <t>Ads Creative</t>
        </is>
      </c>
      <c r="F113" s="495" t="inlineStr">
        <is>
          <t>Landing Page đích (KHÁC trang cũ)</t>
        </is>
      </c>
      <c r="G113" s="495" t="inlineStr">
        <is>
          <t>Thời gian chờ</t>
        </is>
      </c>
      <c r="H113" s="495" t="inlineStr">
        <is>
          <t>Budget/ngày</t>
        </is>
      </c>
      <c r="I113" s="495" t="inlineStr">
        <is>
          <t>Frequency cap</t>
        </is>
      </c>
      <c r="J113" s="495" t="inlineStr">
        <is>
          <t>Kênh</t>
        </is>
      </c>
    </row>
    <row r="114">
      <c r="A114" s="530" t="inlineStr">
        <is>
          <t>1</t>
        </is>
      </c>
      <c r="B114" s="499" t="inlineStr">
        <is>
          <t>Lần đầu vào Trang 1 LP → KHÔNG submit form → Rời đi</t>
        </is>
      </c>
      <c r="C114" s="499" t="inlineStr">
        <is>
          <t>FNL_MN_LP_Visitors</t>
        </is>
      </c>
      <c r="D114" s="499" t="inlineStr">
        <is>
          <t>FNL_MN_Form_Complete, FNL_MN_Testimonial</t>
        </is>
      </c>
      <c r="E114" s="499" t="inlineStr">
        <is>
          <t>Video: "Hơn 5,000 PH tin tưởng — Xem câu chuyện" (30s)
Carousel: 5 testimonial quotes</t>
        </is>
      </c>
      <c r="F114" s="499" t="inlineStr">
        <is>
          <t>→ TRANG 3: forms.truongvietanh.com/tuyen-sinh-mam-non/phu-huynh-noi-gi</t>
        </is>
      </c>
      <c r="G114" s="499" t="inlineStr">
        <is>
          <t>24 giờ sau visit</t>
        </is>
      </c>
      <c r="H114" s="499" t="inlineStr">
        <is>
          <t>200K VND</t>
        </is>
      </c>
      <c r="I114" s="499" t="inlineStr">
        <is>
          <t>2 lần/ngày/người</t>
        </is>
      </c>
      <c r="J114" s="499" t="inlineStr">
        <is>
          <t>Meta, TikTok</t>
        </is>
      </c>
    </row>
    <row r="115">
      <c r="A115" s="530" t="inlineStr">
        <is>
          <t>2</t>
        </is>
      </c>
      <c r="B115" s="500" t="inlineStr">
        <is>
          <t>Đã xem Trang 3 (Testimonial) → Tin tưởng hơn → KHÔNG submit</t>
        </is>
      </c>
      <c r="C115" s="500" t="inlineStr">
        <is>
          <t>FNL_MN_Testimonial</t>
        </is>
      </c>
      <c r="D115" s="500" t="inlineStr">
        <is>
          <t>FNL_MN_Form_Complete, FNL_MN_Program</t>
        </is>
      </c>
      <c r="E115" s="500" t="inlineStr">
        <is>
          <t>Infographic: "So sánh 5 chương trình MN: Montessori, STEM, Song ngữ..."
Carousel: So sánh bảng</t>
        </is>
      </c>
      <c r="F115" s="500" t="inlineStr">
        <is>
          <t>→ TRANG 4: forms.truongvietanh.com/tuyen-sinh-mam-non/chuong-trinh</t>
        </is>
      </c>
      <c r="G115" s="500" t="inlineStr">
        <is>
          <t>48 giờ</t>
        </is>
      </c>
      <c r="H115" s="500" t="inlineStr">
        <is>
          <t>150K VND</t>
        </is>
      </c>
      <c r="I115" s="500" t="inlineStr">
        <is>
          <t>2 lần/ngày</t>
        </is>
      </c>
      <c r="J115" s="500" t="inlineStr">
        <is>
          <t>Meta</t>
        </is>
      </c>
    </row>
    <row r="116">
      <c r="A116" s="530" t="inlineStr">
        <is>
          <t>3</t>
        </is>
      </c>
      <c r="B116" s="499" t="inlineStr">
        <is>
          <t>Đã xem Trang 4 (Chương trình) → Đã nghiên cứu → KHÔNG submit</t>
        </is>
      </c>
      <c r="C116" s="499" t="inlineStr">
        <is>
          <t>FNL_MN_Program</t>
        </is>
      </c>
      <c r="D116" s="499" t="inlineStr">
        <is>
          <t>FNL_MN_Form_Complete, FNL_MN_Tuition</t>
        </is>
      </c>
      <c r="E116" s="499" t="inlineStr">
        <is>
          <t>Dynamic: "Học phí MN 2026 từ [X]M/tháng — Ưu đãi giảm 10%"
Countdown timer image</t>
        </is>
      </c>
      <c r="F116" s="499" t="inlineStr">
        <is>
          <t>→ TRANG 5: forms.truongvietanh.com/tuyen-sinh-mam-non/hoc-phi</t>
        </is>
      </c>
      <c r="G116" s="499" t="inlineStr">
        <is>
          <t>48 giờ</t>
        </is>
      </c>
      <c r="H116" s="499" t="inlineStr">
        <is>
          <t>200K VND</t>
        </is>
      </c>
      <c r="I116" s="499" t="inlineStr">
        <is>
          <t>3 lần/ngày</t>
        </is>
      </c>
      <c r="J116" s="499" t="inlineStr">
        <is>
          <t>Meta, Zalo</t>
        </is>
      </c>
    </row>
    <row r="117">
      <c r="A117" s="530" t="inlineStr">
        <is>
          <t>4</t>
        </is>
      </c>
      <c r="B117" s="500" t="inlineStr">
        <is>
          <t>Đã xem Trang 5 (Học phí) → Quan tâm giá → VẪN KHÔNG submit</t>
        </is>
      </c>
      <c r="C117" s="500" t="inlineStr">
        <is>
          <t>FNL_MN_Tuition</t>
        </is>
      </c>
      <c r="D117" s="500" t="inlineStr">
        <is>
          <t>FNL_MN_Form_Complete</t>
        </is>
      </c>
      <c r="E117" s="500" t="inlineStr">
        <is>
          <t>Urgency: "Chỉ còn [X] ngày ưu đãi — Đăng ký ngay!"
Video: Tour nhanh 15s + CTA</t>
        </is>
      </c>
      <c r="F117" s="500" t="inlineStr">
        <is>
          <t>→ TRANG 1 VARIANT B: forms.truongvietanh.com/tuyen-sinh-mam-non?v=b
(Layout khác, headline khác, social proof nhiều hơn)</t>
        </is>
      </c>
      <c r="G117" s="500" t="inlineStr">
        <is>
          <t>24 giờ</t>
        </is>
      </c>
      <c r="H117" s="500" t="inlineStr">
        <is>
          <t>300K VND</t>
        </is>
      </c>
      <c r="I117" s="500" t="inlineStr">
        <is>
          <t>3 lần/ngày</t>
        </is>
      </c>
      <c r="J117" s="500" t="inlineStr">
        <is>
          <t>Meta, Zalo, TikTok</t>
        </is>
      </c>
    </row>
    <row r="118">
      <c r="A118" s="531" t="inlineStr">
        <is>
          <t>5</t>
        </is>
      </c>
      <c r="B118" s="499" t="inlineStr">
        <is>
          <t>Đã submit form Trang 1 → Lead captured → CHƯA book tour</t>
        </is>
      </c>
      <c r="C118" s="499" t="inlineStr">
        <is>
          <t>FNL_MN_Form_Complete</t>
        </is>
      </c>
      <c r="D118" s="499" t="inlineStr">
        <is>
          <t>FNL_MN_Tour_Booked</t>
        </is>
      </c>
      <c r="E118" s="499" t="inlineStr">
        <is>
          <t>Personalized: "Chào [Tên PH], đặt lịch tham quan chỉ mất 30 giây"
Calendar preview image</t>
        </is>
      </c>
      <c r="F118" s="499" t="inlineStr">
        <is>
          <t>→ TRANG 2: forms.truongvietanh.com/tuyen-sinh-mam-non/cam-on#calendar</t>
        </is>
      </c>
      <c r="G118" s="499" t="inlineStr">
        <is>
          <t>48 giờ</t>
        </is>
      </c>
      <c r="H118" s="499" t="inlineStr">
        <is>
          <t>150K VND</t>
        </is>
      </c>
      <c r="I118" s="499" t="inlineStr">
        <is>
          <t>1 lần/ngày</t>
        </is>
      </c>
      <c r="J118" s="499" t="inlineStr">
        <is>
          <t>Meta</t>
        </is>
      </c>
    </row>
    <row r="119">
      <c r="A119" s="531" t="inlineStr">
        <is>
          <t>6</t>
        </is>
      </c>
      <c r="B119" s="500" t="inlineStr">
        <is>
          <t>Đã book tour → Tour date sắp đến</t>
        </is>
      </c>
      <c r="C119" s="500" t="inlineStr">
        <is>
          <t>FNL_MN_Tour_Booked</t>
        </is>
      </c>
      <c r="D119" s="500" t="inlineStr">
        <is>
          <t>FNL_MN_Tour_Attended</t>
        </is>
      </c>
      <c r="E119" s="500" t="inlineStr">
        <is>
          <t>Reminder: "Hẹn gặp bạn ngày [Date]! Checklist chuẩn bị tham quan"
+ Map directions</t>
        </is>
      </c>
      <c r="F119" s="500" t="inlineStr">
        <is>
          <t>→ KHÔNG đưa sang LP mới. Chỉ hiển thị reminder ad.</t>
        </is>
      </c>
      <c r="G119" s="500" t="inlineStr">
        <is>
          <t>-3 ngày, -1 ngày, -2 giờ</t>
        </is>
      </c>
      <c r="H119" s="500" t="inlineStr">
        <is>
          <t>50K VND</t>
        </is>
      </c>
      <c r="I119" s="500" t="inlineStr">
        <is>
          <t>1 lần/ngày</t>
        </is>
      </c>
      <c r="J119" s="500" t="inlineStr">
        <is>
          <t>Meta, Zalo SMS</t>
        </is>
      </c>
    </row>
    <row r="120">
      <c r="A120" s="531" t="inlineStr">
        <is>
          <t>7</t>
        </is>
      </c>
      <c r="B120" s="499" t="inlineStr">
        <is>
          <t>NO-SHOW: Đã book tour nhưng không đến</t>
        </is>
      </c>
      <c r="C120" s="499" t="inlineStr">
        <is>
          <t>FNL_MN_Tour_Booked
+ GHL tag "no_show"</t>
        </is>
      </c>
      <c r="D120" s="499" t="inlineStr">
        <is>
          <t>FNL_MN_Tour_Attended</t>
        </is>
      </c>
      <c r="E120" s="499" t="inlineStr">
        <is>
          <t>Friendly: "Rất tiếc bạn chưa đến — Đặt lại lịch nhanh chỉ 30s"
New incentive: tặng quà khi đến</t>
        </is>
      </c>
      <c r="F120" s="499" t="inlineStr">
        <is>
          <t>→ TRANG 2: forms.truongvietanh.com/tuyen-sinh-mam-non/cam-on (đặt lại lịch)</t>
        </is>
      </c>
      <c r="G120" s="499" t="inlineStr">
        <is>
          <t>24 giờ sau tour date</t>
        </is>
      </c>
      <c r="H120" s="499" t="inlineStr">
        <is>
          <t>100K VND</t>
        </is>
      </c>
      <c r="I120" s="499" t="inlineStr">
        <is>
          <t>1 lần/ngày</t>
        </is>
      </c>
      <c r="J120" s="499" t="inlineStr">
        <is>
          <t>Meta, Zalo</t>
        </is>
      </c>
    </row>
    <row r="121">
      <c r="A121" s="524" t="inlineStr">
        <is>
          <t>8</t>
        </is>
      </c>
      <c r="B121" s="500" t="inlineStr">
        <is>
          <t>Đã tham quan → Ấn tượng tốt → CHƯA đăng ký enroll</t>
        </is>
      </c>
      <c r="C121" s="500" t="inlineStr">
        <is>
          <t>FNL_MN_Tour_Attended</t>
        </is>
      </c>
      <c r="D121" s="500" t="inlineStr">
        <is>
          <t>FNL_MN_Enrolled</t>
        </is>
      </c>
      <c r="E121" s="500" t="inlineStr">
        <is>
          <t>Social proof: "200+ PH đã đăng ký sau tham quan"
Urgency: "Giữ chỗ cho bé — Chỉ còn X chỗ"
Testimonial từ PH mới enroll</t>
        </is>
      </c>
      <c r="F121" s="500" t="inlineStr">
        <is>
          <t>→ TRANG 5: forms.truongvietanh.com/tuyen-sinh-mam-non/hoc-phi?offer=post-tour
(Ưu đãi đặc biệt cho PH đã tour)</t>
        </is>
      </c>
      <c r="G121" s="500" t="inlineStr">
        <is>
          <t>3 ngày sau tour</t>
        </is>
      </c>
      <c r="H121" s="500" t="inlineStr">
        <is>
          <t>200K VND</t>
        </is>
      </c>
      <c r="I121" s="500" t="inlineStr">
        <is>
          <t>2 lần/ngày</t>
        </is>
      </c>
      <c r="J121" s="500" t="inlineStr">
        <is>
          <t>Meta, Zalo, Email</t>
        </is>
      </c>
    </row>
    <row r="122">
      <c r="A122" s="524" t="inlineStr">
        <is>
          <t>9</t>
        </is>
      </c>
      <c r="B122" s="499" t="inlineStr">
        <is>
          <t>COLD LEAD: 30+ ngày không hoạt động (bất kỳ stage nào)</t>
        </is>
      </c>
      <c r="C122" s="499" t="inlineStr">
        <is>
          <t>All FNL_MN_* audiences
+ NOT active last 14 days</t>
        </is>
      </c>
      <c r="D122" s="499" t="inlineStr">
        <is>
          <t>FNL_MN_Enrolled
FNL_MN_Active_14d</t>
        </is>
      </c>
      <c r="E122" s="499" t="inlineStr">
        <is>
          <t>Win-back: "Cơ hội cuối — Ưu đãi đặc biệt chỉ dành cho bạn"
Exclusive discount code</t>
        </is>
      </c>
      <c r="F122" s="499" t="inlineStr">
        <is>
          <t>→ TRANG ĐẶC BIỆT: forms.truongvietanh.com/tuyen-sinh-mam-non/hoc-phi?offer=winback
(Trang riêng với ưu đãi cao hơn bình thường)</t>
        </is>
      </c>
      <c r="G122" s="499" t="inlineStr">
        <is>
          <t>Sau 30 ngày cold</t>
        </is>
      </c>
      <c r="H122" s="499" t="inlineStr">
        <is>
          <t>100K VND</t>
        </is>
      </c>
      <c r="I122" s="499" t="inlineStr">
        <is>
          <t>1 lần/2 ngày</t>
        </is>
      </c>
      <c r="J122" s="499" t="inlineStr">
        <is>
          <t>Meta, Email</t>
        </is>
      </c>
    </row>
    <row r="123">
      <c r="A123" s="532" t="inlineStr">
        <is>
          <t>10</t>
        </is>
      </c>
      <c r="B123" s="500" t="inlineStr">
        <is>
          <t>ENROLLED: Đã đăng ký thành công</t>
        </is>
      </c>
      <c r="C123" s="500" t="inlineStr">
        <is>
          <t>FNL_MN_Enrolled</t>
        </is>
      </c>
      <c r="D123" s="500" t="inlineStr">
        <is>
          <t>N/A — EXCLUDE khỏi TẤT CẢ tuyển sinh ads</t>
        </is>
      </c>
      <c r="E123" s="500" t="inlineStr">
        <is>
          <t>❌ KHÔNG chạy ads tuyển sinh nữa
✅ Chỉ chạy: Referral program, Welcome content, Retention</t>
        </is>
      </c>
      <c r="F123" s="500" t="inlineStr">
        <is>
          <t>→ forms.truongvietanh.com/gioi-thieu-ban (Referral program)
Hoặc không chạy ads</t>
        </is>
      </c>
      <c r="G123" s="500" t="inlineStr">
        <is>
          <t>Ngay khi enrolled</t>
        </is>
      </c>
      <c r="H123" s="500" t="inlineStr">
        <is>
          <t>0 (hoặc referral budget)</t>
        </is>
      </c>
      <c r="I123" s="500" t="inlineStr">
        <is>
          <t>N/A</t>
        </is>
      </c>
      <c r="J123" s="500" t="inlineStr">
        <is>
          <t>Email, Zalo only</t>
        </is>
      </c>
    </row>
    <row r="126">
      <c r="A126" s="494" t="inlineStr">
        <is>
          <t>F. CONVERSION API (CAPI) — SERVER-SIDE TRACKING SETUP</t>
        </is>
      </c>
    </row>
    <row r="128">
      <c r="A128" s="495" t="inlineStr">
        <is>
          <t>Bước</t>
        </is>
      </c>
      <c r="B128" s="495" t="inlineStr">
        <is>
          <t>Chi tiết thực hiện</t>
        </is>
      </c>
      <c r="C128" s="495" t="inlineStr">
        <is>
          <t>Platform</t>
        </is>
      </c>
      <c r="D128" s="495" t="inlineStr">
        <is>
          <t>Technical Details</t>
        </is>
      </c>
      <c r="E128" s="495" t="inlineStr">
        <is>
          <t>Testing</t>
        </is>
      </c>
      <c r="F128" s="495" t="inlineStr">
        <is>
          <t>Ghi chú</t>
        </is>
      </c>
    </row>
    <row r="129">
      <c r="A129" s="499" t="inlineStr">
        <is>
          <t>1</t>
        </is>
      </c>
      <c r="B129" s="499" t="inlineStr">
        <is>
          <t>Tạo System User trong Meta Business Manager</t>
        </is>
      </c>
      <c r="C129" s="499" t="inlineStr">
        <is>
          <t>Meta</t>
        </is>
      </c>
      <c r="D129" s="499" t="inlineStr">
        <is>
          <t>Business Manager → System Users → Generate Token (pages_read_engagement, ads_management, business_management)</t>
        </is>
      </c>
      <c r="E129" s="499" t="inlineStr">
        <is>
          <t>Test API call: GET /me</t>
        </is>
      </c>
      <c r="F129" s="499" t="inlineStr">
        <is>
          <t>Token không hết hạn</t>
        </is>
      </c>
    </row>
    <row r="130">
      <c r="A130" s="500" t="inlineStr">
        <is>
          <t>2</t>
        </is>
      </c>
      <c r="B130" s="500" t="inlineStr">
        <is>
          <t>Lấy Pixel ID + Access Token</t>
        </is>
      </c>
      <c r="C130" s="500" t="inlineStr">
        <is>
          <t>Meta</t>
        </is>
      </c>
      <c r="D130" s="500" t="inlineStr">
        <is>
          <t>Events Manager → Pixel → Settings → Conversions API → Generate Access Token</t>
        </is>
      </c>
      <c r="E130" s="500" t="inlineStr">
        <is>
          <t>Test: Send test event qua Graph API Explorer</t>
        </is>
      </c>
      <c r="F130" s="500" t="inlineStr"/>
    </row>
    <row r="131">
      <c r="A131" s="499" t="inlineStr">
        <is>
          <t>3</t>
        </is>
      </c>
      <c r="B131" s="499" t="inlineStr">
        <is>
          <t>Setup GHL → CAPI Webhook</t>
        </is>
      </c>
      <c r="C131" s="499" t="inlineStr">
        <is>
          <t>GHL + Meta</t>
        </is>
      </c>
      <c r="D131" s="499" t="inlineStr">
        <is>
          <t>GHL Workflow: Form submit → HTTP POST → https://graph.facebook.com/v18.0/{pixel_id}/events
Body: {data: [{event_name: "Lead", event_time, user_data: {em: SHA256(email), ph: SHA256(phone), fbc, fbp}, custom_data: {content_name, currency: "VND"}, event_source_url, action_source: "website"}], access_token}</t>
        </is>
      </c>
      <c r="E131" s="499" t="inlineStr">
        <is>
          <t>GHL → Test workflow → Check Events Manager → Test Events tab</t>
        </is>
      </c>
      <c r="F131" s="499" t="inlineStr">
        <is>
          <t>SHA256 hash email + phone</t>
        </is>
      </c>
    </row>
    <row r="132">
      <c r="A132" s="500" t="inlineStr">
        <is>
          <t>4</t>
        </is>
      </c>
      <c r="B132" s="500" t="inlineStr">
        <is>
          <t>Setup deduplication</t>
        </is>
      </c>
      <c r="C132" s="500" t="inlineStr">
        <is>
          <t>Meta</t>
        </is>
      </c>
      <c r="D132" s="500" t="inlineStr">
        <is>
          <t>Event ID: generate unique ID trên cả browser pixel VÀ server CAPI
Meta tự deduplicate nếu event_id + event_name match</t>
        </is>
      </c>
      <c r="E132" s="500" t="inlineStr">
        <is>
          <t>Fire cùng event → check Events Manager chỉ count 1</t>
        </is>
      </c>
      <c r="F132" s="500" t="inlineStr">
        <is>
          <t>CRITICAL: tránh double-counting</t>
        </is>
      </c>
    </row>
    <row r="133">
      <c r="A133" s="499" t="inlineStr">
        <is>
          <t>5</t>
        </is>
      </c>
      <c r="B133" s="499" t="inlineStr">
        <is>
          <t>Verify Event Match Quality</t>
        </is>
      </c>
      <c r="C133" s="499" t="inlineStr">
        <is>
          <t>Meta</t>
        </is>
      </c>
      <c r="D133" s="499" t="inlineStr">
        <is>
          <t>Events Manager → Diagnostics → Event Match Quality score
Target: ≥7.0/10. Cải thiện bằng gửi thêm: external_id, client_ip_address, client_user_agent</t>
        </is>
      </c>
      <c r="E133" s="499" t="inlineStr">
        <is>
          <t>Check score sau 48h chạy</t>
        </is>
      </c>
      <c r="F133" s="499" t="inlineStr">
        <is>
          <t>Score càng cao → ads optimize tốt hơn</t>
        </is>
      </c>
    </row>
    <row r="134">
      <c r="A134" s="500" t="inlineStr">
        <is>
          <t>6</t>
        </is>
      </c>
      <c r="B134" s="500" t="inlineStr">
        <is>
          <t>Setup CAPI cho Purchase (Enroll)</t>
        </is>
      </c>
      <c r="C134" s="500" t="inlineStr">
        <is>
          <t>Meta + GHL</t>
        </is>
      </c>
      <c r="D134" s="500" t="inlineStr">
        <is>
          <t>GHL Workflow: Pipeline stage = "Enrolled" → HTTP POST CAPI event "Purchase"
value = học phí năm (VND), currency = VND</t>
        </is>
      </c>
      <c r="E134" s="500" t="inlineStr">
        <is>
          <t>Test với dummy enrollment → Check Events Manager</t>
        </is>
      </c>
      <c r="F134" s="500" t="inlineStr">
        <is>
          <t>Value-based optimization</t>
        </is>
      </c>
    </row>
    <row r="135">
      <c r="A135" s="499" t="inlineStr">
        <is>
          <t>7</t>
        </is>
      </c>
      <c r="B135" s="499" t="inlineStr">
        <is>
          <t>Google Enhanced Conversions</t>
        </is>
      </c>
      <c r="C135" s="499" t="inlineStr">
        <is>
          <t>Google</t>
        </is>
      </c>
      <c r="D135" s="499" t="inlineStr">
        <is>
          <t>GTM → Google Ads Conversion tag → Enhanced Conversions checkbox ON
Provide: email (hashed), phone (hashed) from form</t>
        </is>
      </c>
      <c r="E135" s="499" t="inlineStr">
        <is>
          <t>Test: Submit form → Check Google Ads → Conversions → Diagnostics</t>
        </is>
      </c>
      <c r="F135" s="499" t="inlineStr">
        <is>
          <t>Tương tự CAPI nhưng cho Google</t>
        </is>
      </c>
    </row>
    <row r="136">
      <c r="A136" s="500" t="inlineStr">
        <is>
          <t>8</t>
        </is>
      </c>
      <c r="B136" s="500" t="inlineStr">
        <is>
          <t>TikTok Events API</t>
        </is>
      </c>
      <c r="C136" s="500" t="inlineStr">
        <is>
          <t>TikTok</t>
        </is>
      </c>
      <c r="D136" s="500" t="inlineStr">
        <is>
          <t>TikTok Events API → POST https://business-api.tiktok.com/open_api/v1.3/pixel/track/
Similar setup: event, user data (hashed), properties</t>
        </is>
      </c>
      <c r="E136" s="500" t="inlineStr">
        <is>
          <t>TikTok Events Manager → Test Events</t>
        </is>
      </c>
      <c r="F136" s="500" t="inlineStr">
        <is>
          <t>Ít quan trọng hơn Meta CAPI</t>
        </is>
      </c>
    </row>
    <row r="139">
      <c r="A139" s="494" t="inlineStr">
        <is>
          <t>G. DATALAYER PUSH — CODE CÀI TRÊN GHL LANDING PAGES</t>
        </is>
      </c>
    </row>
    <row r="141">
      <c r="A141" s="495" t="inlineStr">
        <is>
          <t>Trang</t>
        </is>
      </c>
      <c r="B141" s="495" t="inlineStr">
        <is>
          <t>Code cài đặt</t>
        </is>
      </c>
      <c r="C141" s="495" t="inlineStr">
        <is>
          <t>Event pushed</t>
        </is>
      </c>
      <c r="D141" s="495" t="inlineStr">
        <is>
          <t>Mục đích</t>
        </is>
      </c>
    </row>
    <row r="142">
      <c r="A142" s="499" t="inlineStr">
        <is>
          <t>Tất cả Landing Pages (Header)</t>
        </is>
      </c>
      <c r="B142" s="499" t="inlineStr">
        <is>
          <t>&lt;script&gt;window.dataLayer=window.dataLayer||[];dataLayer.push({'page_type':'landing_page','campus':'{{campus}}','grade_level':'{{grade}}'});&lt;/script&gt;</t>
        </is>
      </c>
      <c r="C142" s="499" t="inlineStr">
        <is>
          <t>page_type, campus, grade_level</t>
        </is>
      </c>
      <c r="D142" s="499" t="inlineStr">
        <is>
          <t>Identify trang + cơ sở cho GTM</t>
        </is>
      </c>
    </row>
    <row r="143">
      <c r="A143" s="500" t="inlineStr">
        <is>
          <t>Form — khi user focus vào field đầu tiên</t>
        </is>
      </c>
      <c r="B143" s="500" t="inlineStr">
        <is>
          <t>document.querySelector("input[name=first_name]").addEventListener("focus",function(){dataLayer.push({'event':'form_start','form_name':'{{form_name}}'})});</t>
        </is>
      </c>
      <c r="C143" s="500" t="inlineStr">
        <is>
          <t>form_start</t>
        </is>
      </c>
      <c r="D143" s="500" t="inlineStr">
        <is>
          <t>Trigger Meta InitiateCheckout</t>
        </is>
      </c>
    </row>
    <row r="144">
      <c r="A144" s="499" t="inlineStr">
        <is>
          <t>Form — khi submit thành công</t>
        </is>
      </c>
      <c r="B144" s="499" t="inlineStr">
        <is>
          <t>GHL form onSuccess callback:
dataLayer.push({'event':'ghl_form_submit','form_name':'{{form_name}}','campus':'{{campus}}','grade':'{{grade}}','lead_value':'500000'});</t>
        </is>
      </c>
      <c r="C144" s="499" t="inlineStr">
        <is>
          <t>ghl_form_submit</t>
        </is>
      </c>
      <c r="D144" s="499" t="inlineStr">
        <is>
          <t>Trigger tất cả Lead events (GA4, Meta, TikTok, Zalo, Google)</t>
        </is>
      </c>
    </row>
    <row r="145">
      <c r="A145" s="500" t="inlineStr">
        <is>
          <t>Thank You page (Tour booked)</t>
        </is>
      </c>
      <c r="B145" s="500" t="inlineStr">
        <is>
          <t>dataLayer.push({'event':'tour_booked','campus':'{{campus}}','tour_date':'{{date}}'});</t>
        </is>
      </c>
      <c r="C145" s="500" t="inlineStr">
        <is>
          <t>tour_booked</t>
        </is>
      </c>
      <c r="D145" s="500" t="inlineStr">
        <is>
          <t>Trigger Schedule/Purchase events</t>
        </is>
      </c>
    </row>
    <row r="146">
      <c r="A146" s="499" t="inlineStr">
        <is>
          <t>PDF Download button</t>
        </is>
      </c>
      <c r="B146" s="499" t="inlineStr">
        <is>
          <t>document.querySelector(".pdf-download").addEventListener("click",function(){dataLayer.push({'event':'pdf_download','file_name':'cam-nang-chon-truong.pdf'})});</t>
        </is>
      </c>
      <c r="C146" s="499" t="inlineStr">
        <is>
          <t>pdf_download</t>
        </is>
      </c>
      <c r="D146" s="499" t="inlineStr">
        <is>
          <t>Trigger AddToCart event</t>
        </is>
      </c>
    </row>
    <row r="147">
      <c r="A147" s="500" t="inlineStr">
        <is>
          <t>Video — YouTube embed tracking</t>
        </is>
      </c>
      <c r="B147" s="500" t="inlineStr">
        <is>
          <t>&lt;script&gt;var tag=document.createElement("script");tag.src="https://www.youtube.com/iframe_api";&lt;/script&gt;
// onPlayerStateChange → dataLayer.push video events</t>
        </is>
      </c>
      <c r="C147" s="500" t="inlineStr">
        <is>
          <t>video_start, video_progress, video_complete</t>
        </is>
      </c>
      <c r="D147" s="500" t="inlineStr">
        <is>
          <t>GA4 video tracking</t>
        </is>
      </c>
    </row>
    <row r="150">
      <c r="A150" s="494" t="inlineStr">
        <is>
          <t>H. REVIEW TOÀN BỘ KÊNH TRUYỀN THÔNG — CHECKLIST KIỂM TRA</t>
        </is>
      </c>
    </row>
    <row r="152">
      <c r="A152" s="495" t="inlineStr">
        <is>
          <t>Kênh</t>
        </is>
      </c>
      <c r="B152" s="495" t="inlineStr">
        <is>
          <t>Tracking cài đặt</t>
        </is>
      </c>
      <c r="C152" s="495" t="inlineStr">
        <is>
          <t>Pixel/Tag</t>
        </is>
      </c>
      <c r="D152" s="495" t="inlineStr">
        <is>
          <t>CAPI/Server</t>
        </is>
      </c>
      <c r="E152" s="495" t="inlineStr">
        <is>
          <t>Custom Audiences</t>
        </is>
      </c>
      <c r="F152" s="495" t="inlineStr">
        <is>
          <t>Remarketing setup</t>
        </is>
      </c>
      <c r="G152" s="495" t="inlineStr">
        <is>
          <t>Attribution</t>
        </is>
      </c>
      <c r="H152" s="495" t="inlineStr">
        <is>
          <t>Phù hợp?</t>
        </is>
      </c>
      <c r="I152" s="495" t="inlineStr">
        <is>
          <t>Cần điều chỉnh</t>
        </is>
      </c>
      <c r="J152" s="495" t="inlineStr">
        <is>
          <t>Ưu tiên</t>
        </is>
      </c>
    </row>
    <row r="153">
      <c r="A153" s="499" t="inlineStr">
        <is>
          <t>Meta Ads (FB+IG)</t>
        </is>
      </c>
      <c r="B153" s="499" t="inlineStr">
        <is>
          <t>GA4 + Meta Pixel + CAPI</t>
        </is>
      </c>
      <c r="C153" s="499" t="inlineStr">
        <is>
          <t>✅ Meta Pixel (browser)
✅ 6 events configured</t>
        </is>
      </c>
      <c r="D153" s="499" t="inlineStr">
        <is>
          <t>✅ CAPI qua GHL webhook
✅ Deduplication</t>
        </is>
      </c>
      <c r="E153" s="499" t="inlineStr">
        <is>
          <t>✅ 25+ Custom Audiences
✅ 3 Lookalikes</t>
        </is>
      </c>
      <c r="F153" s="499" t="inlineStr">
        <is>
          <t>✅ 10-step remarketing flow
✅ Exclude logic per stage</t>
        </is>
      </c>
      <c r="G153" s="499" t="inlineStr">
        <is>
          <t>✅ 7-day click, 1-day view</t>
        </is>
      </c>
      <c r="H153" s="532" t="inlineStr">
        <is>
          <t>✅ ĐẦY ĐỦ</t>
        </is>
      </c>
      <c r="I153" s="499" t="inlineStr">
        <is>
          <t>Cần test CAPI event match quality
Cần verify deduplication hoạt động</t>
        </is>
      </c>
      <c r="J153" s="499" t="inlineStr">
        <is>
          <t>CAO</t>
        </is>
      </c>
    </row>
    <row r="154">
      <c r="A154" s="500" t="inlineStr">
        <is>
          <t>Google Ads</t>
        </is>
      </c>
      <c r="B154" s="500" t="inlineStr">
        <is>
          <t>GA4 + Google Ads tag + Enhanced Conv.</t>
        </is>
      </c>
      <c r="C154" s="500" t="inlineStr">
        <is>
          <t>✅ Google Ads Conversion
✅ 2 conversions (Lead, Tour)</t>
        </is>
      </c>
      <c r="D154" s="500" t="inlineStr">
        <is>
          <t>✅ Enhanced Conversions
✅ GCLID tracking</t>
        </is>
      </c>
      <c r="E154" s="500" t="inlineStr">
        <is>
          <t>✅ All Converters
✅ Similar Audiences</t>
        </is>
      </c>
      <c r="F154" s="500" t="inlineStr">
        <is>
          <t>✅ RLSA (Search)
✅ Display remarketing</t>
        </is>
      </c>
      <c r="G154" s="500" t="inlineStr">
        <is>
          <t>✅ Last-click + Data-driven</t>
        </is>
      </c>
      <c r="H154" s="532" t="inlineStr">
        <is>
          <t>✅ ĐẦY ĐỦ</t>
        </is>
      </c>
      <c r="I154" s="500" t="inlineStr">
        <is>
          <t>Thêm Offline Conversion Import (enroll data upload)
Setup Consent Mode v2</t>
        </is>
      </c>
      <c r="J154" s="500" t="inlineStr">
        <is>
          <t>CAO</t>
        </is>
      </c>
    </row>
    <row r="155">
      <c r="A155" s="499" t="inlineStr">
        <is>
          <t>TikTok Ads</t>
        </is>
      </c>
      <c r="B155" s="499" t="inlineStr">
        <is>
          <t>GA4 + TikTok Pixel + Events API</t>
        </is>
      </c>
      <c r="C155" s="499" t="inlineStr">
        <is>
          <t>✅ TikTok Pixel
✅ 2 events</t>
        </is>
      </c>
      <c r="D155" s="499" t="inlineStr">
        <is>
          <t>⚠️ Events API chưa setup
Cần thêm</t>
        </is>
      </c>
      <c r="E155" s="499" t="inlineStr">
        <is>
          <t>⚠️ Chưa tạo Custom Audiences</t>
        </is>
      </c>
      <c r="F155" s="499" t="inlineStr">
        <is>
          <t>⚠️ Chưa setup remarketing
Cần tạo audiences + retarget flow</t>
        </is>
      </c>
      <c r="G155" s="499" t="inlineStr">
        <is>
          <t>✅ Click-based</t>
        </is>
      </c>
      <c r="H155" s="530" t="inlineStr">
        <is>
          <t>⚠️ THIẾU</t>
        </is>
      </c>
      <c r="I155" s="499" t="inlineStr">
        <is>
          <t>1. Setup TikTok Events API
2. Tạo Custom Audiences
3. Setup remarketing ads
4. Add THCS/THPT targeting</t>
        </is>
      </c>
      <c r="J155" s="499" t="inlineStr">
        <is>
          <t>CAO</t>
        </is>
      </c>
    </row>
    <row r="156">
      <c r="A156" s="500" t="inlineStr">
        <is>
          <t>Zalo Ads</t>
        </is>
      </c>
      <c r="B156" s="500" t="inlineStr">
        <is>
          <t>GA4 + Zalo Pixel</t>
        </is>
      </c>
      <c r="C156" s="500" t="inlineStr">
        <is>
          <t>✅ Zalo Pixel
✅ Conversion tracking</t>
        </is>
      </c>
      <c r="D156" s="500" t="inlineStr">
        <is>
          <t>❌ Không có CAPI
(Zalo chưa support)</t>
        </is>
      </c>
      <c r="E156" s="500" t="inlineStr">
        <is>
          <t>⚠️ Hạn chế
Zalo chỉ có basic retargeting</t>
        </is>
      </c>
      <c r="F156" s="500" t="inlineStr">
        <is>
          <t>⚠️ Basic: visitors → retarget
Không có multi-step flow</t>
        </is>
      </c>
      <c r="G156" s="500" t="inlineStr">
        <is>
          <t>✅ Last-click</t>
        </is>
      </c>
      <c r="H156" s="530" t="inlineStr">
        <is>
          <t>⚠️ HẠN CHẾ</t>
        </is>
      </c>
      <c r="I156" s="500" t="inlineStr">
        <is>
          <t>Zalo Ads hạn chế về remarketing
→ BÙ: Dùng Zalo OA broadcast + GHL workflow thay thế</t>
        </is>
      </c>
      <c r="J156" s="500" t="inlineStr">
        <is>
          <t>TRUNG BÌNH</t>
        </is>
      </c>
    </row>
    <row r="157">
      <c r="A157" s="499" t="inlineStr">
        <is>
          <t>YouTube Ads</t>
        </is>
      </c>
      <c r="B157" s="499" t="inlineStr">
        <is>
          <t>GA4 + Google Ads</t>
        </is>
      </c>
      <c r="C157" s="499" t="inlineStr">
        <is>
          <t>✅ Qua Google Ads tag</t>
        </is>
      </c>
      <c r="D157" s="499" t="inlineStr">
        <is>
          <t>✅ Qua Enhanced Conv.</t>
        </is>
      </c>
      <c r="E157" s="499" t="inlineStr">
        <is>
          <t>✅ Video viewers audience
✅ Channel subscribers</t>
        </is>
      </c>
      <c r="F157" s="499" t="inlineStr">
        <is>
          <t>✅ Video viewer → Display/Search remarketing</t>
        </is>
      </c>
      <c r="G157" s="499" t="inlineStr">
        <is>
          <t>✅ Engaged view</t>
        </is>
      </c>
      <c r="H157" s="532" t="inlineStr">
        <is>
          <t>✅ OK</t>
        </is>
      </c>
      <c r="I157" s="499" t="inlineStr">
        <is>
          <t>Thêm Video Action Campaigns
Target PH xem video &gt;75% → Lead form</t>
        </is>
      </c>
      <c r="J157" s="499" t="inlineStr">
        <is>
          <t>TRUNG BÌNH</t>
        </is>
      </c>
    </row>
    <row r="158">
      <c r="A158" s="500" t="inlineStr">
        <is>
          <t>Zalo OA (Organic)</t>
        </is>
      </c>
      <c r="B158" s="500" t="inlineStr">
        <is>
          <t>GHL tracking (UTM links)</t>
        </is>
      </c>
      <c r="C158" s="500" t="inlineStr">
        <is>
          <t>❌ Không có pixel
(organic channel)</t>
        </is>
      </c>
      <c r="D158" s="500" t="inlineStr">
        <is>
          <t>❌ N/A</t>
        </is>
      </c>
      <c r="E158" s="500" t="inlineStr">
        <is>
          <t>❌ N/A (organic)</t>
        </is>
      </c>
      <c r="F158" s="500" t="inlineStr">
        <is>
          <t>✅ GHL workflow: Zalo follower → Nurture sequence
✅ Pancake CRM track conversations</t>
        </is>
      </c>
      <c r="G158" s="500" t="inlineStr">
        <is>
          <t>UTM-based</t>
        </is>
      </c>
      <c r="H158" s="532" t="inlineStr">
        <is>
          <t>✅ OK</t>
        </is>
      </c>
      <c r="I158" s="500" t="inlineStr">
        <is>
          <t>Thêm UTM link cho mọi article + broadcast
Setup UTM naming convention cho Zalo</t>
        </is>
      </c>
      <c r="J158" s="500" t="inlineStr">
        <is>
          <t>TRUNG BÌNH</t>
        </is>
      </c>
    </row>
    <row r="159">
      <c r="A159" s="499" t="inlineStr">
        <is>
          <t>Facebook Organic</t>
        </is>
      </c>
      <c r="B159" s="499" t="inlineStr">
        <is>
          <t>UTM links + Meta Pixel (khi click vào website)</t>
        </is>
      </c>
      <c r="C159" s="499" t="inlineStr">
        <is>
          <t>✅ Meta Pixel (khi visit web)</t>
        </is>
      </c>
      <c r="D159" s="499" t="inlineStr">
        <is>
          <t>❌ N/A (organic)</t>
        </is>
      </c>
      <c r="E159" s="499" t="inlineStr">
        <is>
          <t>⚠️ Page engagement audience
Nhưng không track per-post</t>
        </is>
      </c>
      <c r="F159" s="499" t="inlineStr">
        <is>
          <t>✅ Page engagers → retarget
✅ Video viewers → retarget</t>
        </is>
      </c>
      <c r="G159" s="499" t="inlineStr">
        <is>
          <t>UTM-based</t>
        </is>
      </c>
      <c r="H159" s="532" t="inlineStr">
        <is>
          <t>✅ OK</t>
        </is>
      </c>
      <c r="I159" s="499" t="inlineStr">
        <is>
          <t>Thêm UTM đầy đủ cho MỌII link từ Page
Setup FB Lead Ads integration trực tiếp với GHL</t>
        </is>
      </c>
      <c r="J159" s="499" t="inlineStr">
        <is>
          <t>THẤP</t>
        </is>
      </c>
    </row>
    <row r="160">
      <c r="A160" s="500" t="inlineStr">
        <is>
          <t>Email Marketing</t>
        </is>
      </c>
      <c r="B160" s="500" t="inlineStr">
        <is>
          <t>GHL tracking (built-in)</t>
        </is>
      </c>
      <c r="C160" s="500" t="inlineStr">
        <is>
          <t>❌ N/A (email)</t>
        </is>
      </c>
      <c r="D160" s="500" t="inlineStr">
        <is>
          <t>❌ N/A</t>
        </is>
      </c>
      <c r="E160" s="500" t="inlineStr">
        <is>
          <t>✅ GHL: email segment = Custom Audience
Upload to Meta monthly</t>
        </is>
      </c>
      <c r="F160" s="500" t="inlineStr">
        <is>
          <t>✅ GHL workflow: không open → resend
Đã click → next step</t>
        </is>
      </c>
      <c r="G160" s="500" t="inlineStr">
        <is>
          <t>GHL built-in</t>
        </is>
      </c>
      <c r="H160" s="532" t="inlineStr">
        <is>
          <t>✅ OK</t>
        </is>
      </c>
      <c r="I160" s="500" t="inlineStr">
        <is>
          <t>Upload email list lên Meta làm Custom Audience mỗi tháng
Setup domain authentication (DKIM, SPF, DMARC)</t>
        </is>
      </c>
      <c r="J160" s="500" t="inlineStr">
        <is>
          <t>TRUNG BÌNH</t>
        </is>
      </c>
    </row>
    <row r="161">
      <c r="A161" s="499" t="inlineStr">
        <is>
          <t>SMS</t>
        </is>
      </c>
      <c r="B161" s="499" t="inlineStr">
        <is>
          <t>GHL tracking</t>
        </is>
      </c>
      <c r="C161" s="499" t="inlineStr">
        <is>
          <t>❌ N/A</t>
        </is>
      </c>
      <c r="D161" s="499" t="inlineStr">
        <is>
          <t>❌ N/A</t>
        </is>
      </c>
      <c r="E161" s="499" t="inlineStr">
        <is>
          <t>❌ N/A</t>
        </is>
      </c>
      <c r="F161" s="499" t="inlineStr">
        <is>
          <t>✅ GHL workflow: SMS sent → track reply/click</t>
        </is>
      </c>
      <c r="G161" s="499" t="inlineStr">
        <is>
          <t>GHL built-in</t>
        </is>
      </c>
      <c r="H161" s="532" t="inlineStr">
        <is>
          <t>✅ OK</t>
        </is>
      </c>
      <c r="I161" s="499" t="inlineStr">
        <is>
          <t>Thêm shortened URL tracking (bit.ly hoặc GHL link)
Track SMS → website visit → conversion</t>
        </is>
      </c>
      <c r="J161" s="499" t="inlineStr">
        <is>
          <t>THẤP</t>
        </is>
      </c>
    </row>
    <row r="162">
      <c r="A162" s="500" t="inlineStr">
        <is>
          <t>Referral</t>
        </is>
      </c>
      <c r="B162" s="500" t="inlineStr">
        <is>
          <t>GHL form + UTM</t>
        </is>
      </c>
      <c r="C162" s="500" t="inlineStr">
        <is>
          <t>✅ Meta Pixel (khi visit referral page)</t>
        </is>
      </c>
      <c r="D162" s="500" t="inlineStr">
        <is>
          <t>✅ CAPI (form submit)</t>
        </is>
      </c>
      <c r="E162" s="500" t="inlineStr">
        <is>
          <t>❌ Chưa tạo</t>
        </is>
      </c>
      <c r="F162" s="500" t="inlineStr">
        <is>
          <t>❌ Chưa setup</t>
        </is>
      </c>
      <c r="G162" s="500" t="inlineStr">
        <is>
          <t>✅ UTM + coupon code</t>
        </is>
      </c>
      <c r="H162" s="530" t="inlineStr">
        <is>
          <t>⚠️ THIẾU</t>
        </is>
      </c>
      <c r="I162" s="500" t="inlineStr">
        <is>
          <t>1. Tạo referral audience
2. Thank referrer ads
3. Track referral → enrollment chain</t>
        </is>
      </c>
      <c r="J162" s="500" t="inlineStr">
        <is>
          <t>TRUNG BÌNH</t>
        </is>
      </c>
    </row>
    <row r="163">
      <c r="A163" s="499" t="inlineStr">
        <is>
          <t>Website SEO</t>
        </is>
      </c>
      <c r="B163" s="499" t="inlineStr">
        <is>
          <t>GA4 full</t>
        </is>
      </c>
      <c r="C163" s="499" t="inlineStr">
        <is>
          <t>✅ GA4 tất cả trang</t>
        </is>
      </c>
      <c r="D163" s="499" t="inlineStr">
        <is>
          <t>❌ N/A</t>
        </is>
      </c>
      <c r="E163" s="499" t="inlineStr">
        <is>
          <t>✅ Website visitors → Meta, Google audiences</t>
        </is>
      </c>
      <c r="F163" s="499" t="inlineStr">
        <is>
          <t>✅ Qua Meta + Google remarketing</t>
        </is>
      </c>
      <c r="G163" s="499" t="inlineStr">
        <is>
          <t>✅ GA4 full</t>
        </is>
      </c>
      <c r="H163" s="532" t="inlineStr">
        <is>
          <t>✅ OK</t>
        </is>
      </c>
      <c r="I163" s="499" t="inlineStr">
        <is>
          <t>Thêm Search Console integration
Setup GA4 Explorations cho funnel analysis</t>
        </is>
      </c>
      <c r="J163" s="499" t="inlineStr">
        <is>
          <t>THẤP</t>
        </is>
      </c>
    </row>
    <row r="164">
      <c r="A164" s="500" t="inlineStr">
        <is>
          <t>Influencer</t>
        </is>
      </c>
      <c r="B164" s="500" t="inlineStr">
        <is>
          <t>UTM links + coupon codes</t>
        </is>
      </c>
      <c r="C164" s="500" t="inlineStr">
        <is>
          <t>✅ Meta Pixel (khi visit)</t>
        </is>
      </c>
      <c r="D164" s="500" t="inlineStr">
        <is>
          <t>❌ N/A</t>
        </is>
      </c>
      <c r="E164" s="500" t="inlineStr">
        <is>
          <t>⚠️ Influencer page viewers</t>
        </is>
      </c>
      <c r="F164" s="500" t="inlineStr">
        <is>
          <t>❌ Chưa setup</t>
        </is>
      </c>
      <c r="G164" s="500" t="inlineStr">
        <is>
          <t>UTM + Coupon</t>
        </is>
      </c>
      <c r="H164" s="530" t="inlineStr">
        <is>
          <t>⚠️ THIẾU</t>
        </is>
      </c>
      <c r="I164" s="500" t="inlineStr">
        <is>
          <t>Mỗi influencer cần: unique UTM, unique coupon code, unique landing page variant
Track: visit → form → tour → enroll per influencer</t>
        </is>
      </c>
      <c r="J164" s="500" t="inlineStr">
        <is>
          <t>TRUNG BÌNH</t>
        </is>
      </c>
    </row>
    <row r="167">
      <c r="A167" s="494" t="inlineStr">
        <is>
          <t>I. UTM NAMING CONVENTION — QUY TẮC ĐẶT TÊN UTM</t>
        </is>
      </c>
    </row>
    <row r="169">
      <c r="A169" s="495" t="inlineStr">
        <is>
          <t>Parameter</t>
        </is>
      </c>
      <c r="B169" s="495" t="inlineStr">
        <is>
          <t>Format</t>
        </is>
      </c>
      <c r="C169" s="495" t="inlineStr">
        <is>
          <t>Ví dụ</t>
        </is>
      </c>
      <c r="D169" s="495" t="inlineStr">
        <is>
          <t>Giải thích</t>
        </is>
      </c>
    </row>
    <row r="170">
      <c r="A170" s="499" t="inlineStr">
        <is>
          <t>utm_source</t>
        </is>
      </c>
      <c r="B170" s="499" t="inlineStr">
        <is>
          <t>{platform}</t>
        </is>
      </c>
      <c r="C170" s="499" t="inlineStr">
        <is>
          <t>facebook, google, tiktok, zalo, email, sms, referral, organic</t>
        </is>
      </c>
      <c r="D170" s="499" t="inlineStr">
        <is>
          <t>Nền tảng traffic đến</t>
        </is>
      </c>
    </row>
    <row r="171">
      <c r="A171" s="500" t="inlineStr">
        <is>
          <t>utm_medium</t>
        </is>
      </c>
      <c r="B171" s="500" t="inlineStr">
        <is>
          <t>{channel_type}</t>
        </is>
      </c>
      <c r="C171" s="500" t="inlineStr">
        <is>
          <t>cpc, cpm, social, email, sms, referral, organic, display, video</t>
        </is>
      </c>
      <c r="D171" s="500" t="inlineStr">
        <is>
          <t>Loại kênh</t>
        </is>
      </c>
    </row>
    <row r="172">
      <c r="A172" s="499" t="inlineStr">
        <is>
          <t>utm_campaign</t>
        </is>
      </c>
      <c r="B172" s="499" t="inlineStr">
        <is>
          <t>{grade}_{campaign}_{month}</t>
        </is>
      </c>
      <c r="C172" s="499" t="inlineStr">
        <is>
          <t>mn_tuyensinh_t4, th_openday_t6, thcs_webinar_t5, all_hesoidong_t6</t>
        </is>
      </c>
      <c r="D172" s="499" t="inlineStr">
        <is>
          <t>Chiến dịch cụ thể</t>
        </is>
      </c>
    </row>
    <row r="173">
      <c r="A173" s="500" t="inlineStr">
        <is>
          <t>utm_content</t>
        </is>
      </c>
      <c r="B173" s="500" t="inlineStr">
        <is>
          <t>{ad_format}_{variant}</t>
        </is>
      </c>
      <c r="C173" s="500" t="inlineStr">
        <is>
          <t>carousel_v1, video_30s_v2, single_image_a, lead_form_b</t>
        </is>
      </c>
      <c r="D173" s="500" t="inlineStr">
        <is>
          <t>Phân biệt ad creative</t>
        </is>
      </c>
    </row>
    <row r="174">
      <c r="A174" s="499" t="inlineStr">
        <is>
          <t>utm_term</t>
        </is>
      </c>
      <c r="B174" s="499" t="inlineStr">
        <is>
          <t>{keyword_or_audience}</t>
        </is>
      </c>
      <c r="C174" s="499" t="inlineStr">
        <is>
          <t>truong_mam_non_go_vap, lal_enrolled_1pct, interest_parents_25_35</t>
        </is>
      </c>
      <c r="D174" s="499" t="inlineStr">
        <is>
          <t>Keyword (Google) hoặc Audience (Meta)</t>
        </is>
      </c>
    </row>
    <row r="175">
      <c r="A175" s="500" t="inlineStr">
        <is>
          <t>Ví dụ đầy đủ</t>
        </is>
      </c>
      <c r="B175" s="500" t="inlineStr">
        <is>
          <t>N/A</t>
        </is>
      </c>
      <c r="C175" s="500" t="inlineStr">
        <is>
          <t>https://forms.truongvietanh.com/tuyen-sinh-mam-non?utm_source=facebook&amp;utm_medium=cpc&amp;utm_campaign=mn_tuyensinh_t4&amp;utm_content=carousel_v1&amp;utm_term=lal_enrolled_1pct</t>
        </is>
      </c>
      <c r="D175" s="500" t="inlineStr">
        <is>
          <t>URL hoàn chỉnh với UTM</t>
        </is>
      </c>
    </row>
  </sheetData>
  <mergeCells count="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tabColor rgb="00F44336"/>
    <outlinePr summaryBelow="1" summaryRight="1"/>
    <pageSetUpPr/>
  </sheetPr>
  <dimension ref="A1:K56"/>
  <sheetViews>
    <sheetView workbookViewId="0">
      <selection activeCell="A1" sqref="A1"/>
    </sheetView>
  </sheetViews>
  <sheetFormatPr baseColWidth="8" defaultRowHeight="15"/>
  <cols>
    <col width="22" customWidth="1" style="248" min="1" max="1"/>
    <col width="22" customWidth="1" style="248" min="2" max="2"/>
    <col width="22" customWidth="1" style="248" min="3" max="3"/>
    <col width="22" customWidth="1" style="248" min="4" max="4"/>
    <col width="22" customWidth="1" style="248" min="5" max="5"/>
    <col width="22" customWidth="1" style="248" min="6" max="6"/>
    <col width="22" customWidth="1" style="248" min="7" max="7"/>
    <col width="22" customWidth="1" style="248" min="8" max="8"/>
    <col width="22" customWidth="1" style="248" min="9" max="9"/>
    <col width="22" customWidth="1" style="248" min="10" max="10"/>
    <col width="22" customWidth="1" style="248" min="11" max="11"/>
  </cols>
  <sheetData>
    <row r="1">
      <c r="A1" s="492" t="inlineStr">
        <is>
          <t>KẾ HOẠCH VIDEO MARKETING CHI TIẾT – TUYỂN SINH VIỆT ANH 2026</t>
        </is>
      </c>
    </row>
    <row r="2">
      <c r="A2" s="493" t="inlineStr">
        <is>
          <t>Kho sẵn: 100 video testimonial | Quay mới: 5-8 video/tháng | Kênh: TikTok, YouTube, Meta Reels/Stories, Zalo, Landing Pages</t>
        </is>
      </c>
    </row>
    <row r="4">
      <c r="A4" s="494" t="inlineStr">
        <is>
          <t>A. KHO VIDEO HIỆN CÓ – PHÂN LOẠI &amp; SỬ DỤNG</t>
        </is>
      </c>
    </row>
    <row r="5">
      <c r="A5" s="495" t="inlineStr">
        <is>
          <t>#</t>
        </is>
      </c>
      <c r="B5" s="495" t="inlineStr">
        <is>
          <t>Loại Video</t>
        </is>
      </c>
      <c r="C5" s="495" t="inlineStr">
        <is>
          <t>Số lượng</t>
        </is>
      </c>
      <c r="D5" s="495" t="inlineStr">
        <is>
          <t>Độ dài</t>
        </is>
      </c>
      <c r="E5" s="495" t="inlineStr">
        <is>
          <t>Nội dung</t>
        </is>
      </c>
      <c r="F5" s="495" t="inlineStr">
        <is>
          <t>Cấp học</t>
        </is>
      </c>
      <c r="G5" s="495" t="inlineStr">
        <is>
          <t>Dùng cho kênh</t>
        </is>
      </c>
      <c r="H5" s="495" t="inlineStr">
        <is>
          <t>Dùng cho Ads</t>
        </is>
      </c>
      <c r="I5" s="495" t="inlineStr">
        <is>
          <t>Trạng thái</t>
        </is>
      </c>
      <c r="J5" s="495" t="inlineStr">
        <is>
          <t>Ghi chú</t>
        </is>
      </c>
    </row>
    <row r="6">
      <c r="A6" s="496" t="n">
        <v>1</v>
      </c>
      <c r="B6" s="496" t="inlineStr">
        <is>
          <t>Testimonial Phụ huynh</t>
        </is>
      </c>
      <c r="C6" s="496" t="n">
        <v>35</v>
      </c>
      <c r="D6" s="496" t="inlineStr">
        <is>
          <t>15-60s</t>
        </is>
      </c>
      <c r="E6" s="496" t="inlineStr">
        <is>
          <t>PH chia sẻ lý do chọn VA, con thay đổi thế nào</t>
        </is>
      </c>
      <c r="F6" s="496" t="inlineStr">
        <is>
          <t>MN+TH+THCS+THPT</t>
        </is>
      </c>
      <c r="G6" s="496" t="inlineStr">
        <is>
          <t>TikTok, FB Reel, IG Story, YouTube Short</t>
        </is>
      </c>
      <c r="H6" s="496" t="inlineStr">
        <is>
          <t>Meta Spark, TikTok Spark</t>
        </is>
      </c>
      <c r="I6" s="496" t="inlineStr">
        <is>
          <t>✅ Sẵn sàng</t>
        </is>
      </c>
      <c r="J6" s="496" t="inlineStr">
        <is>
          <t>Top 10 PH → ưu tiên Spark Ads</t>
        </is>
      </c>
    </row>
    <row r="7">
      <c r="A7" s="497" t="n">
        <v>2</v>
      </c>
      <c r="B7" s="497" t="inlineStr">
        <is>
          <t>Testimonial Học sinh</t>
        </is>
      </c>
      <c r="C7" s="497" t="n">
        <v>20</v>
      </c>
      <c r="D7" s="497" t="inlineStr">
        <is>
          <t>15-30s</t>
        </is>
      </c>
      <c r="E7" s="497" t="inlineStr">
        <is>
          <t>HS chia sẻ trải nghiệm học tập, bạn bè, hoạt động</t>
        </is>
      </c>
      <c r="F7" s="497" t="inlineStr">
        <is>
          <t>TH+THCS+THPT</t>
        </is>
      </c>
      <c r="G7" s="497" t="inlineStr">
        <is>
          <t>TikTok, IG Reel, YouTube Short</t>
        </is>
      </c>
      <c r="H7" s="497" t="inlineStr">
        <is>
          <t>TikTok InFeed</t>
        </is>
      </c>
      <c r="I7" s="497" t="inlineStr">
        <is>
          <t>✅ Sẵn sàng</t>
        </is>
      </c>
      <c r="J7" s="497" t="inlineStr">
        <is>
          <t>Authentic, quay bằng phone</t>
        </is>
      </c>
    </row>
    <row r="8">
      <c r="A8" s="496" t="n">
        <v>3</v>
      </c>
      <c r="B8" s="496" t="inlineStr">
        <is>
          <t>Testimonial Giáo viên</t>
        </is>
      </c>
      <c r="C8" s="496" t="n">
        <v>10</v>
      </c>
      <c r="D8" s="496" t="inlineStr">
        <is>
          <t>30-60s</t>
        </is>
      </c>
      <c r="E8" s="496" t="inlineStr">
        <is>
          <t>GV chia sẻ phương pháp dạy, tâm huyết</t>
        </is>
      </c>
      <c r="F8" s="496" t="inlineStr">
        <is>
          <t>Liên cấp</t>
        </is>
      </c>
      <c r="G8" s="496" t="inlineStr">
        <is>
          <t>FB, YouTube, Landing Page</t>
        </is>
      </c>
      <c r="H8" s="496" t="inlineStr">
        <is>
          <t>Meta Conversions</t>
        </is>
      </c>
      <c r="I8" s="496" t="inlineStr">
        <is>
          <t>✅ Sẵn sàng</t>
        </is>
      </c>
      <c r="J8" s="496" t="inlineStr">
        <is>
          <t>Trust building mạnh</t>
        </is>
      </c>
    </row>
    <row r="9">
      <c r="A9" s="497" t="n">
        <v>4</v>
      </c>
      <c r="B9" s="497" t="inlineStr">
        <is>
          <t>Campus Tour Virtual</t>
        </is>
      </c>
      <c r="C9" s="497" t="n">
        <v>8</v>
      </c>
      <c r="D9" s="497" t="inlineStr">
        <is>
          <t>60-120s</t>
        </is>
      </c>
      <c r="E9" s="497" t="inlineStr">
        <is>
          <t>Tour ảo từng cơ sở: sân, lớp, lab, bếp, thể thao</t>
        </is>
      </c>
      <c r="F9" s="497" t="inlineStr">
        <is>
          <t>8 cơ sở</t>
        </is>
      </c>
      <c r="G9" s="497" t="inlineStr">
        <is>
          <t>YouTube, FB, Landing Page</t>
        </is>
      </c>
      <c r="H9" s="497" t="inlineStr">
        <is>
          <t>Google DG, Meta RMKT</t>
        </is>
      </c>
      <c r="I9" s="497" t="inlineStr">
        <is>
          <t>✅ Sẵn sàng</t>
        </is>
      </c>
      <c r="J9" s="497" t="inlineStr">
        <is>
          <t>1 video/campus</t>
        </is>
      </c>
    </row>
    <row r="10">
      <c r="A10" s="496" t="n">
        <v>5</v>
      </c>
      <c r="B10" s="496" t="inlineStr">
        <is>
          <t>Day-in-the-life HS</t>
        </is>
      </c>
      <c r="C10" s="496" t="n">
        <v>5</v>
      </c>
      <c r="D10" s="496" t="inlineStr">
        <is>
          <t>60-90s</t>
        </is>
      </c>
      <c r="E10" s="496" t="inlineStr">
        <is>
          <t>1 ngày của HS tại VA: sáng đến lớp → ngoại khóa → về</t>
        </is>
      </c>
      <c r="F10" s="496" t="inlineStr">
        <is>
          <t>MN+TH+THCS</t>
        </is>
      </c>
      <c r="G10" s="496" t="inlineStr">
        <is>
          <t>TikTok, IG Reel, YouTube</t>
        </is>
      </c>
      <c r="H10" s="496" t="inlineStr">
        <is>
          <t>TikTok InFeed</t>
        </is>
      </c>
      <c r="I10" s="496" t="inlineStr">
        <is>
          <t>✅ Sẵn sàng</t>
        </is>
      </c>
      <c r="J10" s="496" t="inlineStr">
        <is>
          <t>Lifestyle content</t>
        </is>
      </c>
    </row>
    <row r="11">
      <c r="A11" s="497" t="n">
        <v>6</v>
      </c>
      <c r="B11" s="497" t="inlineStr">
        <is>
          <t>Behind-the-scene GV</t>
        </is>
      </c>
      <c r="C11" s="497" t="n">
        <v>5</v>
      </c>
      <c r="D11" s="497" t="inlineStr">
        <is>
          <t>15-30s</t>
        </is>
      </c>
      <c r="E11" s="497" t="inlineStr">
        <is>
          <t>GV chuẩn bị bài, decor lớp, tâm sự</t>
        </is>
      </c>
      <c r="F11" s="497" t="inlineStr">
        <is>
          <t>Liên cấp</t>
        </is>
      </c>
      <c r="G11" s="497" t="inlineStr">
        <is>
          <t>IG Story, TikTok</t>
        </is>
      </c>
      <c r="H11" s="497" t="inlineStr">
        <is>
          <t>Organic only</t>
        </is>
      </c>
      <c r="I11" s="497" t="inlineStr">
        <is>
          <t>✅ Sẵn sàng</t>
        </is>
      </c>
      <c r="J11" s="497" t="inlineStr">
        <is>
          <t>Humanize brand</t>
        </is>
      </c>
    </row>
    <row r="12">
      <c r="A12" s="496" t="n">
        <v>7</v>
      </c>
      <c r="B12" s="496" t="inlineStr">
        <is>
          <t>Hoạt động ngoại khóa</t>
        </is>
      </c>
      <c r="C12" s="496" t="n">
        <v>10</v>
      </c>
      <c r="D12" s="496" t="inlineStr">
        <is>
          <t>15-30s</t>
        </is>
      </c>
      <c r="E12" s="496" t="inlineStr">
        <is>
          <t>STEM, Art, Music, Sports, Field trip</t>
        </is>
      </c>
      <c r="F12" s="496" t="inlineStr">
        <is>
          <t>MN+TH+THCS</t>
        </is>
      </c>
      <c r="G12" s="496" t="inlineStr">
        <is>
          <t>TikTok, FB, IG</t>
        </is>
      </c>
      <c r="H12" s="496" t="inlineStr">
        <is>
          <t>Meta Awareness</t>
        </is>
      </c>
      <c r="I12" s="496" t="inlineStr">
        <is>
          <t>✅ Sẵn sàng</t>
        </is>
      </c>
      <c r="J12" s="496" t="inlineStr">
        <is>
          <t>Showcase full program</t>
        </is>
      </c>
    </row>
    <row r="13">
      <c r="A13" s="497" t="n">
        <v>8</v>
      </c>
      <c r="B13" s="497" t="inlineStr">
        <is>
          <t>Alumni/Đầu ra ĐH</t>
        </is>
      </c>
      <c r="C13" s="497" t="n">
        <v>3</v>
      </c>
      <c r="D13" s="497" t="inlineStr">
        <is>
          <t>60-90s</t>
        </is>
      </c>
      <c r="E13" s="497" t="inlineStr">
        <is>
          <t>Cựu HS đỗ ĐH top chia sẻ journey</t>
        </is>
      </c>
      <c r="F13" s="497" t="inlineStr">
        <is>
          <t>THPT</t>
        </is>
      </c>
      <c r="G13" s="497" t="inlineStr">
        <is>
          <t>YouTube, FB, Landing Page</t>
        </is>
      </c>
      <c r="H13" s="497" t="inlineStr">
        <is>
          <t>Google DG, Meta Conv</t>
        </is>
      </c>
      <c r="I13" s="497" t="inlineStr">
        <is>
          <t>✅ Sẵn sàng</t>
        </is>
      </c>
      <c r="J13" s="497" t="inlineStr">
        <is>
          <t>Key cho THPT</t>
        </is>
      </c>
    </row>
    <row r="14">
      <c r="A14" s="496" t="n">
        <v>9</v>
      </c>
      <c r="B14" s="496" t="inlineStr">
        <is>
          <t>Brand video hệ thống</t>
        </is>
      </c>
      <c r="C14" s="496" t="n">
        <v>2</v>
      </c>
      <c r="D14" s="496" t="inlineStr">
        <is>
          <t>15s + 30s</t>
        </is>
      </c>
      <c r="E14" s="496" t="inlineStr">
        <is>
          <t>Montage 8 campus + USP overlay + logo</t>
        </is>
      </c>
      <c r="F14" s="496" t="inlineStr">
        <is>
          <t>Liên cấp</t>
        </is>
      </c>
      <c r="G14" s="496" t="inlineStr">
        <is>
          <t>YouTube pre-roll, FB InStream</t>
        </is>
      </c>
      <c r="H14" s="496" t="inlineStr">
        <is>
          <t>Google YouTube, Meta</t>
        </is>
      </c>
      <c r="I14" s="496" t="inlineStr">
        <is>
          <t>✅ Sẵn sàng</t>
        </is>
      </c>
      <c r="J14" s="496" t="inlineStr">
        <is>
          <t>Brand awareness</t>
        </is>
      </c>
    </row>
    <row r="15">
      <c r="A15" s="497" t="n">
        <v>10</v>
      </c>
      <c r="B15" s="497" t="inlineStr">
        <is>
          <t>Webinar recap/teaser</t>
        </is>
      </c>
      <c r="C15" s="497" t="n">
        <v>2</v>
      </c>
      <c r="D15" s="497" t="inlineStr">
        <is>
          <t>30-60s</t>
        </is>
      </c>
      <c r="E15" s="497" t="inlineStr">
        <is>
          <t>Highlight webinar + CTA đăng ký webinar tiếp</t>
        </is>
      </c>
      <c r="F15" s="497" t="inlineStr">
        <is>
          <t>THCS+THPT</t>
        </is>
      </c>
      <c r="G15" s="497" t="inlineStr">
        <is>
          <t>FB, YouTube, Zalo</t>
        </is>
      </c>
      <c r="H15" s="497" t="inlineStr">
        <is>
          <t>Meta, Google</t>
        </is>
      </c>
      <c r="I15" s="497" t="inlineStr">
        <is>
          <t>☐ Cần quay</t>
        </is>
      </c>
      <c r="J15" s="497" t="inlineStr">
        <is>
          <t>Sau mỗi webinar</t>
        </is>
      </c>
    </row>
    <row r="18">
      <c r="A18" s="494" t="inlineStr">
        <is>
          <t>B. KẾ HOẠCH QUAY VIDEO MỚI HÀNG THÁNG (04-09/2026)</t>
        </is>
      </c>
    </row>
    <row r="19">
      <c r="A19" s="495" t="inlineStr">
        <is>
          <t>Tháng</t>
        </is>
      </c>
      <c r="B19" s="495" t="inlineStr">
        <is>
          <t>Số video quay</t>
        </is>
      </c>
      <c r="C19" s="495" t="inlineStr">
        <is>
          <t>Loại</t>
        </is>
      </c>
      <c r="D19" s="495" t="inlineStr">
        <is>
          <t>Cấp</t>
        </is>
      </c>
      <c r="E19" s="495" t="inlineStr">
        <is>
          <t>Cơ sở</t>
        </is>
      </c>
      <c r="F19" s="495" t="inlineStr">
        <is>
          <t>Nội dung cụ thể</t>
        </is>
      </c>
      <c r="G19" s="495" t="inlineStr">
        <is>
          <t>Người tham gia</t>
        </is>
      </c>
      <c r="H19" s="495" t="inlineStr">
        <is>
          <t>Equipment</t>
        </is>
      </c>
      <c r="I19" s="495" t="inlineStr">
        <is>
          <t>Editor</t>
        </is>
      </c>
      <c r="J19" s="495" t="inlineStr">
        <is>
          <t>Deadline output</t>
        </is>
      </c>
      <c r="K19" s="495" t="inlineStr">
        <is>
          <t>Dùng cho</t>
        </is>
      </c>
    </row>
    <row r="20">
      <c r="A20" s="496" t="inlineStr">
        <is>
          <t>T4/2026</t>
        </is>
      </c>
      <c r="B20" s="496" t="n">
        <v>8</v>
      </c>
      <c r="C20" s="496" t="inlineStr">
        <is>
          <t>Testi PH mới + Campus setup</t>
        </is>
      </c>
      <c r="D20" s="496" t="inlineStr">
        <is>
          <t>MN+TH</t>
        </is>
      </c>
      <c r="E20" s="496" t="inlineStr">
        <is>
          <t>GV+BT</t>
        </is>
      </c>
      <c r="F20" s="496" t="inlineStr">
        <is>
          <t>3 PH MN testi, 2 PH TH testi, 3 campus setup shots</t>
        </is>
      </c>
      <c r="G20" s="496" t="inlineStr">
        <is>
          <t>PH tình nguyện + GV</t>
        </is>
      </c>
      <c r="H20" s="496" t="inlineStr">
        <is>
          <t>Phone 4K + Ring light + Lav mic</t>
        </is>
      </c>
      <c r="I20" s="496" t="inlineStr">
        <is>
          <t>In-house editor</t>
        </is>
      </c>
      <c r="J20" s="496" t="inlineStr">
        <is>
          <t>10/04</t>
        </is>
      </c>
      <c r="K20" s="496" t="inlineStr">
        <is>
          <t>Meta+TikTok Ads đợt 1</t>
        </is>
      </c>
    </row>
    <row r="21">
      <c r="A21" s="497" t="inlineStr">
        <is>
          <t>T4/2026</t>
        </is>
      </c>
      <c r="B21" s="497" t="n">
        <v>3</v>
      </c>
      <c r="C21" s="497" t="inlineStr">
        <is>
          <t>Webinar teaser + Day-in-life</t>
        </is>
      </c>
      <c r="D21" s="497" t="inlineStr">
        <is>
          <t>THCS</t>
        </is>
      </c>
      <c r="E21" s="497" t="inlineStr">
        <is>
          <t>GV</t>
        </is>
      </c>
      <c r="F21" s="497" t="inlineStr">
        <is>
          <t>1 teaser WB "Chuyển cấp", 2 day-in-life THCS</t>
        </is>
      </c>
      <c r="G21" s="497" t="inlineStr">
        <is>
          <t>HS lớp 7-8 + BGH</t>
        </is>
      </c>
      <c r="H21" s="497" t="inlineStr">
        <is>
          <t>Phone + Gimbal</t>
        </is>
      </c>
      <c r="I21" s="497" t="inlineStr">
        <is>
          <t>In-house</t>
        </is>
      </c>
      <c r="J21" s="497" t="inlineStr">
        <is>
          <t>12/04</t>
        </is>
      </c>
      <c r="K21" s="497" t="inlineStr">
        <is>
          <t>WB ads + organic TikTok</t>
        </is>
      </c>
    </row>
    <row r="22">
      <c r="A22" s="496" t="inlineStr">
        <is>
          <t>T5/2026</t>
        </is>
      </c>
      <c r="B22" s="496" t="n">
        <v>5</v>
      </c>
      <c r="C22" s="496" t="inlineStr">
        <is>
          <t>Open Day + Testi</t>
        </is>
      </c>
      <c r="D22" s="496" t="inlineStr">
        <is>
          <t>Liên cấp</t>
        </is>
      </c>
      <c r="E22" s="496" t="inlineStr">
        <is>
          <t>GV+BT+Tỉnh</t>
        </is>
      </c>
      <c r="F22" s="496" t="inlineStr">
        <is>
          <t>2 Open Day recap, 2 PH mới testi, 1 campus tỉnh</t>
        </is>
      </c>
      <c r="G22" s="496" t="inlineStr">
        <is>
          <t>PH + HS + Campus staff</t>
        </is>
      </c>
      <c r="H22" s="496" t="inlineStr">
        <is>
          <t>Phone + DSLR cho event</t>
        </is>
      </c>
      <c r="I22" s="496" t="inlineStr">
        <is>
          <t>Freelance editor</t>
        </is>
      </c>
      <c r="J22" s="496" t="inlineStr">
        <is>
          <t>15/05</t>
        </is>
      </c>
      <c r="K22" s="496" t="inlineStr">
        <is>
          <t>Meta Scale + YouTube</t>
        </is>
      </c>
    </row>
    <row r="23">
      <c r="A23" s="497" t="inlineStr">
        <is>
          <t>T5/2026</t>
        </is>
      </c>
      <c r="B23" s="497" t="n">
        <v>3</v>
      </c>
      <c r="C23" s="497" t="inlineStr">
        <is>
          <t>Webinar + So sánh</t>
        </is>
      </c>
      <c r="D23" s="497" t="inlineStr">
        <is>
          <t>THPT</t>
        </is>
      </c>
      <c r="E23" s="497" t="inlineStr">
        <is>
          <t>GV</t>
        </is>
      </c>
      <c r="F23" s="497" t="inlineStr">
        <is>
          <t>1 WB THPT teaser, 1 "So sánh trường", 1 alumni ĐH</t>
        </is>
      </c>
      <c r="G23" s="497" t="inlineStr">
        <is>
          <t>BGH + Alumni + PH</t>
        </is>
      </c>
      <c r="H23" s="497" t="inlineStr">
        <is>
          <t>Phone + Pro setup cho alumni</t>
        </is>
      </c>
      <c r="I23" s="497" t="inlineStr">
        <is>
          <t>In-house</t>
        </is>
      </c>
      <c r="J23" s="497" t="inlineStr">
        <is>
          <t>20/05</t>
        </is>
      </c>
      <c r="K23" s="497" t="inlineStr">
        <is>
          <t>Google DG + Meta</t>
        </is>
      </c>
    </row>
    <row r="24">
      <c r="A24" s="496" t="inlineStr">
        <is>
          <t>T6/2026</t>
        </is>
      </c>
      <c r="B24" s="496" t="n">
        <v>6</v>
      </c>
      <c r="C24" s="496" t="inlineStr">
        <is>
          <t>Tour highlight + Urgency</t>
        </is>
      </c>
      <c r="D24" s="496" t="inlineStr">
        <is>
          <t>MN+TH+THCS+THPT</t>
        </is>
      </c>
      <c r="E24" s="496" t="inlineStr">
        <is>
          <t>All</t>
        </is>
      </c>
      <c r="F24" s="496" t="inlineStr">
        <is>
          <t>3 tour highlight, 2 "Vì sao chọn VA", 1 countdown</t>
        </is>
      </c>
      <c r="G24" s="496" t="inlineStr">
        <is>
          <t>PH vừa tour + sales</t>
        </is>
      </c>
      <c r="H24" s="496" t="inlineStr">
        <is>
          <t>Phone quick capture</t>
        </is>
      </c>
      <c r="I24" s="496" t="inlineStr">
        <is>
          <t>In-house</t>
        </is>
      </c>
      <c r="J24" s="496" t="inlineStr">
        <is>
          <t>08/06</t>
        </is>
      </c>
      <c r="K24" s="496" t="inlineStr">
        <is>
          <t>Remarketing + Organic</t>
        </is>
      </c>
    </row>
    <row r="25">
      <c r="A25" s="497" t="inlineStr">
        <is>
          <t>T6/2026</t>
        </is>
      </c>
      <c r="B25" s="497" t="n">
        <v>3</v>
      </c>
      <c r="C25" s="497" t="inlineStr">
        <is>
          <t>Webinar + Open Day #2</t>
        </is>
      </c>
      <c r="D25" s="497" t="inlineStr">
        <is>
          <t>THCS+THPT</t>
        </is>
      </c>
      <c r="E25" s="497" t="inlineStr">
        <is>
          <t>GV</t>
        </is>
      </c>
      <c r="F25" s="497" t="inlineStr">
        <is>
          <t>1 WB chuyển cấp recap, 1 Open Day #2, 1 học bổng</t>
        </is>
      </c>
      <c r="G25" s="497" t="inlineStr">
        <is>
          <t>BGH + HS nhận HB</t>
        </is>
      </c>
      <c r="H25" s="497" t="inlineStr">
        <is>
          <t>DSLR + Pro audio</t>
        </is>
      </c>
      <c r="I25" s="497" t="inlineStr">
        <is>
          <t>Freelance</t>
        </is>
      </c>
      <c r="J25" s="497" t="inlineStr">
        <is>
          <t>20/06</t>
        </is>
      </c>
      <c r="K25" s="497" t="inlineStr">
        <is>
          <t>Meta + YouTube</t>
        </is>
      </c>
    </row>
    <row r="26">
      <c r="A26" s="496" t="inlineStr">
        <is>
          <t>T7/2026</t>
        </is>
      </c>
      <c r="B26" s="496" t="n">
        <v>5</v>
      </c>
      <c r="C26" s="496" t="inlineStr">
        <is>
          <t>Chốt sale + Học bổng</t>
        </is>
      </c>
      <c r="D26" s="496" t="inlineStr">
        <is>
          <t>THPT+THCS</t>
        </is>
      </c>
      <c r="E26" s="496" t="inlineStr">
        <is>
          <t>GV</t>
        </is>
      </c>
      <c r="F26" s="496" t="inlineStr">
        <is>
          <t>2 "Deadline sắp hết", 2 HS nhận HB, 1 PH chốt</t>
        </is>
      </c>
      <c r="G26" s="496" t="inlineStr">
        <is>
          <t>PH mới enroll + HS HB</t>
        </is>
      </c>
      <c r="H26" s="496" t="inlineStr">
        <is>
          <t>Phone quick</t>
        </is>
      </c>
      <c r="I26" s="496" t="inlineStr">
        <is>
          <t>In-house</t>
        </is>
      </c>
      <c r="J26" s="496" t="inlineStr">
        <is>
          <t>10/07</t>
        </is>
      </c>
      <c r="K26" s="496" t="inlineStr">
        <is>
          <t>Remarketing mạnh</t>
        </is>
      </c>
    </row>
    <row r="27">
      <c r="A27" s="497" t="inlineStr">
        <is>
          <t>T7/2026</t>
        </is>
      </c>
      <c r="B27" s="497" t="n">
        <v>3</v>
      </c>
      <c r="C27" s="497" t="inlineStr">
        <is>
          <t>Webinar chốt + Brand</t>
        </is>
      </c>
      <c r="D27" s="497" t="inlineStr">
        <is>
          <t>THPT</t>
        </is>
      </c>
      <c r="E27" s="497" t="inlineStr">
        <is>
          <t>GV</t>
        </is>
      </c>
      <c r="F27" s="497" t="inlineStr">
        <is>
          <t>1 WB HB recap, 1 brand hệ thống, 1 campus tour mới</t>
        </is>
      </c>
      <c r="G27" s="497" t="inlineStr">
        <is>
          <t>BGH + All campus</t>
        </is>
      </c>
      <c r="H27" s="497" t="inlineStr">
        <is>
          <t>Pro setup</t>
        </is>
      </c>
      <c r="I27" s="497" t="inlineStr">
        <is>
          <t>Freelance</t>
        </is>
      </c>
      <c r="J27" s="497" t="inlineStr">
        <is>
          <t>20/07</t>
        </is>
      </c>
      <c r="K27" s="497" t="inlineStr">
        <is>
          <t>YouTube + Meta</t>
        </is>
      </c>
    </row>
    <row r="28">
      <c r="A28" s="496" t="inlineStr">
        <is>
          <t>T8/2026</t>
        </is>
      </c>
      <c r="B28" s="496" t="n">
        <v>3</v>
      </c>
      <c r="C28" s="496" t="inlineStr">
        <is>
          <t>Urgency + Win-back</t>
        </is>
      </c>
      <c r="D28" s="496" t="inlineStr">
        <is>
          <t>Liên cấp</t>
        </is>
      </c>
      <c r="E28" s="496" t="inlineStr">
        <is>
          <t>All</t>
        </is>
      </c>
      <c r="F28" s="496" t="inlineStr">
        <is>
          <t>1 "Còn ít chỗ", 1 PH mới, 1 recap toàn mùa</t>
        </is>
      </c>
      <c r="G28" s="496" t="inlineStr">
        <is>
          <t>PH + Sales</t>
        </is>
      </c>
      <c r="H28" s="496" t="inlineStr">
        <is>
          <t>Phone</t>
        </is>
      </c>
      <c r="I28" s="496" t="inlineStr">
        <is>
          <t>In-house</t>
        </is>
      </c>
      <c r="J28" s="496" t="inlineStr">
        <is>
          <t>10/08</t>
        </is>
      </c>
      <c r="K28" s="496" t="inlineStr">
        <is>
          <t>RMKT cuối mùa</t>
        </is>
      </c>
    </row>
    <row r="29">
      <c r="A29" s="497" t="inlineStr">
        <is>
          <t>T9/2026</t>
        </is>
      </c>
      <c r="B29" s="497" t="n">
        <v>3</v>
      </c>
      <c r="C29" s="497" t="inlineStr">
        <is>
          <t>Khai giảng + Brand</t>
        </is>
      </c>
      <c r="D29" s="497" t="inlineStr">
        <is>
          <t>Liên cấp</t>
        </is>
      </c>
      <c r="E29" s="497" t="inlineStr">
        <is>
          <t>All</t>
        </is>
      </c>
      <c r="F29" s="497" t="inlineStr">
        <is>
          <t>1 khai giảng, 1 PH share Year 1, 1 late intake</t>
        </is>
      </c>
      <c r="G29" s="497" t="inlineStr">
        <is>
          <t>PH+HS+GV</t>
        </is>
      </c>
      <c r="H29" s="497" t="inlineStr">
        <is>
          <t>DSLR + Drone cho khai giảng</t>
        </is>
      </c>
      <c r="I29" s="497" t="inlineStr">
        <is>
          <t>Freelance</t>
        </is>
      </c>
      <c r="J29" s="497" t="inlineStr">
        <is>
          <t>05/09</t>
        </is>
      </c>
      <c r="K29" s="497" t="inlineStr">
        <is>
          <t>Brand + Late intake</t>
        </is>
      </c>
    </row>
    <row r="32">
      <c r="A32" s="494" t="inlineStr">
        <is>
          <t>C. VIDEO PRODUCTION WORKFLOW – QUY TRÌNH SẢN XUẤT</t>
        </is>
      </c>
    </row>
    <row r="33">
      <c r="A33" s="495" t="inlineStr">
        <is>
          <t>Bước</t>
        </is>
      </c>
      <c r="B33" s="495" t="inlineStr">
        <is>
          <t>Giai đoạn</t>
        </is>
      </c>
      <c r="C33" s="495" t="inlineStr">
        <is>
          <t>Hành động</t>
        </is>
      </c>
      <c r="D33" s="495" t="inlineStr">
        <is>
          <t>Chi tiết</t>
        </is>
      </c>
      <c r="E33" s="495" t="inlineStr">
        <is>
          <t>Ai làm</t>
        </is>
      </c>
      <c r="F33" s="495" t="inlineStr">
        <is>
          <t>Tool</t>
        </is>
      </c>
      <c r="G33" s="495" t="inlineStr">
        <is>
          <t>Timeline</t>
        </is>
      </c>
      <c r="H33" s="495" t="inlineStr">
        <is>
          <t>Output</t>
        </is>
      </c>
    </row>
    <row r="34">
      <c r="A34" s="496" t="n">
        <v>1</v>
      </c>
      <c r="B34" s="496" t="inlineStr">
        <is>
          <t>Pre-production</t>
        </is>
      </c>
      <c r="C34" s="496" t="inlineStr">
        <is>
          <t>Lên brief video</t>
        </is>
      </c>
      <c r="D34" s="496" t="inlineStr">
        <is>
          <t>Topic, người tham gia, key message, CTA, mood</t>
        </is>
      </c>
      <c r="E34" s="496" t="inlineStr">
        <is>
          <t>Content Lead</t>
        </is>
      </c>
      <c r="F34" s="496" t="inlineStr">
        <is>
          <t>Google Docs</t>
        </is>
      </c>
      <c r="G34" s="496" t="inlineStr">
        <is>
          <t>T-7 ngày</t>
        </is>
      </c>
      <c r="H34" s="496" t="inlineStr">
        <is>
          <t>Brief approved</t>
        </is>
      </c>
    </row>
    <row r="35">
      <c r="A35" s="497" t="n">
        <v>2</v>
      </c>
      <c r="B35" s="497" t="inlineStr">
        <is>
          <t>Pre-production</t>
        </is>
      </c>
      <c r="C35" s="497" t="inlineStr">
        <is>
          <t>Book người + địa điểm</t>
        </is>
      </c>
      <c r="D35" s="497" t="inlineStr">
        <is>
          <t>Liên hệ PH/HS/GV, chọn campus, chọn giờ đẹp</t>
        </is>
      </c>
      <c r="E35" s="497" t="inlineStr">
        <is>
          <t>Content Creator</t>
        </is>
      </c>
      <c r="F35" s="497" t="inlineStr">
        <is>
          <t>Calendar + Phone</t>
        </is>
      </c>
      <c r="G35" s="497" t="inlineStr">
        <is>
          <t>T-5 ngày</t>
        </is>
      </c>
      <c r="H35" s="497" t="inlineStr">
        <is>
          <t>Schedule confirmed</t>
        </is>
      </c>
    </row>
    <row r="36">
      <c r="A36" s="496" t="n">
        <v>3</v>
      </c>
      <c r="B36" s="496" t="inlineStr">
        <is>
          <t>Pre-production</t>
        </is>
      </c>
      <c r="C36" s="496" t="inlineStr">
        <is>
          <t>Chuẩn bị script/prompt</t>
        </is>
      </c>
      <c r="D36" s="496" t="inlineStr">
        <is>
          <t>Gợi ý câu hỏi cho PH, talking points cho GV, shot list</t>
        </is>
      </c>
      <c r="E36" s="496" t="inlineStr">
        <is>
          <t>Content Lead</t>
        </is>
      </c>
      <c r="F36" s="496" t="inlineStr">
        <is>
          <t>Google Docs</t>
        </is>
      </c>
      <c r="G36" s="496" t="inlineStr">
        <is>
          <t>T-3 ngày</t>
        </is>
      </c>
      <c r="H36" s="496" t="inlineStr">
        <is>
          <t>Script ready</t>
        </is>
      </c>
    </row>
    <row r="37">
      <c r="A37" s="497" t="n">
        <v>4</v>
      </c>
      <c r="B37" s="497" t="inlineStr">
        <is>
          <t>Production</t>
        </is>
      </c>
      <c r="C37" s="497" t="inlineStr">
        <is>
          <t>Setup + quay</t>
        </is>
      </c>
      <c r="D37" s="497" t="inlineStr">
        <is>
          <t>Check ánh sáng, mic, framing | Quay 3-5 takes | B-roll</t>
        </is>
      </c>
      <c r="E37" s="497" t="inlineStr">
        <is>
          <t>Content Creator</t>
        </is>
      </c>
      <c r="F37" s="497" t="inlineStr">
        <is>
          <t>Phone/DSLR + Lav mic</t>
        </is>
      </c>
      <c r="G37" s="497" t="inlineStr">
        <is>
          <t>Ngày quay</t>
        </is>
      </c>
      <c r="H37" s="497" t="inlineStr">
        <is>
          <t>Raw footage</t>
        </is>
      </c>
    </row>
    <row r="38">
      <c r="A38" s="496" t="n">
        <v>5</v>
      </c>
      <c r="B38" s="496" t="inlineStr">
        <is>
          <t>Post-production</t>
        </is>
      </c>
      <c r="C38" s="496" t="inlineStr">
        <is>
          <t>Edit rough cut</t>
        </is>
      </c>
      <c r="D38" s="496" t="inlineStr">
        <is>
          <t>Cắt ghép, chọn best takes, thêm subtitle VN</t>
        </is>
      </c>
      <c r="E38" s="496" t="inlineStr">
        <is>
          <t>Editor</t>
        </is>
      </c>
      <c r="F38" s="496" t="inlineStr">
        <is>
          <t>Premiere/CapCut</t>
        </is>
      </c>
      <c r="G38" s="496" t="inlineStr">
        <is>
          <t>T+2 ngày</t>
        </is>
      </c>
      <c r="H38" s="496" t="inlineStr">
        <is>
          <t>Draft v1</t>
        </is>
      </c>
    </row>
    <row r="39">
      <c r="A39" s="497" t="n">
        <v>6</v>
      </c>
      <c r="B39" s="497" t="inlineStr">
        <is>
          <t>Post-production</t>
        </is>
      </c>
      <c r="C39" s="497" t="inlineStr">
        <is>
          <t>Review + feedback</t>
        </is>
      </c>
      <c r="D39" s="497" t="inlineStr">
        <is>
          <t>Marketing Lead review → feedback → chỉnh sửa</t>
        </is>
      </c>
      <c r="E39" s="497" t="inlineStr">
        <is>
          <t>Marketing Lead</t>
        </is>
      </c>
      <c r="F39" s="497" t="inlineStr">
        <is>
          <t>Slack/Zalo</t>
        </is>
      </c>
      <c r="G39" s="497" t="inlineStr">
        <is>
          <t>T+3 ngày</t>
        </is>
      </c>
      <c r="H39" s="497" t="inlineStr">
        <is>
          <t>Approved v2</t>
        </is>
      </c>
    </row>
    <row r="40">
      <c r="A40" s="496" t="n">
        <v>7</v>
      </c>
      <c r="B40" s="496" t="inlineStr">
        <is>
          <t>Post-production</t>
        </is>
      </c>
      <c r="C40" s="496" t="inlineStr">
        <is>
          <t>Xuất đa format</t>
        </is>
      </c>
      <c r="D40" s="496" t="inlineStr">
        <is>
          <t>9:16 (TikTok/Reel) + 1:1 (Feed) + 16:9 (YouTube) + Thumbnail</t>
        </is>
      </c>
      <c r="E40" s="496" t="inlineStr">
        <is>
          <t>Editor</t>
        </is>
      </c>
      <c r="F40" s="496" t="inlineStr">
        <is>
          <t>Premiere/Canva</t>
        </is>
      </c>
      <c r="G40" s="496" t="inlineStr">
        <is>
          <t>T+4 ngày</t>
        </is>
      </c>
      <c r="H40" s="496" t="inlineStr">
        <is>
          <t>Final files</t>
        </is>
      </c>
    </row>
    <row r="41">
      <c r="A41" s="497" t="n">
        <v>8</v>
      </c>
      <c r="B41" s="497" t="inlineStr">
        <is>
          <t>Distribution</t>
        </is>
      </c>
      <c r="C41" s="497" t="inlineStr">
        <is>
          <t>Upload + schedule</t>
        </is>
      </c>
      <c r="D41" s="497" t="inlineStr">
        <is>
          <t>Upload lên TikTok, YouTube, FB, IG | Schedule theo calendar</t>
        </is>
      </c>
      <c r="E41" s="497" t="inlineStr">
        <is>
          <t>Content Creator</t>
        </is>
      </c>
      <c r="F41" s="497" t="inlineStr">
        <is>
          <t>Kho Drive + Scheduler</t>
        </is>
      </c>
      <c r="G41" s="497" t="inlineStr">
        <is>
          <t>T+5 ngày</t>
        </is>
      </c>
      <c r="H41" s="497" t="inlineStr">
        <is>
          <t>Published</t>
        </is>
      </c>
    </row>
    <row r="42">
      <c r="A42" s="496" t="n">
        <v>9</v>
      </c>
      <c r="B42" s="496" t="inlineStr">
        <is>
          <t>Distribution</t>
        </is>
      </c>
      <c r="C42" s="496" t="inlineStr">
        <is>
          <t>Gửi cho Ads team</t>
        </is>
      </c>
      <c r="D42" s="496" t="inlineStr">
        <is>
          <t>Share video cho Performance Marketer → setup Spark/Boost</t>
        </is>
      </c>
      <c r="E42" s="496" t="inlineStr">
        <is>
          <t>Content Creator</t>
        </is>
      </c>
      <c r="F42" s="496" t="inlineStr">
        <is>
          <t>Google Drive share</t>
        </is>
      </c>
      <c r="G42" s="496" t="inlineStr">
        <is>
          <t>T+5 ngày</t>
        </is>
      </c>
      <c r="H42" s="496" t="inlineStr">
        <is>
          <t>Ads ready</t>
        </is>
      </c>
    </row>
    <row r="43">
      <c r="A43" s="497" t="n">
        <v>10</v>
      </c>
      <c r="B43" s="497" t="inlineStr">
        <is>
          <t>Analytics</t>
        </is>
      </c>
      <c r="C43" s="497" t="inlineStr">
        <is>
          <t>Track performance 7 ngày</t>
        </is>
      </c>
      <c r="D43" s="497" t="inlineStr">
        <is>
          <t>Views, completion, engagement, CTR, leads from video</t>
        </is>
      </c>
      <c r="E43" s="497" t="inlineStr">
        <is>
          <t>Performance</t>
        </is>
      </c>
      <c r="F43" s="497" t="inlineStr">
        <is>
          <t>TikTok/Meta/YT Analytics</t>
        </is>
      </c>
      <c r="G43" s="497" t="inlineStr">
        <is>
          <t>T+12 ngày</t>
        </is>
      </c>
      <c r="H43" s="497" t="inlineStr">
        <is>
          <t>Performance report</t>
        </is>
      </c>
    </row>
    <row r="46">
      <c r="A46" s="494" t="inlineStr">
        <is>
          <t>D. VIDEO KPI THEO KÊNH</t>
        </is>
      </c>
    </row>
    <row r="47">
      <c r="A47" s="495" t="inlineStr">
        <is>
          <t>Kênh</t>
        </is>
      </c>
      <c r="B47" s="495" t="inlineStr">
        <is>
          <t>Metric chính</t>
        </is>
      </c>
      <c r="C47" s="495" t="inlineStr">
        <is>
          <t>Target</t>
        </is>
      </c>
      <c r="D47" s="495" t="inlineStr">
        <is>
          <t>Metric phụ</t>
        </is>
      </c>
      <c r="E47" s="495" t="inlineStr">
        <is>
          <t>Target phụ</t>
        </is>
      </c>
      <c r="F47" s="495" t="inlineStr">
        <is>
          <t>Frequency đo</t>
        </is>
      </c>
      <c r="G47" s="495" t="inlineStr">
        <is>
          <t>Tool đo</t>
        </is>
      </c>
    </row>
    <row r="48">
      <c r="A48" s="496" t="inlineStr">
        <is>
          <t>TikTok Organic</t>
        </is>
      </c>
      <c r="B48" s="496" t="inlineStr">
        <is>
          <t>Views/video</t>
        </is>
      </c>
      <c r="C48" s="496" t="inlineStr">
        <is>
          <t>5,000+</t>
        </is>
      </c>
      <c r="D48" s="496" t="inlineStr">
        <is>
          <t>3s retention rate</t>
        </is>
      </c>
      <c r="E48" s="496" t="inlineStr">
        <is>
          <t>≥ 40%</t>
        </is>
      </c>
      <c r="F48" s="496" t="inlineStr">
        <is>
          <t>Per video + Weekly</t>
        </is>
      </c>
      <c r="G48" s="496" t="inlineStr">
        <is>
          <t>TikTok Analytics</t>
        </is>
      </c>
    </row>
    <row r="49">
      <c r="A49" s="497" t="inlineStr">
        <is>
          <t>TikTok Ads (Spark)</t>
        </is>
      </c>
      <c r="B49" s="497" t="inlineStr">
        <is>
          <t>CPV</t>
        </is>
      </c>
      <c r="C49" s="497" t="inlineStr">
        <is>
          <t>≤ 2,000đ</t>
        </is>
      </c>
      <c r="D49" s="497" t="inlineStr">
        <is>
          <t>CTR</t>
        </is>
      </c>
      <c r="E49" s="497" t="inlineStr">
        <is>
          <t>≥ 1.5%</t>
        </is>
      </c>
      <c r="F49" s="497" t="inlineStr">
        <is>
          <t>Daily</t>
        </is>
      </c>
      <c r="G49" s="497" t="inlineStr">
        <is>
          <t>TikTok Ads + Birch</t>
        </is>
      </c>
    </row>
    <row r="50">
      <c r="A50" s="496" t="inlineStr">
        <is>
          <t>Facebook Reel</t>
        </is>
      </c>
      <c r="B50" s="496" t="inlineStr">
        <is>
          <t>Reach</t>
        </is>
      </c>
      <c r="C50" s="496" t="inlineStr">
        <is>
          <t>3,000+</t>
        </is>
      </c>
      <c r="D50" s="496" t="inlineStr">
        <is>
          <t>Engagement rate</t>
        </is>
      </c>
      <c r="E50" s="496" t="inlineStr">
        <is>
          <t>≥ 5%</t>
        </is>
      </c>
      <c r="F50" s="496" t="inlineStr">
        <is>
          <t>Per video + Weekly</t>
        </is>
      </c>
      <c r="G50" s="496" t="inlineStr">
        <is>
          <t>Meta Business Suite</t>
        </is>
      </c>
    </row>
    <row r="51">
      <c r="A51" s="497" t="inlineStr">
        <is>
          <t>Instagram Reel</t>
        </is>
      </c>
      <c r="B51" s="497" t="inlineStr">
        <is>
          <t>Plays</t>
        </is>
      </c>
      <c r="C51" s="497" t="inlineStr">
        <is>
          <t>2,000+</t>
        </is>
      </c>
      <c r="D51" s="497" t="inlineStr">
        <is>
          <t>Saves + Shares</t>
        </is>
      </c>
      <c r="E51" s="497" t="inlineStr">
        <is>
          <t>≥ 3%</t>
        </is>
      </c>
      <c r="F51" s="497" t="inlineStr">
        <is>
          <t>Per video + Weekly</t>
        </is>
      </c>
      <c r="G51" s="497" t="inlineStr">
        <is>
          <t>IG Insights</t>
        </is>
      </c>
    </row>
    <row r="52">
      <c r="A52" s="496" t="inlineStr">
        <is>
          <t>YouTube Short</t>
        </is>
      </c>
      <c r="B52" s="496" t="inlineStr">
        <is>
          <t>Views</t>
        </is>
      </c>
      <c r="C52" s="496" t="inlineStr">
        <is>
          <t>1,000+</t>
        </is>
      </c>
      <c r="D52" s="496" t="inlineStr">
        <is>
          <t>Subscriber gain</t>
        </is>
      </c>
      <c r="E52" s="496" t="inlineStr">
        <is>
          <t>≥ 5/video</t>
        </is>
      </c>
      <c r="F52" s="496" t="inlineStr">
        <is>
          <t>Per video + Monthly</t>
        </is>
      </c>
      <c r="G52" s="496" t="inlineStr">
        <is>
          <t>YouTube Studio</t>
        </is>
      </c>
    </row>
    <row r="53">
      <c r="A53" s="497" t="inlineStr">
        <is>
          <t>YouTube Long</t>
        </is>
      </c>
      <c r="B53" s="497" t="inlineStr">
        <is>
          <t>Watch time</t>
        </is>
      </c>
      <c r="C53" s="497" t="inlineStr">
        <is>
          <t>≥ 50% avg</t>
        </is>
      </c>
      <c r="D53" s="497" t="inlineStr">
        <is>
          <t>Click-through</t>
        </is>
      </c>
      <c r="E53" s="497" t="inlineStr">
        <is>
          <t>≥ 4%</t>
        </is>
      </c>
      <c r="F53" s="497" t="inlineStr">
        <is>
          <t>Per video + Monthly</t>
        </is>
      </c>
      <c r="G53" s="497" t="inlineStr">
        <is>
          <t>YouTube Studio</t>
        </is>
      </c>
    </row>
    <row r="54">
      <c r="A54" s="496" t="inlineStr">
        <is>
          <t>Landing Page Video</t>
        </is>
      </c>
      <c r="B54" s="496" t="inlineStr">
        <is>
          <t>Play rate</t>
        </is>
      </c>
      <c r="C54" s="496" t="inlineStr">
        <is>
          <t>≥ 30%</t>
        </is>
      </c>
      <c r="D54" s="496" t="inlineStr">
        <is>
          <t>Completion rate</t>
        </is>
      </c>
      <c r="E54" s="496" t="inlineStr">
        <is>
          <t>≥ 25%</t>
        </is>
      </c>
      <c r="F54" s="496" t="inlineStr">
        <is>
          <t>Weekly</t>
        </is>
      </c>
      <c r="G54" s="496" t="inlineStr">
        <is>
          <t>GA4 + Hotjar</t>
        </is>
      </c>
    </row>
    <row r="55">
      <c r="A55" s="497" t="inlineStr">
        <is>
          <t>Google DG/YouTube Ads</t>
        </is>
      </c>
      <c r="B55" s="497" t="inlineStr">
        <is>
          <t>CPV</t>
        </is>
      </c>
      <c r="C55" s="497" t="inlineStr">
        <is>
          <t>≤ 3,000đ</t>
        </is>
      </c>
      <c r="D55" s="497" t="inlineStr">
        <is>
          <t>View-through conv</t>
        </is>
      </c>
      <c r="E55" s="497" t="inlineStr">
        <is>
          <t>Track</t>
        </is>
      </c>
      <c r="F55" s="497" t="inlineStr">
        <is>
          <t>Daily</t>
        </is>
      </c>
      <c r="G55" s="497" t="inlineStr">
        <is>
          <t>Google Ads + Birch</t>
        </is>
      </c>
    </row>
    <row r="56">
      <c r="A56" s="496" t="inlineStr">
        <is>
          <t>Zalo Article Video</t>
        </is>
      </c>
      <c r="B56" s="496" t="inlineStr">
        <is>
          <t>Views</t>
        </is>
      </c>
      <c r="C56" s="496" t="inlineStr">
        <is>
          <t>500+</t>
        </is>
      </c>
      <c r="D56" s="496" t="inlineStr">
        <is>
          <t>Shares</t>
        </is>
      </c>
      <c r="E56" s="496" t="inlineStr">
        <is>
          <t>≥ 2%</t>
        </is>
      </c>
      <c r="F56" s="496" t="inlineStr">
        <is>
          <t>Per post</t>
        </is>
      </c>
      <c r="G56" s="496" t="inlineStr">
        <is>
          <t>Zalo OA Analytics</t>
        </is>
      </c>
    </row>
  </sheetData>
  <pageMargins left="0.75" right="0.75" top="1" bottom="1" header="0.5" footer="0.5"/>
</worksheet>
</file>

<file path=xl/worksheets/sheet29.xml><?xml version="1.0" encoding="utf-8"?>
<worksheet xmlns="http://schemas.openxmlformats.org/spreadsheetml/2006/main">
  <sheetPr>
    <tabColor rgb="003F51B5"/>
    <outlinePr summaryBelow="1" summaryRight="1"/>
    <pageSetUpPr/>
  </sheetPr>
  <dimension ref="A1:J60"/>
  <sheetViews>
    <sheetView workbookViewId="0">
      <selection activeCell="A1" sqref="A1"/>
    </sheetView>
  </sheetViews>
  <sheetFormatPr baseColWidth="8" defaultRowHeight="15"/>
  <cols>
    <col width="22" customWidth="1" style="248" min="1" max="1"/>
    <col width="22" customWidth="1" style="248" min="2" max="2"/>
    <col width="22" customWidth="1" style="248" min="3" max="3"/>
    <col width="22" customWidth="1" style="248" min="4" max="4"/>
    <col width="22" customWidth="1" style="248" min="5" max="5"/>
    <col width="22" customWidth="1" style="248" min="6" max="6"/>
    <col width="22" customWidth="1" style="248" min="7" max="7"/>
    <col width="22" customWidth="1" style="248" min="8" max="8"/>
    <col width="22" customWidth="1" style="248" min="9" max="9"/>
    <col width="22" customWidth="1" style="248" min="10" max="10"/>
  </cols>
  <sheetData>
    <row r="1">
      <c r="A1" s="492" t="inlineStr">
        <is>
          <t>KẾ HOẠCH EMAIL MARKETING CHI TIẾT – TUYỂN SINH VIỆT ANH 2026</t>
        </is>
      </c>
    </row>
    <row r="2">
      <c r="A2" s="493" t="inlineStr">
        <is>
          <t>Tool: GoHighLevel Email | Domain: @truongvietanh.com | Đồng bộ: GHL → Make.com → Pancake CRM | Tổng database: PH cũ + leads mới</t>
        </is>
      </c>
    </row>
    <row r="4">
      <c r="A4" s="494" t="inlineStr">
        <is>
          <t>A. EMAIL SEQUENCES – TỰ ĐỘNG THEO HÀNH TRÌNH</t>
        </is>
      </c>
    </row>
    <row r="5">
      <c r="A5" s="495" t="inlineStr">
        <is>
          <t>Sequence</t>
        </is>
      </c>
      <c r="B5" s="495" t="inlineStr">
        <is>
          <t>Trigger</t>
        </is>
      </c>
      <c r="C5" s="495" t="inlineStr">
        <is>
          <t>Email #</t>
        </is>
      </c>
      <c r="D5" s="495" t="inlineStr">
        <is>
          <t>Thời gian gửi</t>
        </is>
      </c>
      <c r="E5" s="495" t="inlineStr">
        <is>
          <t>Subject line</t>
        </is>
      </c>
      <c r="F5" s="495" t="inlineStr">
        <is>
          <t>Nội dung chính</t>
        </is>
      </c>
      <c r="G5" s="495" t="inlineStr">
        <is>
          <t>CTA</t>
        </is>
      </c>
      <c r="H5" s="495" t="inlineStr">
        <is>
          <t>Template GHL</t>
        </is>
      </c>
      <c r="I5" s="495" t="inlineStr">
        <is>
          <t>KPI mục tiêu</t>
        </is>
      </c>
      <c r="J5" s="495" t="inlineStr">
        <is>
          <t>Ghi chú</t>
        </is>
      </c>
    </row>
    <row r="6">
      <c r="A6" s="496" t="inlineStr">
        <is>
          <t>Welcome</t>
        </is>
      </c>
      <c r="B6" s="496" t="inlineStr">
        <is>
          <t>New lead created</t>
        </is>
      </c>
      <c r="C6" s="496" t="n">
        <v>1</v>
      </c>
      <c r="D6" s="496" t="inlineStr">
        <is>
          <t>+1 giờ</t>
        </is>
      </c>
      <c r="E6" s="496" t="inlineStr">
        <is>
          <t>Chào mừng [Tên] đến với Trường Việt Anh!</t>
        </is>
      </c>
      <c r="F6" s="496" t="inlineStr">
        <is>
          <t>Brochure PDF, link website, giới thiệu 8 cơ sở, video campus</t>
        </is>
      </c>
      <c r="G6" s="496" t="inlineStr">
        <is>
          <t>Đặt lịch tham quan</t>
        </is>
      </c>
      <c r="H6" s="496" t="inlineStr">
        <is>
          <t>welcome_email_v1</t>
        </is>
      </c>
      <c r="I6" s="496" t="inlineStr">
        <is>
          <t>Open ≥ 35%, Click ≥ 8%</t>
        </is>
      </c>
      <c r="J6" s="496" t="inlineStr">
        <is>
          <t>A/B test subject line</t>
        </is>
      </c>
    </row>
    <row r="7">
      <c r="A7" s="497" t="inlineStr">
        <is>
          <t>Welcome</t>
        </is>
      </c>
      <c r="B7" s="497" t="inlineStr">
        <is>
          <t>New lead created</t>
        </is>
      </c>
      <c r="C7" s="497" t="n">
        <v>2</v>
      </c>
      <c r="D7" s="497" t="inlineStr">
        <is>
          <t>+3 ngày</t>
        </is>
      </c>
      <c r="E7" s="497" t="inlineStr">
        <is>
          <t>Bạn biết gì về chương trình song ngữ tại Việt Anh?</t>
        </is>
      </c>
      <c r="F7" s="497" t="inlineStr">
        <is>
          <t>Chi tiết chương trình theo cấp, tiếng Anh, STEM, ngoại khóa</t>
        </is>
      </c>
      <c r="G7" s="497" t="inlineStr">
        <is>
          <t>Xem chương trình [Cấp]</t>
        </is>
      </c>
      <c r="H7" s="497" t="inlineStr">
        <is>
          <t>welcome_program_v1</t>
        </is>
      </c>
      <c r="I7" s="497" t="inlineStr">
        <is>
          <t>Open ≥ 30%, Click ≥ 6%</t>
        </is>
      </c>
      <c r="J7" s="497" t="inlineStr">
        <is>
          <t>Dynamic theo cấp</t>
        </is>
      </c>
    </row>
    <row r="8">
      <c r="A8" s="496" t="inlineStr">
        <is>
          <t>Welcome</t>
        </is>
      </c>
      <c r="B8" s="496" t="inlineStr">
        <is>
          <t>New lead created</t>
        </is>
      </c>
      <c r="C8" s="496" t="n">
        <v>3</v>
      </c>
      <c r="D8" s="496" t="inlineStr">
        <is>
          <t>+7 ngày</t>
        </is>
      </c>
      <c r="E8" s="496" t="inlineStr">
        <is>
          <t>5 lý do phụ huynh chọn Việt Anh cho con</t>
        </is>
      </c>
      <c r="F8" s="496" t="inlineStr">
        <is>
          <t>Testimonial PH, data đầu ra, sĩ số nhỏ, GV tận tâm</t>
        </is>
      </c>
      <c r="G8" s="496" t="inlineStr">
        <is>
          <t>Đọc thêm review PH</t>
        </is>
      </c>
      <c r="H8" s="496" t="inlineStr">
        <is>
          <t>welcome_social_proof</t>
        </is>
      </c>
      <c r="I8" s="496" t="inlineStr">
        <is>
          <t>Open ≥ 28%, Click ≥ 5%</t>
        </is>
      </c>
      <c r="J8" s="496" t="inlineStr">
        <is>
          <t>Social proof heavy</t>
        </is>
      </c>
    </row>
    <row r="9">
      <c r="A9" s="497" t="inlineStr">
        <is>
          <t>Nurture No-Tour</t>
        </is>
      </c>
      <c r="B9" s="497" t="inlineStr">
        <is>
          <t>Lead &gt; 5 ngày chưa tour</t>
        </is>
      </c>
      <c r="C9" s="497" t="n">
        <v>1</v>
      </c>
      <c r="D9" s="497" t="inlineStr">
        <is>
          <t>+5 ngày</t>
        </is>
      </c>
      <c r="E9" s="497" t="inlineStr">
        <is>
          <t>[Tên] ơi, mời bạn tham quan trường Việt Anh</t>
        </is>
      </c>
      <c r="F9" s="497" t="inlineStr">
        <is>
          <t>Tour miễn phí, xem lớp học thực tế, gặp GV</t>
        </is>
      </c>
      <c r="G9" s="497" t="inlineStr">
        <is>
          <t>Đặt lịch tour NGAY</t>
        </is>
      </c>
      <c r="H9" s="497" t="inlineStr">
        <is>
          <t>nurture_tour_invite</t>
        </is>
      </c>
      <c r="I9" s="497" t="inlineStr">
        <is>
          <t>Open ≥ 25%, Click ≥ 6%</t>
        </is>
      </c>
      <c r="J9" s="497" t="inlineStr">
        <is>
          <t>Urgency nhẹ</t>
        </is>
      </c>
    </row>
    <row r="10">
      <c r="A10" s="496" t="inlineStr">
        <is>
          <t>Nurture No-Tour</t>
        </is>
      </c>
      <c r="B10" s="496" t="inlineStr">
        <is>
          <t>Chưa phản hồi email 1</t>
        </is>
      </c>
      <c r="C10" s="496" t="n">
        <v>2</v>
      </c>
      <c r="D10" s="496" t="inlineStr">
        <is>
          <t>+10 ngày</t>
        </is>
      </c>
      <c r="E10" s="496" t="inlineStr">
        <is>
          <t>Phụ huynh khác nói gì về Việt Anh?</t>
        </is>
      </c>
      <c r="F10" s="496" t="inlineStr">
        <is>
          <t>Video testimonial PH, link review Google, câu chuyện thật</t>
        </is>
      </c>
      <c r="G10" s="496" t="inlineStr">
        <is>
          <t>Xem video PH chia sẻ</t>
        </is>
      </c>
      <c r="H10" s="496" t="inlineStr">
        <is>
          <t>nurture_testimonial</t>
        </is>
      </c>
      <c r="I10" s="496" t="inlineStr">
        <is>
          <t>Open ≥ 22%, Click ≥ 5%</t>
        </is>
      </c>
      <c r="J10" s="496" t="inlineStr">
        <is>
          <t>Video embed</t>
        </is>
      </c>
    </row>
    <row r="11">
      <c r="A11" s="497" t="inlineStr">
        <is>
          <t>Nurture No-Tour</t>
        </is>
      </c>
      <c r="B11" s="497" t="inlineStr">
        <is>
          <t>Chưa phản hồi email 2</t>
        </is>
      </c>
      <c r="C11" s="497" t="n">
        <v>3</v>
      </c>
      <c r="D11" s="497" t="inlineStr">
        <is>
          <t>+15 ngày</t>
        </is>
      </c>
      <c r="E11" s="497" t="inlineStr">
        <is>
          <t>Ưu đãi đặc biệt dành riêng cho [Tên]</t>
        </is>
      </c>
      <c r="F11" s="497" t="inlineStr">
        <is>
          <t>Giảm X% nếu nộp hồ sơ trong 14 ngày, học bổng thông tin</t>
        </is>
      </c>
      <c r="G11" s="497" t="inlineStr">
        <is>
          <t>Nhận ưu đãi ngay</t>
        </is>
      </c>
      <c r="H11" s="497" t="inlineStr">
        <is>
          <t>nurture_offer</t>
        </is>
      </c>
      <c r="I11" s="497" t="inlineStr">
        <is>
          <t>Open ≥ 20%, Click ≥ 8%</t>
        </is>
      </c>
      <c r="J11" s="497" t="inlineStr">
        <is>
          <t>Offer triggered</t>
        </is>
      </c>
    </row>
    <row r="12">
      <c r="A12" s="496" t="inlineStr">
        <is>
          <t>Post-Tour</t>
        </is>
      </c>
      <c r="B12" s="496" t="inlineStr">
        <is>
          <t>Tour completed</t>
        </is>
      </c>
      <c r="C12" s="496" t="n">
        <v>1</v>
      </c>
      <c r="D12" s="496" t="inlineStr">
        <is>
          <t>+2 giờ</t>
        </is>
      </c>
      <c r="E12" s="496" t="inlineStr">
        <is>
          <t>Cảm ơn [Tên] đã đến thăm Việt Anh!</t>
        </is>
      </c>
      <c r="F12" s="496" t="inlineStr">
        <is>
          <t>Recap tour, ảnh campus, thông tin tiếp theo, hồ sơ cần nộp</t>
        </is>
      </c>
      <c r="G12" s="496" t="inlineStr">
        <is>
          <t>Nộp hồ sơ online</t>
        </is>
      </c>
      <c r="H12" s="496" t="inlineStr">
        <is>
          <t>posttour_thankyou</t>
        </is>
      </c>
      <c r="I12" s="496" t="inlineStr">
        <is>
          <t>Open ≥ 45%, Click ≥ 12%</t>
        </is>
      </c>
      <c r="J12" s="496" t="inlineStr">
        <is>
          <t>High intent</t>
        </is>
      </c>
    </row>
    <row r="13">
      <c r="A13" s="497" t="inlineStr">
        <is>
          <t>Post-Tour</t>
        </is>
      </c>
      <c r="B13" s="497" t="inlineStr">
        <is>
          <t>Tour done + chưa nộp hồ sơ</t>
        </is>
      </c>
      <c r="C13" s="497" t="n">
        <v>2</v>
      </c>
      <c r="D13" s="497" t="inlineStr">
        <is>
          <t>+3 ngày</t>
        </is>
      </c>
      <c r="E13" s="497" t="inlineStr">
        <is>
          <t>Hồ sơ nhập học Việt Anh – Hướng dẫn chi tiết</t>
        </is>
      </c>
      <c r="F13" s="497" t="inlineStr">
        <is>
          <t>Checklist hồ sơ, link nộp online, deadline ưu đãi</t>
        </is>
      </c>
      <c r="G13" s="497" t="inlineStr">
        <is>
          <t>Nộp hồ sơ – Bước đơn giản</t>
        </is>
      </c>
      <c r="H13" s="497" t="inlineStr">
        <is>
          <t>posttour_application</t>
        </is>
      </c>
      <c r="I13" s="497" t="inlineStr">
        <is>
          <t>Open ≥ 35%, Click ≥ 10%</t>
        </is>
      </c>
      <c r="J13" s="497" t="inlineStr">
        <is>
          <t>Push conversion</t>
        </is>
      </c>
    </row>
    <row r="14">
      <c r="A14" s="496" t="inlineStr">
        <is>
          <t>Post-Tour</t>
        </is>
      </c>
      <c r="B14" s="496" t="inlineStr">
        <is>
          <t>Tour done + chưa deposit</t>
        </is>
      </c>
      <c r="C14" s="496" t="n">
        <v>3</v>
      </c>
      <c r="D14" s="496" t="inlineStr">
        <is>
          <t>+7 ngày</t>
        </is>
      </c>
      <c r="E14" s="496" t="inlineStr">
        <is>
          <t>Chỉ còn [X] ngày! Ưu đãi sắp hết cho [Cấp]</t>
        </is>
      </c>
      <c r="F14" s="496" t="inlineStr">
        <is>
          <t>Countdown, testimonial PH mới enroll, deadline rõ</t>
        </is>
      </c>
      <c r="G14" s="496" t="inlineStr">
        <is>
          <t>Chốt ngay – Ưu đãi hết [Ngày]</t>
        </is>
      </c>
      <c r="H14" s="496" t="inlineStr">
        <is>
          <t>posttour_urgency</t>
        </is>
      </c>
      <c r="I14" s="496" t="inlineStr">
        <is>
          <t>Open ≥ 30%, Click ≥ 8%</t>
        </is>
      </c>
      <c r="J14" s="496" t="inlineStr">
        <is>
          <t>Urgency + FOMO</t>
        </is>
      </c>
    </row>
    <row r="15">
      <c r="A15" s="497" t="inlineStr">
        <is>
          <t>Webinar</t>
        </is>
      </c>
      <c r="B15" s="497" t="inlineStr">
        <is>
          <t>Webinar registered</t>
        </is>
      </c>
      <c r="C15" s="497" t="n">
        <v>1</v>
      </c>
      <c r="D15" s="497" t="inlineStr">
        <is>
          <t>Ngay</t>
        </is>
      </c>
      <c r="E15" s="497" t="inlineStr">
        <is>
          <t>Xác nhận đăng ký: [Tên Webinar]</t>
        </is>
      </c>
      <c r="F15" s="497" t="inlineStr">
        <is>
          <t>Xác nhận, ngày giờ, link Zoom, add to calendar</t>
        </is>
      </c>
      <c r="G15" s="497" t="inlineStr">
        <is>
          <t>Thêm vào lịch</t>
        </is>
      </c>
      <c r="H15" s="497" t="inlineStr">
        <is>
          <t>wb_confirm</t>
        </is>
      </c>
      <c r="I15" s="497" t="inlineStr">
        <is>
          <t>Open ≥ 60%</t>
        </is>
      </c>
      <c r="J15" s="497" t="inlineStr">
        <is>
          <t>Transactional</t>
        </is>
      </c>
    </row>
    <row r="16">
      <c r="A16" s="496" t="inlineStr">
        <is>
          <t>Webinar</t>
        </is>
      </c>
      <c r="B16" s="496" t="inlineStr">
        <is>
          <t>Registered</t>
        </is>
      </c>
      <c r="C16" s="496" t="n">
        <v>2</v>
      </c>
      <c r="D16" s="496" t="inlineStr">
        <is>
          <t>-48 giờ</t>
        </is>
      </c>
      <c r="E16" s="496" t="inlineStr">
        <is>
          <t>Nhắc nhở: [Tên Webinar] vào ngày mai!</t>
        </is>
      </c>
      <c r="F16" s="496" t="inlineStr">
        <is>
          <t>Nhắc lịch, checklist chuẩn bị, speaker preview</t>
        </is>
      </c>
      <c r="G16" s="496" t="inlineStr">
        <is>
          <t>Kiểm tra link Zoom</t>
        </is>
      </c>
      <c r="H16" s="496" t="inlineStr">
        <is>
          <t>wb_reminder_48h</t>
        </is>
      </c>
      <c r="I16" s="496" t="inlineStr">
        <is>
          <t>Open ≥ 50%</t>
        </is>
      </c>
      <c r="J16" s="496" t="inlineStr">
        <is>
          <t>Reminder</t>
        </is>
      </c>
    </row>
    <row r="17">
      <c r="A17" s="497" t="inlineStr">
        <is>
          <t>Webinar</t>
        </is>
      </c>
      <c r="B17" s="497" t="inlineStr">
        <is>
          <t>Attended</t>
        </is>
      </c>
      <c r="C17" s="497" t="n">
        <v>3</v>
      </c>
      <c r="D17" s="497" t="inlineStr">
        <is>
          <t>+2 giờ</t>
        </is>
      </c>
      <c r="E17" s="497" t="inlineStr">
        <is>
          <t>Cảm ơn bạn tham gia! Đây là recording &amp; tài liệu</t>
        </is>
      </c>
      <c r="F17" s="497" t="inlineStr">
        <is>
          <t>Link recording, slide PDF, CTA book tour, ưu đãi attendee</t>
        </is>
      </c>
      <c r="G17" s="497" t="inlineStr">
        <is>
          <t>Đặt lịch tour – Ưu đãi chỉ cho attendee</t>
        </is>
      </c>
      <c r="H17" s="497" t="inlineStr">
        <is>
          <t>wb_thankyou</t>
        </is>
      </c>
      <c r="I17" s="497" t="inlineStr">
        <is>
          <t>Open ≥ 55%, Click ≥ 15%</t>
        </is>
      </c>
      <c r="J17" s="497" t="inlineStr">
        <is>
          <t>Hot conversion</t>
        </is>
      </c>
    </row>
    <row r="18">
      <c r="A18" s="496" t="inlineStr">
        <is>
          <t>Webinar</t>
        </is>
      </c>
      <c r="B18" s="496" t="inlineStr">
        <is>
          <t>No-show</t>
        </is>
      </c>
      <c r="C18" s="496" t="n">
        <v>4</v>
      </c>
      <c r="D18" s="496" t="inlineStr">
        <is>
          <t>+24 giờ</t>
        </is>
      </c>
      <c r="E18" s="496" t="inlineStr">
        <is>
          <t>Bạn bỏ lỡ [Tên Webinar] – Xem replay ngay!</t>
        </is>
      </c>
      <c r="F18" s="496" t="inlineStr">
        <is>
          <t>Link recording, tóm tắt key points, CTA tour</t>
        </is>
      </c>
      <c r="G18" s="496" t="inlineStr">
        <is>
          <t>Xem replay miễn phí</t>
        </is>
      </c>
      <c r="H18" s="496" t="inlineStr">
        <is>
          <t>wb_noshow_replay</t>
        </is>
      </c>
      <c r="I18" s="496" t="inlineStr">
        <is>
          <t>Open ≥ 35%, Click ≥ 8%</t>
        </is>
      </c>
      <c r="J18" s="496" t="inlineStr">
        <is>
          <t>Win back no-shows</t>
        </is>
      </c>
    </row>
    <row r="19">
      <c r="A19" s="497" t="inlineStr">
        <is>
          <t>Scholarship</t>
        </is>
      </c>
      <c r="B19" s="497" t="inlineStr">
        <is>
          <t>Scholarship interest tag</t>
        </is>
      </c>
      <c r="C19" s="497" t="n">
        <v>1</v>
      </c>
      <c r="D19" s="497" t="inlineStr">
        <is>
          <t>Ngay</t>
        </is>
      </c>
      <c r="E19" s="497" t="inlineStr">
        <is>
          <t>Chương trình Học bổng Việt Anh 2026 – Thông tin chi tiết</t>
        </is>
      </c>
      <c r="F19" s="497" t="inlineStr">
        <is>
          <t>Các loại HB, tiêu chí, deadline, link đăng ký thi</t>
        </is>
      </c>
      <c r="G19" s="497" t="inlineStr">
        <is>
          <t>Đăng ký thi Học bổng</t>
        </is>
      </c>
      <c r="H19" s="497" t="inlineStr">
        <is>
          <t>hb_info</t>
        </is>
      </c>
      <c r="I19" s="497" t="inlineStr">
        <is>
          <t>Open ≥ 40%, Click ≥ 12%</t>
        </is>
      </c>
      <c r="J19" s="497" t="inlineStr">
        <is>
          <t>THPT priority</t>
        </is>
      </c>
    </row>
    <row r="20">
      <c r="A20" s="496" t="inlineStr">
        <is>
          <t>Scholarship</t>
        </is>
      </c>
      <c r="B20" s="496" t="inlineStr">
        <is>
          <t>Registered for exam</t>
        </is>
      </c>
      <c r="C20" s="496" t="n">
        <v>2</v>
      </c>
      <c r="D20" s="496" t="inlineStr">
        <is>
          <t>-7 ngày</t>
        </is>
      </c>
      <c r="E20" s="496" t="inlineStr">
        <is>
          <t>Chuẩn bị thi Học bổng – Bí kíp từ HS đạt HB</t>
        </is>
      </c>
      <c r="F20" s="496" t="inlineStr">
        <is>
          <t>Tips thi, format đề, story alumni HB, tâm lý thi</t>
        </is>
      </c>
      <c r="G20" s="496" t="inlineStr">
        <is>
          <t>Xem video alumni đạt HB</t>
        </is>
      </c>
      <c r="H20" s="496" t="inlineStr">
        <is>
          <t>hb_prep</t>
        </is>
      </c>
      <c r="I20" s="496" t="inlineStr">
        <is>
          <t>Open ≥ 45%</t>
        </is>
      </c>
      <c r="J20" s="496" t="inlineStr">
        <is>
          <t>Engagement</t>
        </is>
      </c>
    </row>
    <row r="21">
      <c r="A21" s="497" t="inlineStr">
        <is>
          <t>Re-engage</t>
        </is>
      </c>
      <c r="B21" s="497" t="inlineStr">
        <is>
          <t>Lost &gt; 30 ngày</t>
        </is>
      </c>
      <c r="C21" s="497" t="n">
        <v>1</v>
      </c>
      <c r="D21" s="497" t="inlineStr">
        <is>
          <t>+30 ngày</t>
        </is>
      </c>
      <c r="E21" s="497" t="inlineStr">
        <is>
          <t>Việt Anh vẫn nhớ [Tên] – Tin tức mới!</t>
        </is>
      </c>
      <c r="F21" s="497" t="inlineStr">
        <is>
          <t>Cập nhật mới: ưu đãi, sự kiện, thay đổi, thành tích</t>
        </is>
      </c>
      <c r="G21" s="497" t="inlineStr">
        <is>
          <t>Quay lại tìm hiểu</t>
        </is>
      </c>
      <c r="H21" s="497" t="inlineStr">
        <is>
          <t>reengage_v1</t>
        </is>
      </c>
      <c r="I21" s="497" t="inlineStr">
        <is>
          <t>Open ≥ 15%, Click ≥ 3%</t>
        </is>
      </c>
      <c r="J21" s="497" t="inlineStr">
        <is>
          <t>Monthly blast</t>
        </is>
      </c>
    </row>
    <row r="22">
      <c r="A22" s="496" t="inlineStr">
        <is>
          <t>Re-engage</t>
        </is>
      </c>
      <c r="B22" s="496" t="inlineStr">
        <is>
          <t>Lost &gt; 60 ngày</t>
        </is>
      </c>
      <c r="C22" s="496" t="n">
        <v>2</v>
      </c>
      <c r="D22" s="496" t="inlineStr">
        <is>
          <t>+60 ngày</t>
        </is>
      </c>
      <c r="E22" s="496" t="inlineStr">
        <is>
          <t>Cơ hội cuối – [Cấp] Việt Anh còn nhận hồ sơ</t>
        </is>
      </c>
      <c r="F22" s="496" t="inlineStr">
        <is>
          <t>Late intake info, ưu đãi đặc biệt, deadline</t>
        </is>
      </c>
      <c r="G22" s="496" t="inlineStr">
        <is>
          <t>Liên hệ ngay</t>
        </is>
      </c>
      <c r="H22" s="496" t="inlineStr">
        <is>
          <t>reengage_v2</t>
        </is>
      </c>
      <c r="I22" s="496" t="inlineStr">
        <is>
          <t>Open ≥ 12%</t>
        </is>
      </c>
      <c r="J22" s="496" t="inlineStr">
        <is>
          <t>Last chance</t>
        </is>
      </c>
    </row>
    <row r="25">
      <c r="A25" s="494" t="inlineStr">
        <is>
          <t>B. EMAIL BROADCAST – LỊCH GỬI HÀNG THÁNG</t>
        </is>
      </c>
    </row>
    <row r="26">
      <c r="A26" s="495" t="inlineStr">
        <is>
          <t>Tháng</t>
        </is>
      </c>
      <c r="B26" s="495" t="inlineStr">
        <is>
          <t>Tuần</t>
        </is>
      </c>
      <c r="C26" s="495" t="inlineStr">
        <is>
          <t>Ngày gửi</t>
        </is>
      </c>
      <c r="D26" s="495" t="inlineStr">
        <is>
          <t>Loại</t>
        </is>
      </c>
      <c r="E26" s="495" t="inlineStr">
        <is>
          <t>Subject</t>
        </is>
      </c>
      <c r="F26" s="495" t="inlineStr">
        <is>
          <t>Audience segment</t>
        </is>
      </c>
      <c r="G26" s="495" t="inlineStr">
        <is>
          <t>Mục đích</t>
        </is>
      </c>
      <c r="H26" s="495" t="inlineStr">
        <is>
          <t>KPI</t>
        </is>
      </c>
    </row>
    <row r="27">
      <c r="A27" s="496" t="inlineStr">
        <is>
          <t>T4</t>
        </is>
      </c>
      <c r="B27" s="496" t="inlineStr">
        <is>
          <t>W1</t>
        </is>
      </c>
      <c r="C27" s="496" t="inlineStr">
        <is>
          <t>Thứ 3 08/04</t>
        </is>
      </c>
      <c r="D27" s="496" t="inlineStr">
        <is>
          <t>Newsletter</t>
        </is>
      </c>
      <c r="E27" s="496" t="inlineStr">
        <is>
          <t>Mùa tuyển sinh 2026 chính thức bắt đầu!</t>
        </is>
      </c>
      <c r="F27" s="496" t="inlineStr">
        <is>
          <t>Toàn bộ database PH</t>
        </is>
      </c>
      <c r="G27" s="496" t="inlineStr">
        <is>
          <t>Announce + Drive awareness</t>
        </is>
      </c>
      <c r="H27" s="496" t="inlineStr">
        <is>
          <t>Open ≥ 25%</t>
        </is>
      </c>
    </row>
    <row r="28">
      <c r="A28" s="497" t="inlineStr">
        <is>
          <t>T4</t>
        </is>
      </c>
      <c r="B28" s="497" t="inlineStr">
        <is>
          <t>W2</t>
        </is>
      </c>
      <c r="C28" s="497" t="inlineStr">
        <is>
          <t>Thứ 5 17/04</t>
        </is>
      </c>
      <c r="D28" s="497" t="inlineStr">
        <is>
          <t>Webinar invite</t>
        </is>
      </c>
      <c r="E28" s="497" t="inlineStr">
        <is>
          <t>Hội thảo THCS: Chuyển cấp – Miễn phí</t>
        </is>
      </c>
      <c r="F28" s="497" t="inlineStr">
        <is>
          <t>PH có con lớp 4-5</t>
        </is>
      </c>
      <c r="G28" s="497" t="inlineStr">
        <is>
          <t>Webinar registration</t>
        </is>
      </c>
      <c r="H28" s="497" t="inlineStr">
        <is>
          <t>Reg ≥ 50</t>
        </is>
      </c>
    </row>
    <row r="29">
      <c r="A29" s="496" t="inlineStr">
        <is>
          <t>T4</t>
        </is>
      </c>
      <c r="B29" s="496" t="inlineStr">
        <is>
          <t>W3</t>
        </is>
      </c>
      <c r="C29" s="496" t="inlineStr">
        <is>
          <t>Thứ 3 22/04</t>
        </is>
      </c>
      <c r="D29" s="496" t="inlineStr">
        <is>
          <t>Webinar invite</t>
        </is>
      </c>
      <c r="E29" s="496" t="inlineStr">
        <is>
          <t>Hội thảo THPT: Học bổng lớp 10</t>
        </is>
      </c>
      <c r="F29" s="496" t="inlineStr">
        <is>
          <t>PH có con lớp 9</t>
        </is>
      </c>
      <c r="G29" s="496" t="inlineStr">
        <is>
          <t>Webinar registration</t>
        </is>
      </c>
      <c r="H29" s="496" t="inlineStr">
        <is>
          <t>Reg ≥ 80</t>
        </is>
      </c>
    </row>
    <row r="30">
      <c r="A30" s="497" t="inlineStr">
        <is>
          <t>T4</t>
        </is>
      </c>
      <c r="B30" s="497" t="inlineStr">
        <is>
          <t>W4</t>
        </is>
      </c>
      <c r="C30" s="497" t="inlineStr">
        <is>
          <t>Thứ 3 29/04</t>
        </is>
      </c>
      <c r="D30" s="497" t="inlineStr">
        <is>
          <t>Offer</t>
        </is>
      </c>
      <c r="E30" s="497" t="inlineStr">
        <is>
          <t>Ưu đãi đặc biệt tháng 4 – Hết 30/04</t>
        </is>
      </c>
      <c r="F30" s="497" t="inlineStr">
        <is>
          <t>Leads chưa tour</t>
        </is>
      </c>
      <c r="G30" s="497" t="inlineStr">
        <is>
          <t>Push tour booking</t>
        </is>
      </c>
      <c r="H30" s="497" t="inlineStr">
        <is>
          <t>Click ≥ 6%</t>
        </is>
      </c>
    </row>
    <row r="31">
      <c r="A31" s="496" t="inlineStr">
        <is>
          <t>T5</t>
        </is>
      </c>
      <c r="B31" s="496" t="inlineStr">
        <is>
          <t>W1</t>
        </is>
      </c>
      <c r="C31" s="496" t="inlineStr">
        <is>
          <t>Thứ 5 08/05</t>
        </is>
      </c>
      <c r="D31" s="496" t="inlineStr">
        <is>
          <t>Newsletter</t>
        </is>
      </c>
      <c r="E31" s="496" t="inlineStr">
        <is>
          <t>Tháng 5 tại Việt Anh – Sự kiện &amp; Ưu đãi</t>
        </is>
      </c>
      <c r="F31" s="496" t="inlineStr">
        <is>
          <t>Toàn bộ database</t>
        </is>
      </c>
      <c r="G31" s="496" t="inlineStr">
        <is>
          <t>Monthly update</t>
        </is>
      </c>
      <c r="H31" s="496" t="inlineStr">
        <is>
          <t>Open ≥ 22%</t>
        </is>
      </c>
    </row>
    <row r="32">
      <c r="A32" s="497" t="inlineStr">
        <is>
          <t>T5</t>
        </is>
      </c>
      <c r="B32" s="497" t="inlineStr">
        <is>
          <t>W2</t>
        </is>
      </c>
      <c r="C32" s="497" t="inlineStr">
        <is>
          <t>Thứ 3 13/05</t>
        </is>
      </c>
      <c r="D32" s="497" t="inlineStr">
        <is>
          <t>Event</t>
        </is>
      </c>
      <c r="E32" s="497" t="inlineStr">
        <is>
          <t>Open Day 17/05 – Trải nghiệm trường thật!</t>
        </is>
      </c>
      <c r="F32" s="497" t="inlineStr">
        <is>
          <t>Active leads + PH cũ</t>
        </is>
      </c>
      <c r="G32" s="497" t="inlineStr">
        <is>
          <t>Open Day registration</t>
        </is>
      </c>
      <c r="H32" s="497" t="inlineStr">
        <is>
          <t>Reg ≥ 80</t>
        </is>
      </c>
    </row>
    <row r="33">
      <c r="A33" s="496" t="inlineStr">
        <is>
          <t>T5</t>
        </is>
      </c>
      <c r="B33" s="496" t="inlineStr">
        <is>
          <t>W3</t>
        </is>
      </c>
      <c r="C33" s="496" t="inlineStr">
        <is>
          <t>Thứ 5 22/05</t>
        </is>
      </c>
      <c r="D33" s="496" t="inlineStr">
        <is>
          <t>Webinar</t>
        </is>
      </c>
      <c r="E33" s="496" t="inlineStr">
        <is>
          <t>Hội thảo: Chọn trường TH cho con</t>
        </is>
      </c>
      <c r="F33" s="496" t="inlineStr">
        <is>
          <t>PH MN + PH con 5-6 tuổi</t>
        </is>
      </c>
      <c r="G33" s="496" t="inlineStr">
        <is>
          <t>Webinar reg</t>
        </is>
      </c>
      <c r="H33" s="496" t="inlineStr">
        <is>
          <t>Reg ≥ 60</t>
        </is>
      </c>
    </row>
    <row r="34">
      <c r="A34" s="497" t="inlineStr">
        <is>
          <t>T5</t>
        </is>
      </c>
      <c r="B34" s="497" t="inlineStr">
        <is>
          <t>W4</t>
        </is>
      </c>
      <c r="C34" s="497" t="inlineStr">
        <is>
          <t>Thứ 3 27/05</t>
        </is>
      </c>
      <c r="D34" s="497" t="inlineStr">
        <is>
          <t>Social proof</t>
        </is>
      </c>
      <c r="E34" s="497" t="inlineStr">
        <is>
          <t>PH Việt Anh nói gì? Top 5 review</t>
        </is>
      </c>
      <c r="F34" s="497" t="inlineStr">
        <is>
          <t>Leads warm</t>
        </is>
      </c>
      <c r="G34" s="497" t="inlineStr">
        <is>
          <t>Trust building</t>
        </is>
      </c>
      <c r="H34" s="497" t="inlineStr">
        <is>
          <t>Click ≥ 5%</t>
        </is>
      </c>
    </row>
    <row r="35">
      <c r="A35" s="496" t="inlineStr">
        <is>
          <t>T6</t>
        </is>
      </c>
      <c r="B35" s="496" t="inlineStr">
        <is>
          <t>W1</t>
        </is>
      </c>
      <c r="C35" s="496" t="inlineStr">
        <is>
          <t>Thứ 3 03/06</t>
        </is>
      </c>
      <c r="D35" s="496" t="inlineStr">
        <is>
          <t>Urgency</t>
        </is>
      </c>
      <c r="E35" s="496" t="inlineStr">
        <is>
          <t>Tour cao điểm tháng 6 – Đặt ngay!</t>
        </is>
      </c>
      <c r="F35" s="496" t="inlineStr">
        <is>
          <t>Leads chưa tour</t>
        </is>
      </c>
      <c r="G35" s="496" t="inlineStr">
        <is>
          <t>Push tour</t>
        </is>
      </c>
      <c r="H35" s="496" t="inlineStr">
        <is>
          <t>Click ≥ 8%</t>
        </is>
      </c>
    </row>
    <row r="36">
      <c r="A36" s="497" t="inlineStr">
        <is>
          <t>T6</t>
        </is>
      </c>
      <c r="B36" s="497" t="inlineStr">
        <is>
          <t>W2</t>
        </is>
      </c>
      <c r="C36" s="497" t="inlineStr">
        <is>
          <t>Thứ 5 12/06</t>
        </is>
      </c>
      <c r="D36" s="497" t="inlineStr">
        <is>
          <t>Webinar</t>
        </is>
      </c>
      <c r="E36" s="497" t="inlineStr">
        <is>
          <t>THCS: Giai đoạn bản lề – Webinar miễn phí</t>
        </is>
      </c>
      <c r="F36" s="497" t="inlineStr">
        <is>
          <t>PH lớp 5</t>
        </is>
      </c>
      <c r="G36" s="497" t="inlineStr">
        <is>
          <t>Webinar reg</t>
        </is>
      </c>
      <c r="H36" s="497" t="inlineStr">
        <is>
          <t>Reg ≥ 60</t>
        </is>
      </c>
    </row>
    <row r="37">
      <c r="A37" s="496" t="inlineStr">
        <is>
          <t>T6</t>
        </is>
      </c>
      <c r="B37" s="496" t="inlineStr">
        <is>
          <t>W3</t>
        </is>
      </c>
      <c r="C37" s="496" t="inlineStr">
        <is>
          <t>Thứ 3 17/06</t>
        </is>
      </c>
      <c r="D37" s="496" t="inlineStr">
        <is>
          <t>Event</t>
        </is>
      </c>
      <c r="E37" s="496" t="inlineStr">
        <is>
          <t>Open Day Online – Tour ảo 8 cơ sở 21/06</t>
        </is>
      </c>
      <c r="F37" s="496" t="inlineStr">
        <is>
          <t>All database</t>
        </is>
      </c>
      <c r="G37" s="496" t="inlineStr">
        <is>
          <t>Online event reg</t>
        </is>
      </c>
      <c r="H37" s="496" t="inlineStr">
        <is>
          <t>Reg ≥ 100</t>
        </is>
      </c>
    </row>
    <row r="38">
      <c r="A38" s="497" t="inlineStr">
        <is>
          <t>T6</t>
        </is>
      </c>
      <c r="B38" s="497" t="inlineStr">
        <is>
          <t>W4</t>
        </is>
      </c>
      <c r="C38" s="497" t="inlineStr">
        <is>
          <t>Thứ 5 26/06</t>
        </is>
      </c>
      <c r="D38" s="497" t="inlineStr">
        <is>
          <t>Deadline</t>
        </is>
      </c>
      <c r="E38" s="497" t="inlineStr">
        <is>
          <t>Ưu đãi tháng 6 hết 30/06 – Chốt ngay!</t>
        </is>
      </c>
      <c r="F38" s="497" t="inlineStr">
        <is>
          <t>Leads đã tour chưa nộp</t>
        </is>
      </c>
      <c r="G38" s="497" t="inlineStr">
        <is>
          <t>Push enrollment</t>
        </is>
      </c>
      <c r="H38" s="497" t="inlineStr">
        <is>
          <t>Click ≥ 10%</t>
        </is>
      </c>
    </row>
    <row r="39">
      <c r="A39" s="496" t="inlineStr">
        <is>
          <t>T7</t>
        </is>
      </c>
      <c r="B39" s="496" t="inlineStr">
        <is>
          <t>W1</t>
        </is>
      </c>
      <c r="C39" s="496" t="inlineStr">
        <is>
          <t>Thứ 3 01/07</t>
        </is>
      </c>
      <c r="D39" s="496" t="inlineStr">
        <is>
          <t>Scholarship</t>
        </is>
      </c>
      <c r="E39" s="496" t="inlineStr">
        <is>
          <t>Học bổng THPT 2026 – Đăng ký thi ngay!</t>
        </is>
      </c>
      <c r="F39" s="496" t="inlineStr">
        <is>
          <t>PH THPT + lớp 9</t>
        </is>
      </c>
      <c r="G39" s="496" t="inlineStr">
        <is>
          <t>Scholarship reg</t>
        </is>
      </c>
      <c r="H39" s="496" t="inlineStr">
        <is>
          <t>Click ≥ 12%</t>
        </is>
      </c>
    </row>
    <row r="40">
      <c r="A40" s="497" t="inlineStr">
        <is>
          <t>T7</t>
        </is>
      </c>
      <c r="B40" s="497" t="inlineStr">
        <is>
          <t>W2</t>
        </is>
      </c>
      <c r="C40" s="497" t="inlineStr">
        <is>
          <t>Thứ 5 10/07</t>
        </is>
      </c>
      <c r="D40" s="497" t="inlineStr">
        <is>
          <t>Urgency</t>
        </is>
      </c>
      <c r="E40" s="497" t="inlineStr">
        <is>
          <t>Tháng 7 – Thời điểm chốt! Còn ít chỗ</t>
        </is>
      </c>
      <c r="F40" s="497" t="inlineStr">
        <is>
          <t>All active leads</t>
        </is>
      </c>
      <c r="G40" s="497" t="inlineStr">
        <is>
          <t>Push enrollment</t>
        </is>
      </c>
      <c r="H40" s="497" t="inlineStr">
        <is>
          <t>Click ≥ 8%</t>
        </is>
      </c>
    </row>
    <row r="41">
      <c r="A41" s="496" t="inlineStr">
        <is>
          <t>T7</t>
        </is>
      </c>
      <c r="B41" s="496" t="inlineStr">
        <is>
          <t>W3</t>
        </is>
      </c>
      <c r="C41" s="496" t="inlineStr">
        <is>
          <t>Thứ 3 15/07</t>
        </is>
      </c>
      <c r="D41" s="496" t="inlineStr">
        <is>
          <t>Webinar</t>
        </is>
      </c>
      <c r="E41" s="496" t="inlineStr">
        <is>
          <t>Webinar HB THPT – Cơ hội cuối!</t>
        </is>
      </c>
      <c r="F41" s="496" t="inlineStr">
        <is>
          <t>PH THPT</t>
        </is>
      </c>
      <c r="G41" s="496" t="inlineStr">
        <is>
          <t>WB reg + enrollment</t>
        </is>
      </c>
      <c r="H41" s="496" t="inlineStr">
        <is>
          <t>Reg ≥ 80</t>
        </is>
      </c>
    </row>
    <row r="42">
      <c r="A42" s="497" t="inlineStr">
        <is>
          <t>T7</t>
        </is>
      </c>
      <c r="B42" s="497" t="inlineStr">
        <is>
          <t>W4</t>
        </is>
      </c>
      <c r="C42" s="497" t="inlineStr">
        <is>
          <t>Thứ 5 24/07</t>
        </is>
      </c>
      <c r="D42" s="497" t="inlineStr">
        <is>
          <t>Deadline</t>
        </is>
      </c>
      <c r="E42" s="497" t="inlineStr">
        <is>
          <t>CUỐI CÙNG: Ưu đãi hết 31/07</t>
        </is>
      </c>
      <c r="F42" s="497" t="inlineStr">
        <is>
          <t>Leads tour chưa nộp</t>
        </is>
      </c>
      <c r="G42" s="497" t="inlineStr">
        <is>
          <t>Final push</t>
        </is>
      </c>
      <c r="H42" s="497" t="inlineStr">
        <is>
          <t>Click ≥ 12%</t>
        </is>
      </c>
    </row>
    <row r="43">
      <c r="A43" s="496" t="inlineStr">
        <is>
          <t>T8</t>
        </is>
      </c>
      <c r="B43" s="496" t="inlineStr">
        <is>
          <t>W1-2</t>
        </is>
      </c>
      <c r="C43" s="496" t="inlineStr">
        <is>
          <t>Thứ 3 05/08</t>
        </is>
      </c>
      <c r="D43" s="496" t="inlineStr">
        <is>
          <t>Retarget</t>
        </is>
      </c>
      <c r="E43" s="496" t="inlineStr">
        <is>
          <t>Còn chỗ! Hồ sơ cuối cho [Cấp] 2026</t>
        </is>
      </c>
      <c r="F43" s="496" t="inlineStr">
        <is>
          <t>All leads chưa enroll</t>
        </is>
      </c>
      <c r="G43" s="496" t="inlineStr">
        <is>
          <t>Vét cuối</t>
        </is>
      </c>
      <c r="H43" s="496" t="inlineStr">
        <is>
          <t>Open ≥ 18%</t>
        </is>
      </c>
    </row>
    <row r="44">
      <c r="A44" s="497" t="inlineStr">
        <is>
          <t>T8</t>
        </is>
      </c>
      <c r="B44" s="497" t="inlineStr">
        <is>
          <t>W3-4</t>
        </is>
      </c>
      <c r="C44" s="497" t="inlineStr">
        <is>
          <t>Thứ 3 19/08</t>
        </is>
      </c>
      <c r="D44" s="497" t="inlineStr">
        <is>
          <t>Brand</t>
        </is>
      </c>
      <c r="E44" s="497" t="inlineStr">
        <is>
          <t>Chuẩn bị năm học mới – Việt Anh sẵn sàng!</t>
        </is>
      </c>
      <c r="F44" s="497" t="inlineStr">
        <is>
          <t>Enrolled PH + warm leads</t>
        </is>
      </c>
      <c r="G44" s="497" t="inlineStr">
        <is>
          <t>Brand + late push</t>
        </is>
      </c>
      <c r="H44" s="497" t="inlineStr">
        <is>
          <t>Open ≥ 20%</t>
        </is>
      </c>
    </row>
    <row r="45">
      <c r="A45" s="496" t="inlineStr">
        <is>
          <t>T9</t>
        </is>
      </c>
      <c r="B45" s="496" t="inlineStr">
        <is>
          <t>W1</t>
        </is>
      </c>
      <c r="C45" s="496" t="inlineStr">
        <is>
          <t>Thứ 3 02/09</t>
        </is>
      </c>
      <c r="D45" s="496" t="inlineStr">
        <is>
          <t>Late intake</t>
        </is>
      </c>
      <c r="E45" s="496" t="inlineStr">
        <is>
          <t>Chuyển trường? Việt Anh còn nhận hồ sơ T9!</t>
        </is>
      </c>
      <c r="F45" s="496" t="inlineStr">
        <is>
          <t>Lost leads + new late</t>
        </is>
      </c>
      <c r="G45" s="496" t="inlineStr">
        <is>
          <t>Late enrollment</t>
        </is>
      </c>
      <c r="H45" s="496" t="inlineStr">
        <is>
          <t>Click ≥ 5%</t>
        </is>
      </c>
    </row>
    <row r="46">
      <c r="A46" s="497" t="inlineStr">
        <is>
          <t>T9</t>
        </is>
      </c>
      <c r="B46" s="497" t="inlineStr">
        <is>
          <t>W4</t>
        </is>
      </c>
      <c r="C46" s="497" t="inlineStr">
        <is>
          <t>Thứ 3 23/09</t>
        </is>
      </c>
      <c r="D46" s="497" t="inlineStr">
        <is>
          <t>Thank you</t>
        </is>
      </c>
      <c r="E46" s="497" t="inlineStr">
        <is>
          <t>Cảm ơn – Khai giảng 2026 tuyệt vời!</t>
        </is>
      </c>
      <c r="F46" s="497" t="inlineStr">
        <is>
          <t>All enrolled PH</t>
        </is>
      </c>
      <c r="G46" s="497" t="inlineStr">
        <is>
          <t>Retention + referral</t>
        </is>
      </c>
      <c r="H46" s="497" t="inlineStr">
        <is>
          <t>Open ≥ 40%</t>
        </is>
      </c>
    </row>
    <row r="49">
      <c r="A49" s="494" t="inlineStr">
        <is>
          <t>C. GHL EMAIL SETUP – CẤU HÌNH KỸ THUẬT</t>
        </is>
      </c>
    </row>
    <row r="50">
      <c r="A50" s="495" t="inlineStr">
        <is>
          <t>Bước</t>
        </is>
      </c>
      <c r="B50" s="495" t="inlineStr">
        <is>
          <t>Hành động</t>
        </is>
      </c>
      <c r="C50" s="495" t="inlineStr">
        <is>
          <t>Chi tiết</t>
        </is>
      </c>
      <c r="D50" s="495" t="inlineStr">
        <is>
          <t>Tool</t>
        </is>
      </c>
      <c r="E50" s="495" t="inlineStr">
        <is>
          <t>Timeline</t>
        </is>
      </c>
      <c r="F50" s="495" t="inlineStr">
        <is>
          <t>Trạng thái</t>
        </is>
      </c>
    </row>
    <row r="51">
      <c r="A51" s="496" t="n">
        <v>1</v>
      </c>
      <c r="B51" s="496" t="inlineStr">
        <is>
          <t>Setup sending domain</t>
        </is>
      </c>
      <c r="C51" s="496" t="inlineStr">
        <is>
          <t>truongvietanh.com → DKIM + SPF + DMARC records</t>
        </is>
      </c>
      <c r="D51" s="496" t="inlineStr">
        <is>
          <t>GHL + DNS</t>
        </is>
      </c>
      <c r="E51" s="496" t="inlineStr">
        <is>
          <t>Ngày 1</t>
        </is>
      </c>
      <c r="F51" s="496" t="inlineStr">
        <is>
          <t>☐</t>
        </is>
      </c>
    </row>
    <row r="52">
      <c r="A52" s="497" t="n">
        <v>2</v>
      </c>
      <c r="B52" s="497" t="inlineStr">
        <is>
          <t>Verify domain trong GHL</t>
        </is>
      </c>
      <c r="C52" s="497" t="inlineStr">
        <is>
          <t>Settings → Email → Verify domain → Check green</t>
        </is>
      </c>
      <c r="D52" s="497" t="inlineStr">
        <is>
          <t>GHL Email Settings</t>
        </is>
      </c>
      <c r="E52" s="497" t="inlineStr">
        <is>
          <t>Ngày 1</t>
        </is>
      </c>
      <c r="F52" s="497" t="inlineStr">
        <is>
          <t>☐</t>
        </is>
      </c>
    </row>
    <row r="53">
      <c r="A53" s="496" t="n">
        <v>3</v>
      </c>
      <c r="B53" s="496" t="inlineStr">
        <is>
          <t>Warmup sending</t>
        </is>
      </c>
      <c r="C53" s="496" t="inlineStr">
        <is>
          <t>Gửi 50 email/ngày → tăng dần 100 → 500 → 1000</t>
        </is>
      </c>
      <c r="D53" s="496" t="inlineStr">
        <is>
          <t>GHL + Mailwarm (optional)</t>
        </is>
      </c>
      <c r="E53" s="496" t="inlineStr">
        <is>
          <t>Tuần 1-2</t>
        </is>
      </c>
      <c r="F53" s="496" t="inlineStr">
        <is>
          <t>☐</t>
        </is>
      </c>
    </row>
    <row r="54">
      <c r="A54" s="497" t="n">
        <v>4</v>
      </c>
      <c r="B54" s="497" t="inlineStr">
        <is>
          <t>Tạo email templates (17 templates)</t>
        </is>
      </c>
      <c r="C54" s="497" t="inlineStr">
        <is>
          <t>Design HTML responsive cho tất cả sequences + broadcast</t>
        </is>
      </c>
      <c r="D54" s="497" t="inlineStr">
        <is>
          <t>GHL Email Builder</t>
        </is>
      </c>
      <c r="E54" s="497" t="inlineStr">
        <is>
          <t>Ngày 2-4</t>
        </is>
      </c>
      <c r="F54" s="497" t="inlineStr">
        <is>
          <t>☐</t>
        </is>
      </c>
    </row>
    <row r="55">
      <c r="A55" s="496" t="n">
        <v>5</v>
      </c>
      <c r="B55" s="496" t="inlineStr">
        <is>
          <t>Setup automation workflows</t>
        </is>
      </c>
      <c r="C55" s="496" t="inlineStr">
        <is>
          <t>Kết nối trigger → delay → email → condition → next action</t>
        </is>
      </c>
      <c r="D55" s="496" t="inlineStr">
        <is>
          <t>GHL Workflows</t>
        </is>
      </c>
      <c r="E55" s="496" t="inlineStr">
        <is>
          <t>Ngày 3-5</t>
        </is>
      </c>
      <c r="F55" s="496" t="inlineStr">
        <is>
          <t>☐</t>
        </is>
      </c>
    </row>
    <row r="56">
      <c r="A56" s="497" t="n">
        <v>6</v>
      </c>
      <c r="B56" s="497" t="inlineStr">
        <is>
          <t>Test tất cả sequences</t>
        </is>
      </c>
      <c r="C56" s="497" t="inlineStr">
        <is>
          <t>Gửi test email mỗi sequence → check inbox placement + links</t>
        </is>
      </c>
      <c r="D56" s="497" t="inlineStr">
        <is>
          <t>GHL + Gmail test</t>
        </is>
      </c>
      <c r="E56" s="497" t="inlineStr">
        <is>
          <t>Ngày 5</t>
        </is>
      </c>
      <c r="F56" s="497" t="inlineStr">
        <is>
          <t>☐</t>
        </is>
      </c>
    </row>
    <row r="57">
      <c r="A57" s="496" t="n">
        <v>7</v>
      </c>
      <c r="B57" s="496" t="inlineStr">
        <is>
          <t>Import database PH cũ</t>
        </is>
      </c>
      <c r="C57" s="496" t="inlineStr">
        <is>
          <t>Import list PH mùa trước → Segment → Clean bounces</t>
        </is>
      </c>
      <c r="D57" s="496" t="inlineStr">
        <is>
          <t>GHL Import + CSV</t>
        </is>
      </c>
      <c r="E57" s="496" t="inlineStr">
        <is>
          <t>Ngày 3</t>
        </is>
      </c>
      <c r="F57" s="496" t="inlineStr">
        <is>
          <t>☐</t>
        </is>
      </c>
    </row>
    <row r="58">
      <c r="A58" s="497" t="n">
        <v>8</v>
      </c>
      <c r="B58" s="497" t="inlineStr">
        <is>
          <t>Setup unsubscribe + compliance</t>
        </is>
      </c>
      <c r="C58" s="497" t="inlineStr">
        <is>
          <t>Unsubscribe link, footer address, PDPA compliance</t>
        </is>
      </c>
      <c r="D58" s="497" t="inlineStr">
        <is>
          <t>GHL Email Settings</t>
        </is>
      </c>
      <c r="E58" s="497" t="inlineStr">
        <is>
          <t>Ngày 1</t>
        </is>
      </c>
      <c r="F58" s="497" t="inlineStr">
        <is>
          <t>☐</t>
        </is>
      </c>
    </row>
    <row r="59">
      <c r="A59" s="496" t="n">
        <v>9</v>
      </c>
      <c r="B59" s="496" t="inlineStr">
        <is>
          <t>Sync GHL email events → Pancake</t>
        </is>
      </c>
      <c r="C59" s="496" t="inlineStr">
        <is>
          <t>Make.com: GHL email open/click → Webhook → Pancake CRM update</t>
        </is>
      </c>
      <c r="D59" s="496" t="inlineStr">
        <is>
          <t>Make.com + Pancake API</t>
        </is>
      </c>
      <c r="E59" s="496" t="inlineStr">
        <is>
          <t>Ngày 5-6</t>
        </is>
      </c>
      <c r="F59" s="496" t="inlineStr">
        <is>
          <t>☐</t>
        </is>
      </c>
    </row>
    <row r="60">
      <c r="A60" s="497" t="n">
        <v>10</v>
      </c>
      <c r="B60" s="497" t="inlineStr">
        <is>
          <t>Monthly reporting setup</t>
        </is>
      </c>
      <c r="C60" s="497" t="inlineStr">
        <is>
          <t>Auto report: open rate, click rate, bounce, unsubscribe by campaign</t>
        </is>
      </c>
      <c r="D60" s="497" t="inlineStr">
        <is>
          <t>GHL Reports</t>
        </is>
      </c>
      <c r="E60" s="497" t="inlineStr">
        <is>
          <t>Ngày 6</t>
        </is>
      </c>
      <c r="F60" s="497"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cols>
    <col width="30" customWidth="1" style="248" min="1" max="1"/>
    <col width="25" customWidth="1" style="248" min="2" max="2"/>
    <col width="20" customWidth="1" style="248" min="3" max="3"/>
    <col width="40" customWidth="1" style="248" min="4" max="4"/>
    <col width="35" customWidth="1" style="248" min="5" max="5"/>
    <col width="30" customWidth="1" style="248" min="6" max="6"/>
    <col width="30" customWidth="1" style="248" min="7" max="7"/>
    <col width="25" customWidth="1" style="248" min="8" max="8"/>
    <col width="20" customWidth="1" style="248" min="9" max="9"/>
    <col width="20" customWidth="1" style="248" min="10" max="10"/>
    <col width="18" customWidth="1" style="248" min="11" max="11"/>
    <col width="25" customWidth="1" style="248" min="12" max="12"/>
  </cols>
  <sheetData>
    <row r="1">
      <c r="A1" s="498" t="inlineStr">
        <is>
          <t>CHIẾN LƯỢC NUÔI KÊNH SOCIAL MEDIA — TRƯỜNG VIỆT ANH 2026</t>
        </is>
      </c>
    </row>
    <row r="3">
      <c r="A3" s="494" t="inlineStr">
        <is>
          <t>A. TỔNG QUAN CÁC KÊNH SOCIAL MEDIA</t>
        </is>
      </c>
    </row>
    <row r="4">
      <c r="A4" s="495" t="inlineStr">
        <is>
          <t>Kênh</t>
        </is>
      </c>
      <c r="B4" s="495" t="inlineStr">
        <is>
          <t>URL/Tài khoản</t>
        </is>
      </c>
      <c r="C4" s="495" t="inlineStr">
        <is>
          <t>Mục tiêu followers T9/2026</t>
        </is>
      </c>
      <c r="D4" s="495" t="inlineStr">
        <is>
          <t>Followers hiện tại</t>
        </is>
      </c>
      <c r="E4" s="495" t="inlineStr">
        <is>
          <t>Tần suất đăng bài</t>
        </is>
      </c>
      <c r="F4" s="495" t="inlineStr">
        <is>
          <t>Loại nội dung chính</t>
        </is>
      </c>
      <c r="G4" s="495" t="inlineStr">
        <is>
          <t>Đối tượng chính</t>
        </is>
      </c>
      <c r="H4" s="495" t="inlineStr">
        <is>
          <t>KPI chính</t>
        </is>
      </c>
      <c r="I4" s="495" t="inlineStr">
        <is>
          <t>Công cụ quản lý</t>
        </is>
      </c>
      <c r="J4" s="495" t="inlineStr">
        <is>
          <t>Ngân sách boost/tháng</t>
        </is>
      </c>
      <c r="K4" s="495" t="inlineStr">
        <is>
          <t>Người phụ trách</t>
        </is>
      </c>
      <c r="L4" s="495" t="inlineStr">
        <is>
          <t>Ghi chú</t>
        </is>
      </c>
    </row>
    <row r="5">
      <c r="A5" s="499" t="inlineStr">
        <is>
          <t>Facebook Page</t>
        </is>
      </c>
      <c r="B5" s="499" t="inlineStr">
        <is>
          <t>fb.com/truongvietanh</t>
        </is>
      </c>
      <c r="C5" s="499" t="inlineStr">
        <is>
          <t>50,000</t>
        </is>
      </c>
      <c r="D5" s="499" t="inlineStr">
        <is>
          <t>12,000</t>
        </is>
      </c>
      <c r="E5" s="499" t="inlineStr">
        <is>
          <t>2 bài/ngày</t>
        </is>
      </c>
      <c r="F5" s="499" t="inlineStr">
        <is>
          <t>Hình ảnh, Video, Livestream, Reels</t>
        </is>
      </c>
      <c r="G5" s="499" t="inlineStr">
        <is>
          <t>Phụ huynh 25-45 tuổi</t>
        </is>
      </c>
      <c r="H5" s="499" t="inlineStr">
        <is>
          <t>Reach, Engagement rate ≥3%</t>
        </is>
      </c>
      <c r="I5" s="499" t="inlineStr">
        <is>
          <t>Meta Business Suite, Canva</t>
        </is>
      </c>
      <c r="J5" s="499" t="inlineStr">
        <is>
          <t>5,000,000 VND</t>
        </is>
      </c>
      <c r="K5" s="499" t="inlineStr">
        <is>
          <t>Content Team Lead</t>
        </is>
      </c>
      <c r="L5" s="499" t="inlineStr">
        <is>
          <t>Kênh chủ lực – reach cao nhất</t>
        </is>
      </c>
    </row>
    <row r="6">
      <c r="A6" s="500" t="inlineStr">
        <is>
          <t>Facebook Group (6 nhóm)</t>
        </is>
      </c>
      <c r="B6" s="500" t="inlineStr">
        <is>
          <t>6 nhóm theo cơ sở</t>
        </is>
      </c>
      <c r="C6" s="500" t="inlineStr">
        <is>
          <t>30,000 tổng</t>
        </is>
      </c>
      <c r="D6" s="500" t="inlineStr">
        <is>
          <t>8,000</t>
        </is>
      </c>
      <c r="E6" s="500" t="inlineStr">
        <is>
          <t>3-5 bài/ngày</t>
        </is>
      </c>
      <c r="F6" s="500" t="inlineStr">
        <is>
          <t>Hỏi đáp, Chia sẻ kinh nghiệm, Tips</t>
        </is>
      </c>
      <c r="G6" s="500" t="inlineStr">
        <is>
          <t>Phụ huynh quan tâm giáo dục</t>
        </is>
      </c>
      <c r="H6" s="500" t="inlineStr">
        <is>
          <t>Members, Engagement, Leads</t>
        </is>
      </c>
      <c r="I6" s="500" t="inlineStr">
        <is>
          <t>Facebook, Google Sheets</t>
        </is>
      </c>
      <c r="J6" s="500" t="inlineStr">
        <is>
          <t>0 (organic)</t>
        </is>
      </c>
      <c r="K6" s="500" t="inlineStr">
        <is>
          <t>Community Manager</t>
        </is>
      </c>
      <c r="L6" s="500" t="inlineStr">
        <is>
          <t>1 nhóm/cơ sở + 1 nhóm chung</t>
        </is>
      </c>
    </row>
    <row r="7">
      <c r="A7" s="499" t="inlineStr">
        <is>
          <t>Zalo OA</t>
        </is>
      </c>
      <c r="B7" s="499" t="inlineStr">
        <is>
          <t>oa.zalo.me/truongvietanh</t>
        </is>
      </c>
      <c r="C7" s="499" t="inlineStr">
        <is>
          <t>40,000</t>
        </is>
      </c>
      <c r="D7" s="499" t="inlineStr">
        <is>
          <t>15,000</t>
        </is>
      </c>
      <c r="E7" s="499" t="inlineStr">
        <is>
          <t>1 bài/ngày + tin nhắn</t>
        </is>
      </c>
      <c r="F7" s="499" t="inlineStr">
        <is>
          <t>Tin tức, Thông báo, Tư vấn 1-1</t>
        </is>
      </c>
      <c r="G7" s="499" t="inlineStr">
        <is>
          <t>Phụ huynh VN, 30-50 tuổi</t>
        </is>
      </c>
      <c r="H7" s="499" t="inlineStr">
        <is>
          <t>Followers, Open rate ≥40%</t>
        </is>
      </c>
      <c r="I7" s="499" t="inlineStr">
        <is>
          <t>Zalo OA Admin, GHL</t>
        </is>
      </c>
      <c r="J7" s="499" t="inlineStr">
        <is>
          <t>3,000,000 VND</t>
        </is>
      </c>
      <c r="K7" s="499" t="inlineStr">
        <is>
          <t>Zalo Specialist</t>
        </is>
      </c>
      <c r="L7" s="499" t="inlineStr">
        <is>
          <t>Kênh convert cao nhất tại VN</t>
        </is>
      </c>
    </row>
    <row r="8">
      <c r="A8" s="500" t="inlineStr">
        <is>
          <t>YouTube</t>
        </is>
      </c>
      <c r="B8" s="500" t="inlineStr">
        <is>
          <t>youtube.com/@truongvietanh</t>
        </is>
      </c>
      <c r="C8" s="500" t="inlineStr">
        <is>
          <t>10,000</t>
        </is>
      </c>
      <c r="D8" s="500" t="inlineStr">
        <is>
          <t>1,200</t>
        </is>
      </c>
      <c r="E8" s="500" t="inlineStr">
        <is>
          <t>3 video/tuần</t>
        </is>
      </c>
      <c r="F8" s="500" t="inlineStr">
        <is>
          <t>Tour trường, Phỏng vấn PH, Tips GD</t>
        </is>
      </c>
      <c r="G8" s="500" t="inlineStr">
        <is>
          <t>Phụ huynh + Học sinh</t>
        </is>
      </c>
      <c r="H8" s="500" t="inlineStr">
        <is>
          <t>Views, Watch time, Subscribers</t>
        </is>
      </c>
      <c r="I8" s="500" t="inlineStr">
        <is>
          <t>YouTube Studio, Canva</t>
        </is>
      </c>
      <c r="J8" s="500" t="inlineStr">
        <is>
          <t>2,000,000 VND</t>
        </is>
      </c>
      <c r="K8" s="500" t="inlineStr">
        <is>
          <t>Video Team</t>
        </is>
      </c>
      <c r="L8" s="500" t="inlineStr">
        <is>
          <t>SEO video rất quan trọng</t>
        </is>
      </c>
    </row>
    <row r="9">
      <c r="A9" s="499" t="inlineStr">
        <is>
          <t>TikTok</t>
        </is>
      </c>
      <c r="B9" s="499" t="inlineStr">
        <is>
          <t>tiktok.com/@truongvietanh</t>
        </is>
      </c>
      <c r="C9" s="499" t="inlineStr">
        <is>
          <t>30,000</t>
        </is>
      </c>
      <c r="D9" s="499" t="inlineStr">
        <is>
          <t>3,500</t>
        </is>
      </c>
      <c r="E9" s="499" t="inlineStr">
        <is>
          <t>1-2 video/ngày</t>
        </is>
      </c>
      <c r="F9" s="499" t="inlineStr">
        <is>
          <t>Behind the scenes, Tips ngắn, Trend</t>
        </is>
      </c>
      <c r="G9" s="499" t="inlineStr">
        <is>
          <t>Phụ huynh trẻ 25-35, HS cấp 2-3</t>
        </is>
      </c>
      <c r="H9" s="499" t="inlineStr">
        <is>
          <t>Views, Followers, Leads</t>
        </is>
      </c>
      <c r="I9" s="499" t="inlineStr">
        <is>
          <t>CapCut, TikTok Studio</t>
        </is>
      </c>
      <c r="J9" s="499" t="inlineStr">
        <is>
          <t>3,000,000 VND</t>
        </is>
      </c>
      <c r="K9" s="499" t="inlineStr">
        <is>
          <t>TikTok Creator</t>
        </is>
      </c>
      <c r="L9" s="499" t="inlineStr">
        <is>
          <t>Kênh tăng trưởng nhanh nhất</t>
        </is>
      </c>
    </row>
    <row r="10">
      <c r="A10" s="500" t="inlineStr">
        <is>
          <t>Instagram</t>
        </is>
      </c>
      <c r="B10" s="500" t="inlineStr">
        <is>
          <t>instagram.com/truongvietanh</t>
        </is>
      </c>
      <c r="C10" s="500" t="inlineStr">
        <is>
          <t>15,000</t>
        </is>
      </c>
      <c r="D10" s="500" t="inlineStr">
        <is>
          <t>2,000</t>
        </is>
      </c>
      <c r="E10" s="500" t="inlineStr">
        <is>
          <t>1 bài/ngày + Stories</t>
        </is>
      </c>
      <c r="F10" s="500" t="inlineStr">
        <is>
          <t>Reels, Carousel, Stories highlight</t>
        </is>
      </c>
      <c r="G10" s="500" t="inlineStr">
        <is>
          <t>Phụ huynh trẻ, Expat, Urban</t>
        </is>
      </c>
      <c r="H10" s="500" t="inlineStr">
        <is>
          <t>Followers, Story views, DM leads</t>
        </is>
      </c>
      <c r="I10" s="500" t="inlineStr">
        <is>
          <t>Meta Business Suite, Canva</t>
        </is>
      </c>
      <c r="J10" s="500" t="inlineStr">
        <is>
          <t>2,000,000 VND</t>
        </is>
      </c>
      <c r="K10" s="500" t="inlineStr">
        <is>
          <t>IG Specialist</t>
        </is>
      </c>
      <c r="L10" s="500" t="inlineStr">
        <is>
          <t>Brand image + Expat audience</t>
        </is>
      </c>
    </row>
    <row r="12">
      <c r="A12" s="494" t="inlineStr">
        <is>
          <t>B. FACEBOOK PAGE — Chiến Lược Nuôi Kênh Chi Tiết</t>
        </is>
      </c>
    </row>
    <row r="13">
      <c r="A13" s="495" t="inlineStr">
        <is>
          <t>Hoạt động</t>
        </is>
      </c>
      <c r="B13" s="495" t="inlineStr">
        <is>
          <t>Tần suất</t>
        </is>
      </c>
      <c r="C13" s="495" t="inlineStr">
        <is>
          <t>Thời gian đăng tối ưu</t>
        </is>
      </c>
      <c r="D13" s="495" t="inlineStr">
        <is>
          <t>Loại nội dung</t>
        </is>
      </c>
      <c r="E13" s="495" t="inlineStr">
        <is>
          <t>Mô tả chi tiết</t>
        </is>
      </c>
      <c r="F13" s="495" t="inlineStr">
        <is>
          <t>Hashtag mẫu</t>
        </is>
      </c>
      <c r="G13" s="495" t="inlineStr">
        <is>
          <t>CTA mẫu</t>
        </is>
      </c>
      <c r="H13" s="495" t="inlineStr">
        <is>
          <t>KPI đo lường</t>
        </is>
      </c>
      <c r="I13" s="495" t="inlineStr">
        <is>
          <t>Công cụ hỗ trợ</t>
        </is>
      </c>
      <c r="J13" s="495" t="inlineStr">
        <is>
          <t>Template/Mẫu</t>
        </is>
      </c>
      <c r="K13" s="495" t="inlineStr">
        <is>
          <t>Ghi chú</t>
        </is>
      </c>
    </row>
    <row r="14">
      <c r="A14" s="499" t="inlineStr">
        <is>
          <t>Đăng bài hình ảnh trường</t>
        </is>
      </c>
      <c r="B14" s="499" t="inlineStr">
        <is>
          <t>Hàng ngày 8:00</t>
        </is>
      </c>
      <c r="C14" s="499" t="inlineStr">
        <is>
          <t>7:30-8:30 sáng</t>
        </is>
      </c>
      <c r="D14" s="499" t="inlineStr">
        <is>
          <t>Hình ảnh carousel</t>
        </is>
      </c>
      <c r="E14" s="499" t="inlineStr">
        <is>
          <t>Chụp hoạt động học sinh thực tế: giờ học, giờ chơi, ăn trưa, ngoại khóa. Dùng 5-10 hình/bài</t>
        </is>
      </c>
      <c r="F14" s="499" t="inlineStr">
        <is>
          <t>#TruongVietAnh #GiaoDucChatLuong #MamNon #TieuHoc</t>
        </is>
      </c>
      <c r="G14" s="499" t="inlineStr">
        <is>
          <t>Đăng ký tham quan trường TẠI ĐÂY 👇</t>
        </is>
      </c>
      <c r="H14" s="499" t="inlineStr">
        <is>
          <t>Reach ≥5,000, Engagement ≥150</t>
        </is>
      </c>
      <c r="I14" s="499" t="inlineStr">
        <is>
          <t>Canva, Lightroom Mobile</t>
        </is>
      </c>
      <c r="J14" s="499" t="inlineStr">
        <is>
          <t>Template carousel 1080x1080</t>
        </is>
      </c>
      <c r="K14" s="499" t="inlineStr">
        <is>
          <t>Ưu tiên hình tự nhiên, không dàn dựng</t>
        </is>
      </c>
    </row>
    <row r="15">
      <c r="A15" s="500" t="inlineStr">
        <is>
          <t>Đăng video ngắn/Reels</t>
        </is>
      </c>
      <c r="B15" s="500" t="inlineStr">
        <is>
          <t>Hàng ngày 12:00</t>
        </is>
      </c>
      <c r="C15" s="500" t="inlineStr">
        <is>
          <t>11:30-12:30 trưa</t>
        </is>
      </c>
      <c r="D15" s="500" t="inlineStr">
        <is>
          <t>Video 30-60s</t>
        </is>
      </c>
      <c r="E15" s="500" t="inlineStr">
        <is>
          <t>Behind the scenes, hoạt động vui, tip nuôi con, Q&amp;A nhanh. Vertical 9:16</t>
        </is>
      </c>
      <c r="F15" s="500" t="inlineStr">
        <is>
          <t>#ReelsGiaoDuc #TruongTuThuc #HocSinhVietAnh</t>
        </is>
      </c>
      <c r="G15" s="500" t="inlineStr">
        <is>
          <t>Inbox ngay để được tư vấn miễn phí! 📩</t>
        </is>
      </c>
      <c r="H15" s="500" t="inlineStr">
        <is>
          <t>Views ≥3,000, Shares ≥50</t>
        </is>
      </c>
      <c r="I15" s="500" t="inlineStr">
        <is>
          <t>CapCut, InShot</t>
        </is>
      </c>
      <c r="J15" s="500" t="inlineStr">
        <is>
          <t>Template Reels 1080x1920</t>
        </is>
      </c>
      <c r="K15" s="500" t="inlineStr">
        <is>
          <t>Hook trong 3 giây đầu</t>
        </is>
      </c>
    </row>
    <row r="16">
      <c r="A16" s="499" t="inlineStr">
        <is>
          <t>Đăng bài chia sẻ giá trị</t>
        </is>
      </c>
      <c r="B16" s="499" t="inlineStr">
        <is>
          <t>3 lần/tuần</t>
        </is>
      </c>
      <c r="C16" s="499" t="inlineStr">
        <is>
          <t>20:00-21:00 tối</t>
        </is>
      </c>
      <c r="D16" s="499" t="inlineStr">
        <is>
          <t>Text + Hình</t>
        </is>
      </c>
      <c r="E16" s="499" t="inlineStr">
        <is>
          <t>Tips nuôi dạy con, chuẩn bị vào lớp 1, chọn trường phù hợp. Nội dung dài 200-500 từ</t>
        </is>
      </c>
      <c r="F16" s="499" t="inlineStr">
        <is>
          <t>#TipsNuoiCon #ChuanBiVaoLop1 #GiaoDucSom</t>
        </is>
      </c>
      <c r="G16" s="499" t="inlineStr">
        <is>
          <t>Lưu bài viết để đọc lại nhé! 💾</t>
        </is>
      </c>
      <c r="H16" s="499" t="inlineStr">
        <is>
          <t>Saves ≥100, Comments ≥30</t>
        </is>
      </c>
      <c r="I16" s="499" t="inlineStr">
        <is>
          <t>Canva, Google Docs</t>
        </is>
      </c>
      <c r="J16" s="499" t="inlineStr">
        <is>
          <t>Template infographic</t>
        </is>
      </c>
      <c r="K16" s="499" t="inlineStr">
        <is>
          <t>Nội dung evergreen, có thể repost</t>
        </is>
      </c>
    </row>
    <row r="17">
      <c r="A17" s="500" t="inlineStr">
        <is>
          <t>Livestream tư vấn</t>
        </is>
      </c>
      <c r="B17" s="500" t="inlineStr">
        <is>
          <t>2 lần/tuần (T3, T5)</t>
        </is>
      </c>
      <c r="C17" s="500" t="inlineStr">
        <is>
          <t>20:00-21:00</t>
        </is>
      </c>
      <c r="D17" s="500" t="inlineStr">
        <is>
          <t>Video livestream 30-60 phút</t>
        </is>
      </c>
      <c r="E17" s="500" t="inlineStr">
        <is>
          <t>Hiệu trưởng/Giáo viên trả lời câu hỏi PH. Chủ đề theo tuần: MN, TH, THCS, THPT</t>
        </is>
      </c>
      <c r="F17" s="500" t="inlineStr">
        <is>
          <t>#LiveTuVan #TruongVietAnh #TuyenSinh2026</t>
        </is>
      </c>
      <c r="G17" s="500" t="inlineStr">
        <is>
          <t>Comment SĐT để được tư vấn riêng! 📞</t>
        </is>
      </c>
      <c r="H17" s="500" t="inlineStr">
        <is>
          <t>Peak viewers ≥200, Comments ≥100</t>
        </is>
      </c>
      <c r="I17" s="500" t="inlineStr">
        <is>
          <t>OBS Studio, StreamYard</t>
        </is>
      </c>
      <c r="J17" s="500" t="inlineStr">
        <is>
          <t>Slide giới thiệu trường</t>
        </is>
      </c>
      <c r="K17" s="500" t="inlineStr">
        <is>
          <t>Đăng lịch live 24h trước</t>
        </is>
      </c>
    </row>
    <row r="18">
      <c r="A18" s="499" t="inlineStr">
        <is>
          <t>Đăng testimonial PH</t>
        </is>
      </c>
      <c r="B18" s="499" t="inlineStr">
        <is>
          <t>2 lần/tuần</t>
        </is>
      </c>
      <c r="C18" s="499" t="inlineStr">
        <is>
          <t>17:00-18:00</t>
        </is>
      </c>
      <c r="D18" s="499" t="inlineStr">
        <is>
          <t>Video phỏng vấn + Quote card</t>
        </is>
      </c>
      <c r="E18" s="499" t="inlineStr">
        <is>
          <t>Phỏng vấn PH hài lòng 2-3 phút. Quote card trích dẫn câu nói ấn tượng</t>
        </is>
      </c>
      <c r="F18" s="499" t="inlineStr">
        <is>
          <t>#PhuHuynhNoiGi #ReviewTruong #TruongVietAnh</t>
        </is>
      </c>
      <c r="G18" s="499" t="inlineStr">
        <is>
          <t>Bạn cũng muốn con trải nghiệm? Đăng ký ngay!</t>
        </is>
      </c>
      <c r="H18" s="499" t="inlineStr">
        <is>
          <t>Engagement ≥5%, Shares ≥30</t>
        </is>
      </c>
      <c r="I18" s="499" t="inlineStr">
        <is>
          <t>Canva, CapCut</t>
        </is>
      </c>
      <c r="J18" s="499" t="inlineStr">
        <is>
          <t>Template quote card</t>
        </is>
      </c>
      <c r="K18" s="499" t="inlineStr">
        <is>
          <t>Xin phép PH trước khi đăng</t>
        </is>
      </c>
    </row>
    <row r="19">
      <c r="A19" s="500" t="inlineStr">
        <is>
          <t>Đăng thông báo sự kiện</t>
        </is>
      </c>
      <c r="B19" s="500" t="inlineStr">
        <is>
          <t>Theo lịch sự kiện</t>
        </is>
      </c>
      <c r="C19" s="500" t="inlineStr">
        <is>
          <t>10:00-11:00</t>
        </is>
      </c>
      <c r="D19" s="500" t="inlineStr">
        <is>
          <t>Hình event + Link đăng ký</t>
        </is>
      </c>
      <c r="E19" s="500" t="inlineStr">
        <is>
          <t>Open Day, Workshop, Webinar, Ngày hội. Countdown 7-3-1 ngày trước sự kiện</t>
        </is>
      </c>
      <c r="F19" s="500" t="inlineStr">
        <is>
          <t>#OpenDay #ThamQuanTruong #SuKien</t>
        </is>
      </c>
      <c r="G19" s="500" t="inlineStr">
        <is>
          <t>Đăng ký tham gia miễn phí — Link trong comment!</t>
        </is>
      </c>
      <c r="H19" s="500" t="inlineStr">
        <is>
          <t>Clicks ≥500, Registrations ≥50</t>
        </is>
      </c>
      <c r="I19" s="500" t="inlineStr">
        <is>
          <t>Canva, GHL landing page</t>
        </is>
      </c>
      <c r="J19" s="500" t="inlineStr">
        <is>
          <t>Template event banner</t>
        </is>
      </c>
      <c r="K19" s="500" t="inlineStr">
        <is>
          <t>Boost post với 500K-1M VND</t>
        </is>
      </c>
    </row>
    <row r="20">
      <c r="A20" s="499" t="inlineStr">
        <is>
          <t>Chạy mini-game/contest</t>
        </is>
      </c>
      <c r="B20" s="499" t="inlineStr">
        <is>
          <t>2 lần/tháng</t>
        </is>
      </c>
      <c r="C20" s="499" t="inlineStr">
        <is>
          <t>15:00-16:00 T6</t>
        </is>
      </c>
      <c r="D20" s="499" t="inlineStr">
        <is>
          <t>Hình + Luật chơi</t>
        </is>
      </c>
      <c r="E20" s="499" t="inlineStr">
        <is>
          <t>Like + Share + Comment để nhận quà. Quà: học bổng, voucher, sách GD</t>
        </is>
      </c>
      <c r="F20" s="499" t="inlineStr">
        <is>
          <t>#MiniGame #TruongVietAnh #TangQua</t>
        </is>
      </c>
      <c r="G20" s="499" t="inlineStr">
        <is>
          <t>Tham gia ngay — chỉ còn 3 ngày! ⏰</t>
        </is>
      </c>
      <c r="H20" s="499" t="inlineStr">
        <is>
          <t>Shares ≥200, New followers ≥500</t>
        </is>
      </c>
      <c r="I20" s="499" t="inlineStr">
        <is>
          <t>Canva, Woobox</t>
        </is>
      </c>
      <c r="J20" s="499" t="inlineStr">
        <is>
          <t>Template minigame</t>
        </is>
      </c>
      <c r="K20" s="499" t="inlineStr">
        <is>
          <t>Tuân thủ chính sách FB</t>
        </is>
      </c>
    </row>
    <row r="21">
      <c r="A21" s="500" t="inlineStr">
        <is>
          <t>Phản hồi comment/inbox</t>
        </is>
      </c>
      <c r="B21" s="500" t="inlineStr">
        <is>
          <t>Trong vòng 30 phút</t>
        </is>
      </c>
      <c r="C21" s="500" t="inlineStr">
        <is>
          <t>24/7</t>
        </is>
      </c>
      <c r="D21" s="500" t="inlineStr">
        <is>
          <t>Text reply</t>
        </is>
      </c>
      <c r="E21" s="500" t="inlineStr">
        <is>
          <t>Trả lời mọi comment/inbox. Inbox → chuyển lead vào GHL. Comment → tag vào inbox</t>
        </is>
      </c>
      <c r="F21" s="500" t="inlineStr">
        <is>
          <t>N/A</t>
        </is>
      </c>
      <c r="G21" s="500" t="inlineStr">
        <is>
          <t>Cảm ơn bạn! Mình inbox chi tiết nhé 😊</t>
        </is>
      </c>
      <c r="H21" s="500" t="inlineStr">
        <is>
          <t>Response time &lt;30 min, Lead capture rate</t>
        </is>
      </c>
      <c r="I21" s="500" t="inlineStr">
        <is>
          <t>GHL, Pancake CRM</t>
        </is>
      </c>
      <c r="J21" s="500" t="inlineStr">
        <is>
          <t>Script trả lời mẫu</t>
        </is>
      </c>
      <c r="K21" s="500" t="inlineStr">
        <is>
          <t>Không bao giờ bỏ sót comment</t>
        </is>
      </c>
    </row>
    <row r="22">
      <c r="A22" s="499" t="inlineStr">
        <is>
          <t>Story/Highlights update</t>
        </is>
      </c>
      <c r="B22" s="499" t="inlineStr">
        <is>
          <t>Hàng ngày</t>
        </is>
      </c>
      <c r="C22" s="499" t="inlineStr">
        <is>
          <t>Xuyên suốt ngày</t>
        </is>
      </c>
      <c r="D22" s="499" t="inlineStr">
        <is>
          <t>Video ngắn + Poll</t>
        </is>
      </c>
      <c r="E22" s="499" t="inlineStr">
        <is>
          <t>Story hoạt động trong ngày, Poll hỏi ý kiến PH, Countdown sự kiện, Behind the scenes</t>
        </is>
      </c>
      <c r="F22" s="499" t="inlineStr">
        <is>
          <t>N/A (Story không dùng hashtag)</t>
        </is>
      </c>
      <c r="G22" s="499" t="inlineStr">
        <is>
          <t>Swipe up / Link sticker → Landing page</t>
        </is>
      </c>
      <c r="H22" s="499" t="inlineStr">
        <is>
          <t>Story views ≥2,000, Sticker taps</t>
        </is>
      </c>
      <c r="I22" s="499" t="inlineStr">
        <is>
          <t>Canva, Instagram Stories</t>
        </is>
      </c>
      <c r="J22" s="499" t="inlineStr">
        <is>
          <t>Template story</t>
        </is>
      </c>
      <c r="K22" s="499" t="inlineStr">
        <is>
          <t>Lưu vào Highlights theo chủ đề</t>
        </is>
      </c>
    </row>
    <row r="23">
      <c r="A23" s="500" t="inlineStr">
        <is>
          <t>Boost/Promote bài tốt</t>
        </is>
      </c>
      <c r="B23" s="500" t="inlineStr">
        <is>
          <t>Khi bài organic ≥3% ER</t>
        </is>
      </c>
      <c r="C23" s="500" t="inlineStr">
        <is>
          <t>Sau 2-4h đăng</t>
        </is>
      </c>
      <c r="D23" s="500" t="inlineStr">
        <is>
          <t>Boosted post</t>
        </is>
      </c>
      <c r="E23" s="500" t="inlineStr">
        <is>
          <t>Boost bài có ER cao. Target: PH 25-45, bán kính 10km quanh cơ sở. Budget 200K-500K/bài</t>
        </is>
      </c>
      <c r="F23" s="500" t="inlineStr">
        <is>
          <t>N/A</t>
        </is>
      </c>
      <c r="G23" s="500" t="inlineStr">
        <is>
          <t>CTA của bài gốc</t>
        </is>
      </c>
      <c r="H23" s="500" t="inlineStr">
        <is>
          <t>Cost per engagement, Reach, Leads</t>
        </is>
      </c>
      <c r="I23" s="500" t="inlineStr">
        <is>
          <t>Meta Ads Manager, Birch</t>
        </is>
      </c>
      <c r="J23" s="500" t="inlineStr">
        <is>
          <t>N/A</t>
        </is>
      </c>
      <c r="K23" s="500" t="inlineStr">
        <is>
          <t>Chỉ boost bài đã có traction organic</t>
        </is>
      </c>
    </row>
    <row r="25">
      <c r="A25" s="494" t="inlineStr">
        <is>
          <t>C. FACEBOOK GROUP — Chiến Lược Nuôi 6 Nhóm Cộng Đồng</t>
        </is>
      </c>
    </row>
    <row r="26">
      <c r="A26" s="495" t="inlineStr">
        <is>
          <t>Hoạt động</t>
        </is>
      </c>
      <c r="B26" s="495" t="inlineStr">
        <is>
          <t>Tần suất</t>
        </is>
      </c>
      <c r="C26" s="495" t="inlineStr">
        <is>
          <t>Ai thực hiện</t>
        </is>
      </c>
      <c r="D26" s="495" t="inlineStr">
        <is>
          <t>Chi tiết nội dung</t>
        </is>
      </c>
      <c r="E26" s="495" t="inlineStr">
        <is>
          <t>Quy trình</t>
        </is>
      </c>
      <c r="F26" s="495" t="inlineStr">
        <is>
          <t>Mục tiêu</t>
        </is>
      </c>
      <c r="G26" s="495" t="inlineStr">
        <is>
          <t>KPI</t>
        </is>
      </c>
      <c r="H26" s="495" t="inlineStr">
        <is>
          <t>Lưu ý</t>
        </is>
      </c>
    </row>
    <row r="27">
      <c r="A27" s="499" t="inlineStr">
        <is>
          <t>Đăng bài hỏi đáp</t>
        </is>
      </c>
      <c r="B27" s="499" t="inlineStr">
        <is>
          <t>Hàng ngày 7:00</t>
        </is>
      </c>
      <c r="C27" s="499" t="inlineStr">
        <is>
          <t>Community Manager</t>
        </is>
      </c>
      <c r="D27" s="499" t="inlineStr">
        <is>
          <t>Đặt câu hỏi mở: "Bé nhà bạn thích môn gì nhất?", "Bạn chọn trường dựa trên tiêu chí nào?"</t>
        </is>
      </c>
      <c r="E27" s="499" t="inlineStr">
        <is>
          <t>1. Lên lịch bài → 2. Đăng → 3. Trả lời comment → 4. Chuyển lead sang GHL</t>
        </is>
      </c>
      <c r="F27" s="499" t="inlineStr">
        <is>
          <t>≥30 comments/bài</t>
        </is>
      </c>
      <c r="G27" s="499" t="inlineStr">
        <is>
          <t>Comments, Active members</t>
        </is>
      </c>
      <c r="H27" s="499" t="inlineStr">
        <is>
          <t>Câu hỏi đơn giản, dễ trả lời</t>
        </is>
      </c>
    </row>
    <row r="28">
      <c r="A28" s="500" t="inlineStr">
        <is>
          <t>Chia sẻ tips giáo dục</t>
        </is>
      </c>
      <c r="B28" s="500" t="inlineStr">
        <is>
          <t>3 lần/tuần</t>
        </is>
      </c>
      <c r="C28" s="500" t="inlineStr">
        <is>
          <t>Content Writer</t>
        </is>
      </c>
      <c r="D28" s="500" t="inlineStr">
        <is>
          <t>Bài viết 200-400 từ: tips chuẩn bị vào lớp 1, rèn kỹ năng sống, dinh dưỡng học đường</t>
        </is>
      </c>
      <c r="E28" s="500" t="inlineStr">
        <is>
          <t>1. Viết bài → 2. Duyệt nội dung → 3. Đăng → 4. Engage comments</t>
        </is>
      </c>
      <c r="F28" s="500" t="inlineStr">
        <is>
          <t>≥50 reactions</t>
        </is>
      </c>
      <c r="G28" s="500" t="inlineStr">
        <is>
          <t>Saves, Shares</t>
        </is>
      </c>
      <c r="H28" s="500" t="inlineStr">
        <is>
          <t>Không quảng cáo trực tiếp</t>
        </is>
      </c>
    </row>
    <row r="29">
      <c r="A29" s="499" t="inlineStr">
        <is>
          <t>Welcome member mới</t>
        </is>
      </c>
      <c r="B29" s="499" t="inlineStr">
        <is>
          <t>Hàng ngày</t>
        </is>
      </c>
      <c r="C29" s="499" t="inlineStr">
        <is>
          <t>Admin Group</t>
        </is>
      </c>
      <c r="D29" s="499" t="inlineStr">
        <is>
          <t>Chào đón thành viên mới, giới thiệu quy tắc nhóm, khuyến khích giới thiệu bản thân</t>
        </is>
      </c>
      <c r="E29" s="499" t="inlineStr">
        <is>
          <t>1. Duyệt member → 2. Welcome post → 3. Tag member mới → 4. DM giới thiệu</t>
        </is>
      </c>
      <c r="F29" s="499" t="inlineStr">
        <is>
          <t>Onboard 100% member mới</t>
        </is>
      </c>
      <c r="G29" s="499" t="inlineStr">
        <is>
          <t>New members/tuần</t>
        </is>
      </c>
      <c r="H29" s="499" t="inlineStr">
        <is>
          <t>Lọc tài khoản fake</t>
        </is>
      </c>
    </row>
    <row r="30">
      <c r="A30" s="500" t="inlineStr">
        <is>
          <t>Livestream trong nhóm</t>
        </is>
      </c>
      <c r="B30" s="500" t="inlineStr">
        <is>
          <t>1 lần/tuần (T7)</t>
        </is>
      </c>
      <c r="C30" s="500" t="inlineStr">
        <is>
          <t>Giáo viên/Hiệu trưởng</t>
        </is>
      </c>
      <c r="D30" s="500" t="inlineStr">
        <is>
          <t>Q&amp;A session 30-45 phút, trả lời câu hỏi PH trong nhóm. Chủ đề cụ thể mỗi tuần</t>
        </is>
      </c>
      <c r="E30" s="500" t="inlineStr">
        <is>
          <t>1. Thông báo 2 ngày trước → 2. Thu thập câu hỏi → 3. Live → 4. Tóm tắt post</t>
        </is>
      </c>
      <c r="F30" s="500" t="inlineStr">
        <is>
          <t>≥100 viewers</t>
        </is>
      </c>
      <c r="G30" s="500" t="inlineStr">
        <is>
          <t>Peak viewers, Questions asked</t>
        </is>
      </c>
      <c r="H30" s="500" t="inlineStr">
        <is>
          <t>Record lại để đăng YouTube</t>
        </is>
      </c>
    </row>
    <row r="31">
      <c r="A31" s="499" t="inlineStr">
        <is>
          <t>Share nội dung từ Page</t>
        </is>
      </c>
      <c r="B31" s="499" t="inlineStr">
        <is>
          <t>2 lần/ngày</t>
        </is>
      </c>
      <c r="C31" s="499" t="inlineStr">
        <is>
          <t>Social Media Intern</t>
        </is>
      </c>
      <c r="D31" s="499" t="inlineStr">
        <is>
          <t>Share bài từ Page kèm caption riêng phù hợp nhóm. Không share quá nhiều để tránh spam</t>
        </is>
      </c>
      <c r="E31" s="499" t="inlineStr">
        <is>
          <t>1. Chọn bài phù hợp → 2. Viết caption → 3. Share → 4. Engage</t>
        </is>
      </c>
      <c r="F31" s="499" t="inlineStr">
        <is>
          <t>Traffic to Page ≥500/tuần</t>
        </is>
      </c>
      <c r="G31" s="499" t="inlineStr">
        <is>
          <t>Click-through rate</t>
        </is>
      </c>
      <c r="H31" s="499" t="inlineStr">
        <is>
          <t>Caption nhóm khác caption Page</t>
        </is>
      </c>
    </row>
    <row r="32">
      <c r="A32" s="500" t="inlineStr">
        <is>
          <t>Event thông báo Open Day</t>
        </is>
      </c>
      <c r="B32" s="500" t="inlineStr">
        <is>
          <t>Theo lịch (2 lần/tháng)</t>
        </is>
      </c>
      <c r="C32" s="500" t="inlineStr">
        <is>
          <t>Event Coordinator</t>
        </is>
      </c>
      <c r="D32" s="500" t="inlineStr">
        <is>
          <t>Tạo Event trong group, mời member, countdown, nhắc nhở. Link đăng ký GHL form</t>
        </is>
      </c>
      <c r="E32" s="500" t="inlineStr">
        <is>
          <t>1. Tạo Event → 2. Pin post → 3. Nhắc 3-1 ngày trước → 4. Follow up</t>
        </is>
      </c>
      <c r="F32" s="500" t="inlineStr">
        <is>
          <t>≥30 đăng ký/event</t>
        </is>
      </c>
      <c r="G32" s="500" t="inlineStr">
        <is>
          <t>RSVPs, Actual attendance</t>
        </is>
      </c>
      <c r="H32" s="500" t="inlineStr">
        <is>
          <t>Tag PH đã hỏi trước đó</t>
        </is>
      </c>
    </row>
    <row r="33">
      <c r="A33" s="499" t="inlineStr">
        <is>
          <t>Khảo sát/Poll</t>
        </is>
      </c>
      <c r="B33" s="499" t="inlineStr">
        <is>
          <t>1 lần/tuần</t>
        </is>
      </c>
      <c r="C33" s="499" t="inlineStr">
        <is>
          <t>Community Manager</t>
        </is>
      </c>
      <c r="D33" s="499" t="inlineStr">
        <is>
          <t>Poll nhanh: "Con bạn mấy tuổi?", "Bạn quan tâm chương trình nào?". Thu thập insight PH</t>
        </is>
      </c>
      <c r="E33" s="499" t="inlineStr">
        <is>
          <t>1. Tạo poll → 2. Phân tích kết quả → 3. Báo cáo team → 4. Điều chỉnh content</t>
        </is>
      </c>
      <c r="F33" s="499" t="inlineStr">
        <is>
          <t>Insight phụ huynh</t>
        </is>
      </c>
      <c r="G33" s="499" t="inlineStr">
        <is>
          <t>Poll votes, Data quality</t>
        </is>
      </c>
      <c r="H33" s="499" t="inlineStr">
        <is>
          <t>Dùng data cho chiến dịch ads</t>
        </is>
      </c>
    </row>
    <row r="34">
      <c r="A34" s="500" t="inlineStr">
        <is>
          <t>Duyệt và kiểm soát nội dung</t>
        </is>
      </c>
      <c r="B34" s="500" t="inlineStr">
        <is>
          <t>Hàng ngày (24/7)</t>
        </is>
      </c>
      <c r="C34" s="500" t="inlineStr">
        <is>
          <t>Admin + Mod</t>
        </is>
      </c>
      <c r="D34" s="500" t="inlineStr">
        <is>
          <t>Duyệt bài pending, xóa spam, cảnh báo vi phạm. Giữ nhóm sạch và có giá trị</t>
        </is>
      </c>
      <c r="E34" s="500" t="inlineStr">
        <is>
          <t>1. Check pending posts → 2. Approve/Reject → 3. Xóa spam → 4. Nhắc quy tắc</t>
        </is>
      </c>
      <c r="F34" s="500" t="inlineStr">
        <is>
          <t>Spam rate &lt;1%</t>
        </is>
      </c>
      <c r="G34" s="500" t="inlineStr">
        <is>
          <t>Posts removed, Reports</t>
        </is>
      </c>
      <c r="H34" s="500" t="inlineStr">
        <is>
          <t>Đặt Admin Rules rõ ràng</t>
        </is>
      </c>
    </row>
    <row r="35">
      <c r="A35" s="499" t="inlineStr">
        <is>
          <t>Testimonial từ PH trong nhóm</t>
        </is>
      </c>
      <c r="B35" s="499" t="inlineStr">
        <is>
          <t>2 lần/tuần</t>
        </is>
      </c>
      <c r="C35" s="499" t="inlineStr">
        <is>
          <t>Community Manager</t>
        </is>
      </c>
      <c r="D35" s="499" t="inlineStr">
        <is>
          <t>Mời PH đang học chia sẻ trải nghiệm. Tag PH, tạo thread thảo luận</t>
        </is>
      </c>
      <c r="E35" s="499" t="inlineStr">
        <is>
          <t>1. Liên hệ PH → 2. Xin phép → 3. Đăng bài → 4. Engage → 5. Chuyển lead</t>
        </is>
      </c>
      <c r="F35" s="499" t="inlineStr">
        <is>
          <t>≥20 comments/bài</t>
        </is>
      </c>
      <c r="G35" s="499" t="inlineStr">
        <is>
          <t>Engagement, New leads</t>
        </is>
      </c>
      <c r="H35" s="499" t="inlineStr">
        <is>
          <t>Xác thực PH thật</t>
        </is>
      </c>
    </row>
    <row r="36">
      <c r="A36" s="500" t="inlineStr">
        <is>
          <t>Báo cáo &amp; Phân tích nhóm</t>
        </is>
      </c>
      <c r="B36" s="500" t="inlineStr">
        <is>
          <t>Hàng tuần (T2)</t>
        </is>
      </c>
      <c r="C36" s="500" t="inlineStr">
        <is>
          <t>Community Manager</t>
        </is>
      </c>
      <c r="D36" s="500" t="inlineStr">
        <is>
          <t>Tổng hợp: members mới, bài hot, câu hỏi phổ biến, leads chuyển đổi, sentiment</t>
        </is>
      </c>
      <c r="E36" s="500" t="inlineStr">
        <is>
          <t>1. Export Group Insights → 2. Phân tích → 3. Báo cáo → 4. Điều chỉnh strategy</t>
        </is>
      </c>
      <c r="F36" s="500" t="inlineStr">
        <is>
          <t>Báo cáo chính xác</t>
        </is>
      </c>
      <c r="G36" s="500" t="inlineStr">
        <is>
          <t>Report on time, Actionable insights</t>
        </is>
      </c>
      <c r="H36" s="500" t="inlineStr">
        <is>
          <t>Dùng Google Sheets tracking</t>
        </is>
      </c>
    </row>
    <row r="38">
      <c r="A38" s="494" t="inlineStr">
        <is>
          <t>D. ZALO OA — Chiến Lược Nuôi Kênh &amp; Tự Động Hóa</t>
        </is>
      </c>
    </row>
    <row r="39">
      <c r="A39" s="495" t="inlineStr">
        <is>
          <t>Hoạt động</t>
        </is>
      </c>
      <c r="B39" s="495" t="inlineStr">
        <is>
          <t>Tần suất</t>
        </is>
      </c>
      <c r="C39" s="495" t="inlineStr">
        <is>
          <t>Thời gian</t>
        </is>
      </c>
      <c r="D39" s="495" t="inlineStr">
        <is>
          <t>Chi tiết</t>
        </is>
      </c>
      <c r="E39" s="495" t="inlineStr">
        <is>
          <t>Tự động hóa</t>
        </is>
      </c>
      <c r="F39" s="495" t="inlineStr">
        <is>
          <t>KPI</t>
        </is>
      </c>
      <c r="G39" s="495" t="inlineStr">
        <is>
          <t>Công cụ</t>
        </is>
      </c>
      <c r="H39" s="495" t="inlineStr">
        <is>
          <t>Ghi chú</t>
        </is>
      </c>
    </row>
    <row r="40">
      <c r="A40" s="499" t="inlineStr">
        <is>
          <t>Đăng bài Article</t>
        </is>
      </c>
      <c r="B40" s="499" t="inlineStr">
        <is>
          <t>Hàng ngày</t>
        </is>
      </c>
      <c r="C40" s="499" t="inlineStr">
        <is>
          <t>8:00-9:00</t>
        </is>
      </c>
      <c r="D40" s="499" t="inlineStr">
        <is>
          <t>Bài viết 300-800 từ: tips GD, giới thiệu chương trình, sự kiện. Hình ảnh đẹp, CTA rõ ràng</t>
        </is>
      </c>
      <c r="E40" s="499" t="inlineStr">
        <is>
          <t>Lên lịch qua Zalo OA Admin</t>
        </is>
      </c>
      <c r="F40" s="499" t="inlineStr">
        <is>
          <t>Views ≥5,000, Clicks ≥200</t>
        </is>
      </c>
      <c r="G40" s="499" t="inlineStr">
        <is>
          <t>Zalo OA Admin, Canva</t>
        </is>
      </c>
      <c r="H40" s="499" t="inlineStr">
        <is>
          <t>Article dài hơn FB, SEO Zalo Search</t>
        </is>
      </c>
    </row>
    <row r="41">
      <c r="A41" s="500" t="inlineStr">
        <is>
          <t>Gửi Broadcast tin nhắn</t>
        </is>
      </c>
      <c r="B41" s="500" t="inlineStr">
        <is>
          <t>2 lần/tuần (T3, T6)</t>
        </is>
      </c>
      <c r="C41" s="500" t="inlineStr">
        <is>
          <t>10:00</t>
        </is>
      </c>
      <c r="D41" s="500" t="inlineStr">
        <is>
          <t>Thông báo sự kiện, ưu đãi, nhắc nhở. Segment: MN, TH, THCS, THPT</t>
        </is>
      </c>
      <c r="E41" s="500" t="inlineStr">
        <is>
          <t>GHL workflow → Zalo API → Broadcast</t>
        </is>
      </c>
      <c r="F41" s="500" t="inlineStr">
        <is>
          <t>Open rate ≥40%, Click rate ≥8%</t>
        </is>
      </c>
      <c r="G41" s="500" t="inlineStr">
        <is>
          <t>GHL, Zalo API, Make.com</t>
        </is>
      </c>
      <c r="H41" s="500" t="inlineStr">
        <is>
          <t>Không gửi quá 2 lần/tuần tránh spam</t>
        </is>
      </c>
    </row>
    <row r="42">
      <c r="A42" s="499" t="inlineStr">
        <is>
          <t>Chatbot tự động trả lời</t>
        </is>
      </c>
      <c r="B42" s="499" t="inlineStr">
        <is>
          <t>24/7</t>
        </is>
      </c>
      <c r="C42" s="499" t="inlineStr">
        <is>
          <t>24/7</t>
        </is>
      </c>
      <c r="D42" s="499" t="inlineStr">
        <is>
          <t>FAQ: học phí, chương trình, đăng ký tham quan. Chuyển sang nhân viên khi cần</t>
        </is>
      </c>
      <c r="E42" s="499" t="inlineStr">
        <is>
          <t>GHL Chatbot + Zalo OA Chatbot</t>
        </is>
      </c>
      <c r="F42" s="499" t="inlineStr">
        <is>
          <t>Response time &lt;5s, Resolution rate ≥60%</t>
        </is>
      </c>
      <c r="G42" s="499" t="inlineStr">
        <is>
          <t>GHL, Zalo Chatbot Builder</t>
        </is>
      </c>
      <c r="H42" s="499" t="inlineStr">
        <is>
          <t>Cập nhật FAQ hàng tháng</t>
        </is>
      </c>
    </row>
    <row r="43">
      <c r="A43" s="500" t="inlineStr">
        <is>
          <t>Tư vấn 1-1 qua tin nhắn</t>
        </is>
      </c>
      <c r="B43" s="500" t="inlineStr">
        <is>
          <t>Trong giờ hành chính</t>
        </is>
      </c>
      <c r="C43" s="500" t="inlineStr">
        <is>
          <t>8:00-17:00</t>
        </is>
      </c>
      <c r="D43" s="500" t="inlineStr">
        <is>
          <t>Tư vấn chi tiết: học phí, chương trình, xe đưa đón. Chuyển lead sang pipeline GHL</t>
        </is>
      </c>
      <c r="E43" s="500" t="inlineStr">
        <is>
          <t>Pancake CRM gán lead → Tư vấn viên nhận → GHL track</t>
        </is>
      </c>
      <c r="F43" s="500" t="inlineStr">
        <is>
          <t>Conversion rate ≥15%</t>
        </is>
      </c>
      <c r="G43" s="500" t="inlineStr">
        <is>
          <t>Pancake CRM, GHL, Zalo OA</t>
        </is>
      </c>
      <c r="H43" s="500" t="inlineStr">
        <is>
          <t>Script tư vấn chuẩn hóa</t>
        </is>
      </c>
    </row>
    <row r="44">
      <c r="A44" s="499" t="inlineStr">
        <is>
          <t>Mini App giới thiệu trường</t>
        </is>
      </c>
      <c r="B44" s="499" t="inlineStr">
        <is>
          <t>Cập nhật hàng tháng</t>
        </is>
      </c>
      <c r="C44" s="499" t="inlineStr">
        <is>
          <t>N/A</t>
        </is>
      </c>
      <c r="D44" s="499" t="inlineStr">
        <is>
          <t>Mini App trên Zalo: giới thiệu cơ sở, chương trình, form đăng ký, lịch Open Day</t>
        </is>
      </c>
      <c r="E44" s="499" t="inlineStr">
        <is>
          <t>Zalo Mini App Builder</t>
        </is>
      </c>
      <c r="F44" s="499" t="inlineStr">
        <is>
          <t>Mini App users, Form submissions</t>
        </is>
      </c>
      <c r="G44" s="499" t="inlineStr">
        <is>
          <t>Zalo Mini App</t>
        </is>
      </c>
      <c r="H44" s="499" t="inlineStr">
        <is>
          <t>Cập nhật ưu đãi theo tháng</t>
        </is>
      </c>
    </row>
    <row r="45">
      <c r="A45" s="500" t="inlineStr">
        <is>
          <t>Zalo Group (6 nhóm PH)</t>
        </is>
      </c>
      <c r="B45" s="500" t="inlineStr">
        <is>
          <t>Hàng ngày</t>
        </is>
      </c>
      <c r="C45" s="500" t="inlineStr">
        <is>
          <t>Xuyên suốt</t>
        </is>
      </c>
      <c r="D45" s="500" t="inlineStr">
        <is>
          <t>Nhóm PH theo cơ sở, chia sẻ hình ảnh học sinh, thông báo, tương tác</t>
        </is>
      </c>
      <c r="E45" s="500" t="inlineStr">
        <is>
          <t>N/A (manual)</t>
        </is>
      </c>
      <c r="F45" s="500" t="inlineStr">
        <is>
          <t>Active rate ≥50%</t>
        </is>
      </c>
      <c r="G45" s="500" t="inlineStr">
        <is>
          <t>Zalo App</t>
        </is>
      </c>
      <c r="H45" s="500" t="inlineStr">
        <is>
          <t>Nhóm riêng cho PH đang học vs tiềm năng</t>
        </is>
      </c>
    </row>
    <row r="46">
      <c r="A46" s="499" t="inlineStr">
        <is>
          <t>Follow-up sau sự kiện</t>
        </is>
      </c>
      <c r="B46" s="499" t="inlineStr">
        <is>
          <t>Sau mỗi event</t>
        </is>
      </c>
      <c r="C46" s="499" t="inlineStr">
        <is>
          <t>24h sau event</t>
        </is>
      </c>
      <c r="D46" s="499" t="inlineStr">
        <is>
          <t>Gửi tin nhắn cảm ơn, hình ảnh event, link feedback, CTA đăng ký</t>
        </is>
      </c>
      <c r="E46" s="499" t="inlineStr">
        <is>
          <t>GHL automation: Event tag → 24h delay → Zalo message</t>
        </is>
      </c>
      <c r="F46" s="499" t="inlineStr">
        <is>
          <t>Follow-up rate 100%</t>
        </is>
      </c>
      <c r="G46" s="499" t="inlineStr">
        <is>
          <t>GHL, Zalo API</t>
        </is>
      </c>
      <c r="H46" s="499" t="inlineStr">
        <is>
          <t>Personalize theo tên PH</t>
        </is>
      </c>
    </row>
    <row r="47">
      <c r="A47" s="500" t="inlineStr">
        <is>
          <t>Remarketing Zalo</t>
        </is>
      </c>
      <c r="B47" s="500" t="inlineStr">
        <is>
          <t>Hàng tuần</t>
        </is>
      </c>
      <c r="C47" s="500" t="inlineStr">
        <is>
          <t>T2, T5</t>
        </is>
      </c>
      <c r="D47" s="500" t="inlineStr">
        <is>
          <t>Gửi lại cho PH đã tương tác nhưng chưa convert. Nội dung: testimonial, ưu đãi, urgency</t>
        </is>
      </c>
      <c r="E47" s="500" t="inlineStr">
        <is>
          <t>GHL: Pipeline stage filter → Zalo broadcast</t>
        </is>
      </c>
      <c r="F47" s="500" t="inlineStr">
        <is>
          <t>Re-engagement rate ≥20%</t>
        </is>
      </c>
      <c r="G47" s="500" t="inlineStr">
        <is>
          <t>GHL, Zalo OA</t>
        </is>
      </c>
      <c r="H47" s="500" t="inlineStr">
        <is>
          <t>Không gửi quá 3 lần/lead</t>
        </is>
      </c>
    </row>
    <row r="49">
      <c r="A49" s="494" t="inlineStr">
        <is>
          <t>E. YOUTUBE — Chiến Lược Phát Triển Kênh Video Dài</t>
        </is>
      </c>
    </row>
    <row r="50">
      <c r="A50" s="495" t="inlineStr">
        <is>
          <t>Loại video</t>
        </is>
      </c>
      <c r="B50" s="495" t="inlineStr">
        <is>
          <t>Tần suất</t>
        </is>
      </c>
      <c r="C50" s="495" t="inlineStr">
        <is>
          <t>Độ dài</t>
        </is>
      </c>
      <c r="D50" s="495" t="inlineStr">
        <is>
          <t>Nội dung chi tiết</t>
        </is>
      </c>
      <c r="E50" s="495" t="inlineStr">
        <is>
          <t>SEO Keywords</t>
        </is>
      </c>
      <c r="F50" s="495" t="inlineStr">
        <is>
          <t>Thumbnail</t>
        </is>
      </c>
      <c r="G50" s="495" t="inlineStr">
        <is>
          <t>CTA trong video</t>
        </is>
      </c>
      <c r="H50" s="495" t="inlineStr">
        <is>
          <t>KPI</t>
        </is>
      </c>
      <c r="I50" s="495" t="inlineStr">
        <is>
          <t>Ghi chú</t>
        </is>
      </c>
    </row>
    <row r="51">
      <c r="A51" s="499" t="inlineStr">
        <is>
          <t>Tour trường 360°</t>
        </is>
      </c>
      <c r="B51" s="499" t="inlineStr">
        <is>
          <t>1/tháng × 6 cơ sở</t>
        </is>
      </c>
      <c r="C51" s="499" t="inlineStr">
        <is>
          <t>5-8 phút</t>
        </is>
      </c>
      <c r="D51" s="499" t="inlineStr">
        <is>
          <t>Tour đầy đủ: cổng, sân, lớp học, canteen, phòng lab, thể thao. Narrator: Hiệu trưởng</t>
        </is>
      </c>
      <c r="E51" s="499" t="inlineStr">
        <is>
          <t>tour trường tư thục, trường việt anh, trường mầm non quận gò vấp</t>
        </is>
      </c>
      <c r="F51" s="499" t="inlineStr">
        <is>
          <t>Hình trường + Text "TOUR TRƯỜNG 2026"</t>
        </is>
      </c>
      <c r="G51" s="499" t="inlineStr">
        <is>
          <t>"Đăng ký tham quan trực tiếp — link mô tả"</t>
        </is>
      </c>
      <c r="H51" s="499" t="inlineStr">
        <is>
          <t>Views ≥5,000, Watch time ≥60%</t>
        </is>
      </c>
      <c r="I51" s="499" t="inlineStr">
        <is>
          <t>Quay 4K, gimbal stabilizer</t>
        </is>
      </c>
    </row>
    <row r="52">
      <c r="A52" s="500" t="inlineStr">
        <is>
          <t>Phỏng vấn phụ huynh</t>
        </is>
      </c>
      <c r="B52" s="500" t="inlineStr">
        <is>
          <t>2/tuần</t>
        </is>
      </c>
      <c r="C52" s="500" t="inlineStr">
        <is>
          <t>3-5 phút</t>
        </is>
      </c>
      <c r="D52" s="500" t="inlineStr">
        <is>
          <t>PH chia sẻ lý do chọn trường, trải nghiệm con. Quay tại trường, tự nhiên</t>
        </is>
      </c>
      <c r="E52" s="500" t="inlineStr">
        <is>
          <t>review trường việt anh, phụ huynh nói gì, trường tư thục tốt</t>
        </is>
      </c>
      <c r="F52" s="500" t="inlineStr">
        <is>
          <t>Hình PH + Quote nổi bật</t>
        </is>
      </c>
      <c r="G52" s="500" t="inlineStr">
        <is>
          <t>"Con bạn cũng xứng đáng — inbox tư vấn"</t>
        </is>
      </c>
      <c r="H52" s="500" t="inlineStr">
        <is>
          <t>Views ≥2,000, Likes ≥100</t>
        </is>
      </c>
      <c r="I52" s="500" t="inlineStr">
        <is>
          <t>Xin consent form trước</t>
        </is>
      </c>
    </row>
    <row r="53">
      <c r="A53" s="499" t="inlineStr">
        <is>
          <t>Tips giáo dục (series)</t>
        </is>
      </c>
      <c r="B53" s="499" t="inlineStr">
        <is>
          <t>1/tuần</t>
        </is>
      </c>
      <c r="C53" s="499" t="inlineStr">
        <is>
          <t>8-15 phút</t>
        </is>
      </c>
      <c r="D53" s="499" t="inlineStr">
        <is>
          <t>Series "Cùng Con Lớn Khôn": mỗi tập 1 chủ đề — kỹ năng sống, chuẩn bị lớp 1, tâm lý tuổi teen</t>
        </is>
      </c>
      <c r="E53" s="499" t="inlineStr">
        <is>
          <t>chuẩn bị vào lớp 1, dạy con kỹ năng sống, giáo dục sớm</t>
        </is>
      </c>
      <c r="F53" s="499" t="inlineStr">
        <is>
          <t>Hình GV + Icon chủ đề</t>
        </is>
      </c>
      <c r="G53" s="499" t="inlineStr">
        <is>
          <t>"Subscribe để nhận tips hàng tuần"</t>
        </is>
      </c>
      <c r="H53" s="499" t="inlineStr">
        <is>
          <t>Subscribers ≥500/tháng</t>
        </is>
      </c>
      <c r="I53" s="499" t="inlineStr">
        <is>
          <t>Series tạo brand authority</t>
        </is>
      </c>
    </row>
    <row r="54">
      <c r="A54" s="500" t="inlineStr">
        <is>
          <t>Hoạt động ngoại khóa</t>
        </is>
      </c>
      <c r="B54" s="500" t="inlineStr">
        <is>
          <t>2/tuần</t>
        </is>
      </c>
      <c r="C54" s="500" t="inlineStr">
        <is>
          <t>2-4 phút</t>
        </is>
      </c>
      <c r="D54" s="500" t="inlineStr">
        <is>
          <t>Clip hoạt động: thể dục, âm nhạc, mỹ thuật, STEM, field trip. Montage style</t>
        </is>
      </c>
      <c r="E54" s="500" t="inlineStr">
        <is>
          <t>hoạt động ngoại khóa, trường tư thục, STEM education</t>
        </is>
      </c>
      <c r="F54" s="500" t="inlineStr">
        <is>
          <t>Collage hình HS vui vẻ</t>
        </is>
      </c>
      <c r="G54" s="500" t="inlineStr">
        <is>
          <t>"Xem thêm hoạt động — playlist link"</t>
        </is>
      </c>
      <c r="H54" s="500" t="inlineStr">
        <is>
          <t>Views ≥3,000</t>
        </is>
      </c>
      <c r="I54" s="500" t="inlineStr">
        <is>
          <t>Nhạc nền vui tươi, upbeat</t>
        </is>
      </c>
    </row>
    <row r="55">
      <c r="A55" s="499" t="inlineStr">
        <is>
          <t>Webinar replay</t>
        </is>
      </c>
      <c r="B55" s="499" t="inlineStr">
        <is>
          <t>2/tháng</t>
        </is>
      </c>
      <c r="C55" s="499" t="inlineStr">
        <is>
          <t>45-60 phút</t>
        </is>
      </c>
      <c r="D55" s="499" t="inlineStr">
        <is>
          <t>Upload lại webinar tư vấn tuyển sinh. Thêm timestamp, chapter markers</t>
        </is>
      </c>
      <c r="E55" s="499" t="inlineStr">
        <is>
          <t>tuyển sinh 2026, tư vấn chọn trường, học phí trường tư</t>
        </is>
      </c>
      <c r="F55" s="499" t="inlineStr">
        <is>
          <t>Hình speaker + Tiêu đề webinar</t>
        </is>
      </c>
      <c r="G55" s="499" t="inlineStr">
        <is>
          <t>"Đăng ký webinar tiếp theo — link mô tả"</t>
        </is>
      </c>
      <c r="H55" s="499" t="inlineStr">
        <is>
          <t>Watch time ≥30%</t>
        </is>
      </c>
      <c r="I55" s="499" t="inlineStr">
        <is>
          <t>Thêm subtitle tiếng Việt</t>
        </is>
      </c>
    </row>
    <row r="56">
      <c r="A56" s="500" t="inlineStr">
        <is>
          <t>YouTube Shorts</t>
        </is>
      </c>
      <c r="B56" s="500" t="inlineStr">
        <is>
          <t>1/ngày</t>
        </is>
      </c>
      <c r="C56" s="500" t="inlineStr">
        <is>
          <t>30-60 giây</t>
        </is>
      </c>
      <c r="D56" s="500" t="inlineStr">
        <is>
          <t>Clip ngắn: fun facts, behind the scenes, quick tips, student moments</t>
        </is>
      </c>
      <c r="E56" s="500" t="inlineStr">
        <is>
          <t>shorts giáo dục, trường học vui, mầm non</t>
        </is>
      </c>
      <c r="F56" s="500" t="inlineStr">
        <is>
          <t>N/A (auto thumbnail)</t>
        </is>
      </c>
      <c r="G56" s="500" t="inlineStr">
        <is>
          <t>"Follow để xem thêm mỗi ngày"</t>
        </is>
      </c>
      <c r="H56" s="500" t="inlineStr">
        <is>
          <t>Views ≥10,000, Subs ≥200/tháng</t>
        </is>
      </c>
      <c r="I56" s="500" t="inlineStr">
        <is>
          <t>Repurpose từ TikTok/Reels</t>
        </is>
      </c>
    </row>
    <row r="57">
      <c r="A57" s="499" t="inlineStr">
        <is>
          <t>Playlist theo chủ đề</t>
        </is>
      </c>
      <c r="B57" s="499" t="inlineStr">
        <is>
          <t>Cập nhật liên tục</t>
        </is>
      </c>
      <c r="C57" s="499" t="inlineStr">
        <is>
          <t>N/A</t>
        </is>
      </c>
      <c r="D57" s="499" t="inlineStr">
        <is>
          <t>6 playlist: MN, TH, THCS, THPT, Tips GD, Events. Sắp xếp logic</t>
        </is>
      </c>
      <c r="E57" s="499" t="inlineStr">
        <is>
          <t>N/A</t>
        </is>
      </c>
      <c r="F57" s="499" t="inlineStr">
        <is>
          <t>N/A</t>
        </is>
      </c>
      <c r="G57" s="499" t="inlineStr">
        <is>
          <t>N/A</t>
        </is>
      </c>
      <c r="H57" s="499" t="inlineStr">
        <is>
          <t>Playlist click-through rate</t>
        </is>
      </c>
      <c r="I57" s="499" t="inlineStr">
        <is>
          <t>Playlist = SEO boost</t>
        </is>
      </c>
    </row>
    <row r="59">
      <c r="A59" s="494" t="inlineStr">
        <is>
          <t>F. TIKTOK — Chiến Lược Tăng Trưởng Kênh Nhanh</t>
        </is>
      </c>
    </row>
    <row r="60">
      <c r="A60" s="495" t="inlineStr">
        <is>
          <t>Loại nội dung</t>
        </is>
      </c>
      <c r="B60" s="495" t="inlineStr">
        <is>
          <t>Tần suất</t>
        </is>
      </c>
      <c r="C60" s="495" t="inlineStr">
        <is>
          <t>Độ dài</t>
        </is>
      </c>
      <c r="D60" s="495" t="inlineStr">
        <is>
          <t>Chi tiết</t>
        </is>
      </c>
      <c r="E60" s="495" t="inlineStr">
        <is>
          <t>Xu hướng/Sound</t>
        </is>
      </c>
      <c r="F60" s="495" t="inlineStr">
        <is>
          <t>Hashtag</t>
        </is>
      </c>
      <c r="G60" s="495" t="inlineStr">
        <is>
          <t>CTA</t>
        </is>
      </c>
      <c r="H60" s="495" t="inlineStr">
        <is>
          <t>KPI</t>
        </is>
      </c>
      <c r="I60" s="495" t="inlineStr">
        <is>
          <t>Ghi chú</t>
        </is>
      </c>
    </row>
    <row r="61">
      <c r="A61" s="499" t="inlineStr">
        <is>
          <t>Behind the scenes</t>
        </is>
      </c>
      <c r="B61" s="499" t="inlineStr">
        <is>
          <t>Hàng ngày</t>
        </is>
      </c>
      <c r="C61" s="499" t="inlineStr">
        <is>
          <t>15-30s</t>
        </is>
      </c>
      <c r="D61" s="499" t="inlineStr">
        <is>
          <t>Cảnh hậu trường: GV chuẩn bị bài, HS ăn trưa, sân chơi, thí nghiệm</t>
        </is>
      </c>
      <c r="E61" s="499" t="inlineStr">
        <is>
          <t>Trending sound phù hợp</t>
        </is>
      </c>
      <c r="F61" s="499" t="inlineStr">
        <is>
          <t>#TruongVietAnh #BehindTheScenes #SchoolLife</t>
        </is>
      </c>
      <c r="G61" s="499" t="inlineStr">
        <is>
          <t>Follow để xem thêm!</t>
        </is>
      </c>
      <c r="H61" s="499" t="inlineStr">
        <is>
          <t>Views ≥10,000</t>
        </is>
      </c>
      <c r="I61" s="499" t="inlineStr">
        <is>
          <t>Quay vertical, chất lượng tốt nhưng tự nhiên</t>
        </is>
      </c>
    </row>
    <row r="62">
      <c r="A62" s="500" t="inlineStr">
        <is>
          <t>Tips nhanh cho PH</t>
        </is>
      </c>
      <c r="B62" s="500" t="inlineStr">
        <is>
          <t>Hàng ngày</t>
        </is>
      </c>
      <c r="C62" s="500" t="inlineStr">
        <is>
          <t>30-60s</t>
        </is>
      </c>
      <c r="D62" s="500" t="inlineStr">
        <is>
          <t>Tips ngắn: "3 cách giúp con tự tin ngày đầu đi học", "5 món ăn sáng healthy"</t>
        </is>
      </c>
      <c r="E62" s="500" t="inlineStr">
        <is>
          <t>Nhạc nền nhẹ nhàng</t>
        </is>
      </c>
      <c r="F62" s="500" t="inlineStr">
        <is>
          <t>#TipsNuoiCon #ParentingTips #MamNon</t>
        </is>
      </c>
      <c r="G62" s="500" t="inlineStr">
        <is>
          <t>Lưu lại để dùng nhé! 💾</t>
        </is>
      </c>
      <c r="H62" s="500" t="inlineStr">
        <is>
          <t>Saves ≥500, Shares ≥200</t>
        </is>
      </c>
      <c r="I62" s="500" t="inlineStr">
        <is>
          <t>Text overlay rõ ràng</t>
        </is>
      </c>
    </row>
    <row r="63">
      <c r="A63" s="499" t="inlineStr">
        <is>
          <t>Day in the life</t>
        </is>
      </c>
      <c r="B63" s="499" t="inlineStr">
        <is>
          <t>2/tuần</t>
        </is>
      </c>
      <c r="C63" s="499" t="inlineStr">
        <is>
          <t>60-90s</t>
        </is>
      </c>
      <c r="D63" s="499" t="inlineStr">
        <is>
          <t>Một ngày của HS tại trường: từ đón buổi sáng → học → chơi → về</t>
        </is>
      </c>
      <c r="E63" s="499" t="inlineStr">
        <is>
          <t>Trending "day in the life" sound</t>
        </is>
      </c>
      <c r="F63" s="499" t="inlineStr">
        <is>
          <t>#DayInTheLife #SchoolVlog #TruongTuThuc</t>
        </is>
      </c>
      <c r="G63" s="499" t="inlineStr">
        <is>
          <t>Đăng ký cho con trải nghiệm!</t>
        </is>
      </c>
      <c r="H63" s="499" t="inlineStr">
        <is>
          <t>Views ≥20,000</t>
        </is>
      </c>
      <c r="I63" s="499" t="inlineStr">
        <is>
          <t>Cinematic style, transition đẹp</t>
        </is>
      </c>
    </row>
    <row r="64">
      <c r="A64" s="500" t="inlineStr">
        <is>
          <t>Trend/Challenge</t>
        </is>
      </c>
      <c r="B64" s="500" t="inlineStr">
        <is>
          <t>3-5/tuần</t>
        </is>
      </c>
      <c r="C64" s="500" t="inlineStr">
        <is>
          <t>15-30s</t>
        </is>
      </c>
      <c r="D64" s="500" t="inlineStr">
        <is>
          <t>Tham gia trend TikTok với twist giáo dục. GV + HS cùng tham gia</t>
        </is>
      </c>
      <c r="E64" s="500" t="inlineStr">
        <is>
          <t>Trending challenge sound</t>
        </is>
      </c>
      <c r="F64" s="500" t="inlineStr">
        <is>
          <t>#SchoolChallenge #Teacher #TruongVietAnh</t>
        </is>
      </c>
      <c r="G64" s="500" t="inlineStr">
        <is>
          <t>Duet với chúng mình!</t>
        </is>
      </c>
      <c r="H64" s="500" t="inlineStr">
        <is>
          <t>Views ≥50,000</t>
        </is>
      </c>
      <c r="I64" s="500" t="inlineStr">
        <is>
          <t>Bắt trend trong 24-48h đầu</t>
        </is>
      </c>
    </row>
    <row r="65">
      <c r="A65" s="499" t="inlineStr">
        <is>
          <t>Q&amp;A phụ huynh</t>
        </is>
      </c>
      <c r="B65" s="499" t="inlineStr">
        <is>
          <t>2/tuần</t>
        </is>
      </c>
      <c r="C65" s="499" t="inlineStr">
        <is>
          <t>60s</t>
        </is>
      </c>
      <c r="D65" s="499" t="inlineStr">
        <is>
          <t>Trả lời câu hỏi PH: "Học phí bao nhiêu?", "Xe đưa đón có không?"</t>
        </is>
      </c>
      <c r="E65" s="499" t="inlineStr">
        <is>
          <t>Q&amp;A sticker sound</t>
        </is>
      </c>
      <c r="F65" s="499" t="inlineStr">
        <is>
          <t>#HoiDap #TuyenSinh #TruongVietAnh</t>
        </is>
      </c>
      <c r="G65" s="499" t="inlineStr">
        <is>
          <t>Comment câu hỏi để được trả lời!</t>
        </is>
      </c>
      <c r="H65" s="499" t="inlineStr">
        <is>
          <t>Comments ≥100</t>
        </is>
      </c>
      <c r="I65" s="499" t="inlineStr">
        <is>
          <t>Mặt người = engagement cao hơn</t>
        </is>
      </c>
    </row>
    <row r="66">
      <c r="A66" s="500" t="inlineStr">
        <is>
          <t>Transformation/Before-After</t>
        </is>
      </c>
      <c r="B66" s="500" t="inlineStr">
        <is>
          <t>1/tuần</t>
        </is>
      </c>
      <c r="C66" s="500" t="inlineStr">
        <is>
          <t>15-30s</t>
        </is>
      </c>
      <c r="D66" s="500" t="inlineStr">
        <is>
          <t>Before: phòng trống → After: lớp học sôi động. Before: HS rụt rè → After: tự tin</t>
        </is>
      </c>
      <c r="E66" s="500" t="inlineStr">
        <is>
          <t>Trending transition sound</t>
        </is>
      </c>
      <c r="F66" s="500" t="inlineStr">
        <is>
          <t>#Transformation #SchoolGlowUp</t>
        </is>
      </c>
      <c r="G66" s="500" t="inlineStr">
        <is>
          <t>Đăng ký để con bạn cũng transform!</t>
        </is>
      </c>
      <c r="H66" s="500" t="inlineStr">
        <is>
          <t>Views ≥30,000</t>
        </is>
      </c>
      <c r="I66" s="500" t="inlineStr">
        <is>
          <t>Transition phải smooth</t>
        </is>
      </c>
    </row>
    <row r="67">
      <c r="A67" s="499" t="inlineStr">
        <is>
          <t>Giáo viên spotlight</t>
        </is>
      </c>
      <c r="B67" s="499" t="inlineStr">
        <is>
          <t>2/tuần</t>
        </is>
      </c>
      <c r="C67" s="499" t="inlineStr">
        <is>
          <t>30-60s</t>
        </is>
      </c>
      <c r="D67" s="499" t="inlineStr">
        <is>
          <t>Giới thiệu GV: background, phương pháp giảng dạy, khoảnh khắc vui với HS</t>
        </is>
      </c>
      <c r="E67" s="499" t="inlineStr">
        <is>
          <t>Nhạc trending phù hợp</t>
        </is>
      </c>
      <c r="F67" s="499" t="inlineStr">
        <is>
          <t>#TeacherSpotlight #GiaoVien #TruongVietAnh</t>
        </is>
      </c>
      <c r="G67" s="499" t="inlineStr">
        <is>
          <t>GV tuyệt vời = trường tuyệt vời!</t>
        </is>
      </c>
      <c r="H67" s="499" t="inlineStr">
        <is>
          <t>Views ≥5,000, Follows ≥100</t>
        </is>
      </c>
      <c r="I67" s="499" t="inlineStr">
        <is>
          <t>GV đồng ý xuất hiện</t>
        </is>
      </c>
    </row>
    <row r="68">
      <c r="A68" s="500" t="inlineStr">
        <is>
          <t>Livestream TikTok</t>
        </is>
      </c>
      <c r="B68" s="500" t="inlineStr">
        <is>
          <t>1/tuần (T7)</t>
        </is>
      </c>
      <c r="C68" s="500" t="inlineStr">
        <is>
          <t>30-60 phút</t>
        </is>
      </c>
      <c r="D68" s="500" t="inlineStr">
        <is>
          <t>Tour trường live, Q&amp;A, giới thiệu chương trình. Tặng gift cho viewers</t>
        </is>
      </c>
      <c r="E68" s="500" t="inlineStr">
        <is>
          <t>N/A</t>
        </is>
      </c>
      <c r="F68" s="500" t="inlineStr">
        <is>
          <t>#LiveTuVan #TikTokLive #TuyenSinh</t>
        </is>
      </c>
      <c r="G68" s="500" t="inlineStr">
        <is>
          <t>Ấn ❤️ và Follow nhé!</t>
        </is>
      </c>
      <c r="H68" s="500" t="inlineStr">
        <is>
          <t>Peak viewers ≥500</t>
        </is>
      </c>
      <c r="I68" s="500" t="inlineStr">
        <is>
          <t>Chuẩn bị kịch bản, dàn máy tốt</t>
        </is>
      </c>
    </row>
    <row r="70">
      <c r="A70" s="494" t="inlineStr">
        <is>
          <t>G. INSTAGRAM — Chiến Lược Xây Dựng Brand &amp; Reach Expat</t>
        </is>
      </c>
    </row>
    <row r="71">
      <c r="A71" s="495" t="inlineStr">
        <is>
          <t>Loại nội dung</t>
        </is>
      </c>
      <c r="B71" s="495" t="inlineStr">
        <is>
          <t>Tần suất</t>
        </is>
      </c>
      <c r="C71" s="495" t="inlineStr">
        <is>
          <t>Format</t>
        </is>
      </c>
      <c r="D71" s="495" t="inlineStr">
        <is>
          <t>Chi tiết</t>
        </is>
      </c>
      <c r="E71" s="495" t="inlineStr">
        <is>
          <t>Hashtag strategy</t>
        </is>
      </c>
      <c r="F71" s="495" t="inlineStr">
        <is>
          <t>CTA</t>
        </is>
      </c>
      <c r="G71" s="495" t="inlineStr">
        <is>
          <t>KPI</t>
        </is>
      </c>
      <c r="H71" s="495" t="inlineStr">
        <is>
          <t>Ghi chú</t>
        </is>
      </c>
    </row>
    <row r="72">
      <c r="A72" s="499" t="inlineStr">
        <is>
          <t>Feed post – Carousel</t>
        </is>
      </c>
      <c r="B72" s="499" t="inlineStr">
        <is>
          <t>Hàng ngày</t>
        </is>
      </c>
      <c r="C72" s="499" t="inlineStr">
        <is>
          <t>1080x1080 × 5-10 slides</t>
        </is>
      </c>
      <c r="D72" s="499" t="inlineStr">
        <is>
          <t>Hình ảnh chất lượng cao: trường, HS, hoạt động. Design thống nhất brand colors</t>
        </is>
      </c>
      <c r="E72" s="499" t="inlineStr">
        <is>
          <t>30 hashtag mix: 10 broad + 10 niche + 10 local</t>
        </is>
      </c>
      <c r="F72" s="499" t="inlineStr">
        <is>
          <t>Save bài viết này nhé! Link in bio 📲</t>
        </is>
      </c>
      <c r="G72" s="499" t="inlineStr">
        <is>
          <t>Reach ≥3,000, Saves ≥50</t>
        </is>
      </c>
      <c r="H72" s="499" t="inlineStr">
        <is>
          <t>Grid aesthetic quan trọng</t>
        </is>
      </c>
    </row>
    <row r="73">
      <c r="A73" s="500" t="inlineStr">
        <is>
          <t>Reels</t>
        </is>
      </c>
      <c r="B73" s="500" t="inlineStr">
        <is>
          <t>Hàng ngày</t>
        </is>
      </c>
      <c r="C73" s="500" t="inlineStr">
        <is>
          <t>1080x1920 30-60s</t>
        </is>
      </c>
      <c r="D73" s="500" t="inlineStr">
        <is>
          <t>Reels format = reach cao nhất. Repurpose từ TikTok + thêm IG-specific</t>
        </is>
      </c>
      <c r="E73" s="500" t="inlineStr">
        <is>
          <t>Reels hashtags: #ReelsVietnam #SchoolReels</t>
        </is>
      </c>
      <c r="F73" s="500" t="inlineStr">
        <is>
          <t>Follow @truongvietanh cho thêm!</t>
        </is>
      </c>
      <c r="G73" s="500" t="inlineStr">
        <is>
          <t>Views ≥5,000, Reaches ≥8,000</t>
        </is>
      </c>
      <c r="H73" s="500" t="inlineStr">
        <is>
          <t>Reels ≠ TikTok: tone chuyên nghiệp hơn</t>
        </is>
      </c>
    </row>
    <row r="74">
      <c r="A74" s="499" t="inlineStr">
        <is>
          <t>Stories</t>
        </is>
      </c>
      <c r="B74" s="499" t="inlineStr">
        <is>
          <t>3-5/ngày</t>
        </is>
      </c>
      <c r="C74" s="499" t="inlineStr">
        <is>
          <t>1080x1920</t>
        </is>
      </c>
      <c r="D74" s="499" t="inlineStr">
        <is>
          <t>Behind the scenes, polls, Q&amp;A sticker, countdown sự kiện, "swipe up"</t>
        </is>
      </c>
      <c r="E74" s="499" t="inlineStr">
        <is>
          <t>N/A</t>
        </is>
      </c>
      <c r="F74" s="499" t="inlineStr">
        <is>
          <t>Tap link / DM "INFO" để tư vấn</t>
        </is>
      </c>
      <c r="G74" s="499" t="inlineStr">
        <is>
          <t>Story views ≥1,500, Sticker taps ≥100</t>
        </is>
      </c>
      <c r="H74" s="499" t="inlineStr">
        <is>
          <t>Lưu Highlights theo chủ đề</t>
        </is>
      </c>
    </row>
    <row r="75">
      <c r="A75" s="500" t="inlineStr">
        <is>
          <t>Highlights</t>
        </is>
      </c>
      <c r="B75" s="500" t="inlineStr">
        <is>
          <t>Cập nhật thường xuyên</t>
        </is>
      </c>
      <c r="C75" s="500" t="inlineStr">
        <is>
          <t>Cover icons thống nhất</t>
        </is>
      </c>
      <c r="D75" s="500" t="inlineStr">
        <is>
          <t>8 Highlights: Tour, MN, TH, THCS, THPT, Events, PH Reviews, FAQ</t>
        </is>
      </c>
      <c r="E75" s="500" t="inlineStr">
        <is>
          <t>N/A</t>
        </is>
      </c>
      <c r="F75" s="500" t="inlineStr">
        <is>
          <t>N/A</t>
        </is>
      </c>
      <c r="G75" s="500" t="inlineStr">
        <is>
          <t>Highlight views</t>
        </is>
      </c>
      <c r="H75" s="500" t="inlineStr">
        <is>
          <t>Cover design thống nhất brand</t>
        </is>
      </c>
    </row>
    <row r="76">
      <c r="A76" s="499" t="inlineStr">
        <is>
          <t>Collab với influencer/PH</t>
        </is>
      </c>
      <c r="B76" s="499" t="inlineStr">
        <is>
          <t>2/tháng</t>
        </is>
      </c>
      <c r="C76" s="499" t="inlineStr">
        <is>
          <t>Collab post/Reel</t>
        </is>
      </c>
      <c r="D76" s="499" t="inlineStr">
        <is>
          <t>Mời mommy blogger, education influencer collab. Họ đến trường trải nghiệm + đăng bài</t>
        </is>
      </c>
      <c r="E76" s="499" t="inlineStr">
        <is>
          <t>Influencer hashtag + School hashtag</t>
        </is>
      </c>
      <c r="F76" s="499" t="inlineStr">
        <is>
          <t>Check bio @truongvietanh!</t>
        </is>
      </c>
      <c r="G76" s="499" t="inlineStr">
        <is>
          <t>New followers ≥300/collab</t>
        </is>
      </c>
      <c r="H76" s="499" t="inlineStr">
        <is>
          <t>Budget 5-15M VND/collab</t>
        </is>
      </c>
    </row>
    <row r="77">
      <c r="A77" s="500" t="inlineStr">
        <is>
          <t>IG Shopping/Link</t>
        </is>
      </c>
      <c r="B77" s="500" t="inlineStr">
        <is>
          <t>Cập nhật</t>
        </is>
      </c>
      <c r="C77" s="500" t="inlineStr">
        <is>
          <t>Link in bio</t>
        </is>
      </c>
      <c r="D77" s="500" t="inlineStr">
        <is>
          <t>Linktree hoặc GHL landing page: form đăng ký, lịch Open Day, học phí, liên hệ</t>
        </is>
      </c>
      <c r="E77" s="500" t="inlineStr">
        <is>
          <t>N/A</t>
        </is>
      </c>
      <c r="F77" s="500" t="inlineStr">
        <is>
          <t>Link in bio 👆</t>
        </is>
      </c>
      <c r="G77" s="500" t="inlineStr">
        <is>
          <t>Link clicks ≥200/tuần</t>
        </is>
      </c>
      <c r="H77" s="500" t="inlineStr">
        <is>
          <t>Dùng Linktree Pro hoặc GHL</t>
        </is>
      </c>
    </row>
    <row r="79">
      <c r="A79" s="494" t="inlineStr">
        <is>
          <t>H. KPI TỔNG HỢP SOCIAL MEDIA — THEO THÁNG (T4-T9/2026)</t>
        </is>
      </c>
    </row>
    <row r="80">
      <c r="A80" s="495" t="inlineStr">
        <is>
          <t>KPI Metric</t>
        </is>
      </c>
      <c r="B80" s="495" t="inlineStr">
        <is>
          <t>T4/2026</t>
        </is>
      </c>
      <c r="C80" s="495" t="inlineStr">
        <is>
          <t>T5/2026</t>
        </is>
      </c>
      <c r="D80" s="495" t="inlineStr">
        <is>
          <t>T6/2026</t>
        </is>
      </c>
      <c r="E80" s="495" t="inlineStr">
        <is>
          <t>T7/2026</t>
        </is>
      </c>
      <c r="F80" s="495" t="inlineStr">
        <is>
          <t>T8/2026</t>
        </is>
      </c>
      <c r="G80" s="495" t="inlineStr">
        <is>
          <t>T9/2026</t>
        </is>
      </c>
      <c r="H80" s="495" t="inlineStr">
        <is>
          <t>Tổng/Trung bình</t>
        </is>
      </c>
    </row>
    <row r="81">
      <c r="A81" s="499" t="inlineStr">
        <is>
          <t>FB Page Followers (tích lũy)</t>
        </is>
      </c>
      <c r="B81" s="499" t="inlineStr">
        <is>
          <t>15,000</t>
        </is>
      </c>
      <c r="C81" s="499" t="inlineStr">
        <is>
          <t>20,000</t>
        </is>
      </c>
      <c r="D81" s="499" t="inlineStr">
        <is>
          <t>28,000</t>
        </is>
      </c>
      <c r="E81" s="499" t="inlineStr">
        <is>
          <t>35,000</t>
        </is>
      </c>
      <c r="F81" s="499" t="inlineStr">
        <is>
          <t>42,000</t>
        </is>
      </c>
      <c r="G81" s="499" t="inlineStr">
        <is>
          <t>50,000</t>
        </is>
      </c>
      <c r="H81" s="499" t="inlineStr">
        <is>
          <t>50,000</t>
        </is>
      </c>
    </row>
    <row r="82">
      <c r="A82" s="500" t="inlineStr">
        <is>
          <t>FB Page Reach/tháng</t>
        </is>
      </c>
      <c r="B82" s="500" t="inlineStr">
        <is>
          <t>100,000</t>
        </is>
      </c>
      <c r="C82" s="500" t="inlineStr">
        <is>
          <t>150,000</t>
        </is>
      </c>
      <c r="D82" s="500" t="inlineStr">
        <is>
          <t>250,000</t>
        </is>
      </c>
      <c r="E82" s="500" t="inlineStr">
        <is>
          <t>300,000</t>
        </is>
      </c>
      <c r="F82" s="500" t="inlineStr">
        <is>
          <t>250,000</t>
        </is>
      </c>
      <c r="G82" s="500" t="inlineStr">
        <is>
          <t>200,000</t>
        </is>
      </c>
      <c r="H82" s="500" t="inlineStr">
        <is>
          <t>1,250,000</t>
        </is>
      </c>
    </row>
    <row r="83">
      <c r="A83" s="499" t="inlineStr">
        <is>
          <t>FB Page Engagement Rate</t>
        </is>
      </c>
      <c r="B83" s="499" t="inlineStr">
        <is>
          <t>3.0%</t>
        </is>
      </c>
      <c r="C83" s="499" t="inlineStr">
        <is>
          <t>3.2%</t>
        </is>
      </c>
      <c r="D83" s="499" t="inlineStr">
        <is>
          <t>3.5%</t>
        </is>
      </c>
      <c r="E83" s="499" t="inlineStr">
        <is>
          <t>3.5%</t>
        </is>
      </c>
      <c r="F83" s="499" t="inlineStr">
        <is>
          <t>3.3%</t>
        </is>
      </c>
      <c r="G83" s="499" t="inlineStr">
        <is>
          <t>3.0%</t>
        </is>
      </c>
      <c r="H83" s="499" t="inlineStr">
        <is>
          <t>3.25%</t>
        </is>
      </c>
    </row>
    <row r="84">
      <c r="A84" s="500" t="inlineStr">
        <is>
          <t>FB Group Members (tổng)</t>
        </is>
      </c>
      <c r="B84" s="500" t="inlineStr">
        <is>
          <t>10,000</t>
        </is>
      </c>
      <c r="C84" s="500" t="inlineStr">
        <is>
          <t>13,000</t>
        </is>
      </c>
      <c r="D84" s="500" t="inlineStr">
        <is>
          <t>18,000</t>
        </is>
      </c>
      <c r="E84" s="500" t="inlineStr">
        <is>
          <t>22,000</t>
        </is>
      </c>
      <c r="F84" s="500" t="inlineStr">
        <is>
          <t>26,000</t>
        </is>
      </c>
      <c r="G84" s="500" t="inlineStr">
        <is>
          <t>30,000</t>
        </is>
      </c>
      <c r="H84" s="500" t="inlineStr">
        <is>
          <t>30,000</t>
        </is>
      </c>
    </row>
    <row r="85">
      <c r="A85" s="499" t="inlineStr">
        <is>
          <t>Zalo OA Followers (tích lũy)</t>
        </is>
      </c>
      <c r="B85" s="499" t="inlineStr">
        <is>
          <t>18,000</t>
        </is>
      </c>
      <c r="C85" s="499" t="inlineStr">
        <is>
          <t>22,000</t>
        </is>
      </c>
      <c r="D85" s="499" t="inlineStr">
        <is>
          <t>28,000</t>
        </is>
      </c>
      <c r="E85" s="499" t="inlineStr">
        <is>
          <t>32,000</t>
        </is>
      </c>
      <c r="F85" s="499" t="inlineStr">
        <is>
          <t>36,000</t>
        </is>
      </c>
      <c r="G85" s="499" t="inlineStr">
        <is>
          <t>40,000</t>
        </is>
      </c>
      <c r="H85" s="499" t="inlineStr">
        <is>
          <t>40,000</t>
        </is>
      </c>
    </row>
    <row r="86">
      <c r="A86" s="500" t="inlineStr">
        <is>
          <t>Zalo OA Open Rate</t>
        </is>
      </c>
      <c r="B86" s="500" t="inlineStr">
        <is>
          <t>45%</t>
        </is>
      </c>
      <c r="C86" s="500" t="inlineStr">
        <is>
          <t>43%</t>
        </is>
      </c>
      <c r="D86" s="500" t="inlineStr">
        <is>
          <t>42%</t>
        </is>
      </c>
      <c r="E86" s="500" t="inlineStr">
        <is>
          <t>40%</t>
        </is>
      </c>
      <c r="F86" s="500" t="inlineStr">
        <is>
          <t>40%</t>
        </is>
      </c>
      <c r="G86" s="500" t="inlineStr">
        <is>
          <t>38%</t>
        </is>
      </c>
      <c r="H86" s="500" t="inlineStr">
        <is>
          <t>41.3%</t>
        </is>
      </c>
    </row>
    <row r="87">
      <c r="A87" s="499" t="inlineStr">
        <is>
          <t>YouTube Subscribers (tích lũy)</t>
        </is>
      </c>
      <c r="B87" s="499" t="inlineStr">
        <is>
          <t>2,000</t>
        </is>
      </c>
      <c r="C87" s="499" t="inlineStr">
        <is>
          <t>3,500</t>
        </is>
      </c>
      <c r="D87" s="499" t="inlineStr">
        <is>
          <t>5,000</t>
        </is>
      </c>
      <c r="E87" s="499" t="inlineStr">
        <is>
          <t>6,500</t>
        </is>
      </c>
      <c r="F87" s="499" t="inlineStr">
        <is>
          <t>8,000</t>
        </is>
      </c>
      <c r="G87" s="499" t="inlineStr">
        <is>
          <t>10,000</t>
        </is>
      </c>
      <c r="H87" s="499" t="inlineStr">
        <is>
          <t>10,000</t>
        </is>
      </c>
    </row>
    <row r="88">
      <c r="A88" s="500" t="inlineStr">
        <is>
          <t>YouTube Views/tháng</t>
        </is>
      </c>
      <c r="B88" s="500" t="inlineStr">
        <is>
          <t>20,000</t>
        </is>
      </c>
      <c r="C88" s="500" t="inlineStr">
        <is>
          <t>35,000</t>
        </is>
      </c>
      <c r="D88" s="500" t="inlineStr">
        <is>
          <t>60,000</t>
        </is>
      </c>
      <c r="E88" s="500" t="inlineStr">
        <is>
          <t>80,000</t>
        </is>
      </c>
      <c r="F88" s="500" t="inlineStr">
        <is>
          <t>70,000</t>
        </is>
      </c>
      <c r="G88" s="500" t="inlineStr">
        <is>
          <t>50,000</t>
        </is>
      </c>
      <c r="H88" s="500" t="inlineStr">
        <is>
          <t>315,000</t>
        </is>
      </c>
    </row>
    <row r="89">
      <c r="A89" s="499" t="inlineStr">
        <is>
          <t>TikTok Followers (tích lũy)</t>
        </is>
      </c>
      <c r="B89" s="499" t="inlineStr">
        <is>
          <t>6,000</t>
        </is>
      </c>
      <c r="C89" s="499" t="inlineStr">
        <is>
          <t>10,000</t>
        </is>
      </c>
      <c r="D89" s="499" t="inlineStr">
        <is>
          <t>16,000</t>
        </is>
      </c>
      <c r="E89" s="499" t="inlineStr">
        <is>
          <t>22,000</t>
        </is>
      </c>
      <c r="F89" s="499" t="inlineStr">
        <is>
          <t>26,000</t>
        </is>
      </c>
      <c r="G89" s="499" t="inlineStr">
        <is>
          <t>30,000</t>
        </is>
      </c>
      <c r="H89" s="499" t="inlineStr">
        <is>
          <t>30,000</t>
        </is>
      </c>
    </row>
    <row r="90">
      <c r="A90" s="500" t="inlineStr">
        <is>
          <t>TikTok Views/tháng</t>
        </is>
      </c>
      <c r="B90" s="500" t="inlineStr">
        <is>
          <t>200,000</t>
        </is>
      </c>
      <c r="C90" s="500" t="inlineStr">
        <is>
          <t>400,000</t>
        </is>
      </c>
      <c r="D90" s="500" t="inlineStr">
        <is>
          <t>800,000</t>
        </is>
      </c>
      <c r="E90" s="500" t="inlineStr">
        <is>
          <t>1,000,000</t>
        </is>
      </c>
      <c r="F90" s="500" t="inlineStr">
        <is>
          <t>800,000</t>
        </is>
      </c>
      <c r="G90" s="500" t="inlineStr">
        <is>
          <t>500,000</t>
        </is>
      </c>
      <c r="H90" s="500" t="inlineStr">
        <is>
          <t>3,700,000</t>
        </is>
      </c>
    </row>
    <row r="91">
      <c r="A91" s="499" t="inlineStr">
        <is>
          <t>Instagram Followers (tích lũy)</t>
        </is>
      </c>
      <c r="B91" s="499" t="inlineStr">
        <is>
          <t>3,000</t>
        </is>
      </c>
      <c r="C91" s="499" t="inlineStr">
        <is>
          <t>5,000</t>
        </is>
      </c>
      <c r="D91" s="499" t="inlineStr">
        <is>
          <t>8,000</t>
        </is>
      </c>
      <c r="E91" s="499" t="inlineStr">
        <is>
          <t>10,000</t>
        </is>
      </c>
      <c r="F91" s="499" t="inlineStr">
        <is>
          <t>12,000</t>
        </is>
      </c>
      <c r="G91" s="499" t="inlineStr">
        <is>
          <t>15,000</t>
        </is>
      </c>
      <c r="H91" s="499" t="inlineStr">
        <is>
          <t>15,000</t>
        </is>
      </c>
    </row>
    <row r="92">
      <c r="A92" s="500" t="inlineStr">
        <is>
          <t>Tổng leads từ Social Media</t>
        </is>
      </c>
      <c r="B92" s="500" t="inlineStr">
        <is>
          <t>80</t>
        </is>
      </c>
      <c r="C92" s="500" t="inlineStr">
        <is>
          <t>120</t>
        </is>
      </c>
      <c r="D92" s="500" t="inlineStr">
        <is>
          <t>200</t>
        </is>
      </c>
      <c r="E92" s="500" t="inlineStr">
        <is>
          <t>250</t>
        </is>
      </c>
      <c r="F92" s="500" t="inlineStr">
        <is>
          <t>200</t>
        </is>
      </c>
      <c r="G92" s="500" t="inlineStr">
        <is>
          <t>150</t>
        </is>
      </c>
      <c r="H92" s="500" t="inlineStr">
        <is>
          <t>1,000</t>
        </is>
      </c>
    </row>
    <row r="93">
      <c r="A93" s="499" t="inlineStr">
        <is>
          <t>Social Media → Tour rate</t>
        </is>
      </c>
      <c r="B93" s="499" t="inlineStr">
        <is>
          <t>15%</t>
        </is>
      </c>
      <c r="C93" s="499" t="inlineStr">
        <is>
          <t>18%</t>
        </is>
      </c>
      <c r="D93" s="499" t="inlineStr">
        <is>
          <t>20%</t>
        </is>
      </c>
      <c r="E93" s="499" t="inlineStr">
        <is>
          <t>22%</t>
        </is>
      </c>
      <c r="F93" s="499" t="inlineStr">
        <is>
          <t>20%</t>
        </is>
      </c>
      <c r="G93" s="499" t="inlineStr">
        <is>
          <t>18%</t>
        </is>
      </c>
      <c r="H93" s="499" t="inlineStr">
        <is>
          <t>18.8%</t>
        </is>
      </c>
    </row>
    <row r="94">
      <c r="A94" s="500" t="inlineStr">
        <is>
          <t>Chi phí/lead từ Social</t>
        </is>
      </c>
      <c r="B94" s="500" t="inlineStr">
        <is>
          <t>50,000</t>
        </is>
      </c>
      <c r="C94" s="500" t="inlineStr">
        <is>
          <t>45,000</t>
        </is>
      </c>
      <c r="D94" s="500" t="inlineStr">
        <is>
          <t>40,000</t>
        </is>
      </c>
      <c r="E94" s="500" t="inlineStr">
        <is>
          <t>38,000</t>
        </is>
      </c>
      <c r="F94" s="500" t="inlineStr">
        <is>
          <t>42,000</t>
        </is>
      </c>
      <c r="G94" s="500" t="inlineStr">
        <is>
          <t>45,000</t>
        </is>
      </c>
      <c r="H94" s="500" t="inlineStr">
        <is>
          <t>43,333</t>
        </is>
      </c>
    </row>
  </sheetData>
  <mergeCells count="1">
    <mergeCell ref="A1:L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cols>
    <col width="12" customWidth="1" style="248" min="1" max="1"/>
    <col width="30" customWidth="1" style="248" min="2" max="2"/>
    <col width="50" customWidth="1" style="248" min="3" max="3"/>
    <col width="20" customWidth="1" style="248" min="4" max="4"/>
    <col width="20" customWidth="1" style="248" min="5" max="5"/>
    <col width="15" customWidth="1" style="248" min="6" max="6"/>
    <col width="15" customWidth="1" style="248" min="7" max="7"/>
    <col width="20" customWidth="1" style="248" min="8" max="8"/>
    <col width="35" customWidth="1" style="248" min="9" max="9"/>
    <col width="25" customWidth="1" style="248" min="10" max="10"/>
  </cols>
  <sheetData>
    <row r="1">
      <c r="A1" s="498" t="inlineStr">
        <is>
          <t>HƯỚNG DẪN SETUP &amp; ĐỒNG BỘ: GoHighLevel + Pancake CRM + Make.com + Birch PPC</t>
        </is>
      </c>
    </row>
    <row r="3">
      <c r="A3" s="494" t="inlineStr">
        <is>
          <t>A. TỔNG QUAN KIẾN TRÚC HỆ THỐNG (System Architecture)</t>
        </is>
      </c>
    </row>
    <row r="4">
      <c r="A4" s="495" t="inlineStr">
        <is>
          <t>Thành phần</t>
        </is>
      </c>
      <c r="B4" s="495" t="inlineStr">
        <is>
          <t>Vai trò</t>
        </is>
      </c>
      <c r="C4" s="495" t="inlineStr">
        <is>
          <t>Kết nối với</t>
        </is>
      </c>
      <c r="D4" s="495" t="inlineStr">
        <is>
          <t>Phương thức kết nối</t>
        </is>
      </c>
      <c r="E4" s="495" t="inlineStr">
        <is>
          <t>Dữ liệu trao đổi</t>
        </is>
      </c>
      <c r="F4" s="495" t="inlineStr">
        <is>
          <t>Tần suất đồng bộ</t>
        </is>
      </c>
      <c r="G4" s="495" t="inlineStr">
        <is>
          <t>Chi phí/tháng</t>
        </is>
      </c>
      <c r="H4" s="495" t="inlineStr">
        <is>
          <t>Ghi chú</t>
        </is>
      </c>
    </row>
    <row r="5">
      <c r="A5" s="499" t="inlineStr">
        <is>
          <t>GoHighLevel (GHL)</t>
        </is>
      </c>
      <c r="B5" s="499" t="inlineStr">
        <is>
          <t>CRM chính, Automation, Landing Pages, Forms, Email/SMS</t>
        </is>
      </c>
      <c r="C5" s="499" t="inlineStr">
        <is>
          <t>Pancake (qua Make.com), Birch, Zalo API, Meta, Google</t>
        </is>
      </c>
      <c r="D5" s="499" t="inlineStr">
        <is>
          <t>API + Webhooks + Make.com</t>
        </is>
      </c>
      <c r="E5" s="499" t="inlineStr">
        <is>
          <t>Contacts, Opportunities, Tags, Notes, Activities</t>
        </is>
      </c>
      <c r="F5" s="499" t="inlineStr">
        <is>
          <t>Real-time (webhook)</t>
        </is>
      </c>
      <c r="G5" s="499" t="inlineStr">
        <is>
          <t>$297/tháng (Agency Pro)</t>
        </is>
      </c>
      <c r="H5" s="499" t="inlineStr">
        <is>
          <t>Hub trung tâm của hệ thống</t>
        </is>
      </c>
    </row>
    <row r="6">
      <c r="A6" s="500" t="inlineStr">
        <is>
          <t>Pancake CRM</t>
        </is>
      </c>
      <c r="B6" s="500" t="inlineStr">
        <is>
          <t>Quản lý lead từ Facebook, Zalo. Chat đa kênh. Phân lead cho tư vấn viên</t>
        </is>
      </c>
      <c r="C6" s="500" t="inlineStr">
        <is>
          <t>GHL (qua Make.com), Facebook Pages, Zalo OA</t>
        </is>
      </c>
      <c r="D6" s="500" t="inlineStr">
        <is>
          <t>Make.com webhooks + Facebook Graph API + Zalo API</t>
        </is>
      </c>
      <c r="E6" s="500" t="inlineStr">
        <is>
          <t>Leads, Conversations, Tags, Assignments</t>
        </is>
      </c>
      <c r="F6" s="500" t="inlineStr">
        <is>
          <t>Real-time (webhook)</t>
        </is>
      </c>
      <c r="G6" s="500" t="inlineStr">
        <is>
          <t>500,000 VND/tháng</t>
        </is>
      </c>
      <c r="H6" s="500" t="inlineStr">
        <is>
          <t>CRM phổ biến nhất VN cho FB/Zalo</t>
        </is>
      </c>
    </row>
    <row r="7">
      <c r="A7" s="499" t="inlineStr">
        <is>
          <t>Make.com (Integromat)</t>
        </is>
      </c>
      <c r="B7" s="499" t="inlineStr">
        <is>
          <t>Middleware: đồng bộ dữ liệu giữa GHL ↔ Pancake ↔ Google Sheets</t>
        </is>
      </c>
      <c r="C7" s="499" t="inlineStr">
        <is>
          <t>GHL, Pancake, Google Sheets, Zalo API</t>
        </is>
      </c>
      <c r="D7" s="499" t="inlineStr">
        <is>
          <t>HTTP/Webhooks + Native modules</t>
        </is>
      </c>
      <c r="E7" s="499" t="inlineStr">
        <is>
          <t>Contact sync, Tag sync, Activity logs</t>
        </is>
      </c>
      <c r="F7" s="499" t="inlineStr">
        <is>
          <t>Real-time + Batch (hourly)</t>
        </is>
      </c>
      <c r="G7" s="499" t="inlineStr">
        <is>
          <t>$29/tháng (Pro)</t>
        </is>
      </c>
      <c r="H7" s="499" t="inlineStr">
        <is>
          <t>10,000 operations/tháng đủ dùng</t>
        </is>
      </c>
    </row>
    <row r="8">
      <c r="A8" s="500" t="inlineStr">
        <is>
          <t>Birch PPC</t>
        </is>
      </c>
      <c r="B8" s="500" t="inlineStr">
        <is>
          <t>Quản lý ads đa nền tảng: Meta, Google, TikTok. Automation rules, Reporting</t>
        </is>
      </c>
      <c r="C8" s="500" t="inlineStr">
        <is>
          <t>Meta Ads, Google Ads, TikTok Ads, GHL</t>
        </is>
      </c>
      <c r="D8" s="500" t="inlineStr">
        <is>
          <t>API native + GHL webhook</t>
        </is>
      </c>
      <c r="E8" s="500" t="inlineStr">
        <is>
          <t>Ad spend, Leads, CPA, ROAS, Campaign data</t>
        </is>
      </c>
      <c r="F8" s="500" t="inlineStr">
        <is>
          <t>Every 15 minutes</t>
        </is>
      </c>
      <c r="G8" s="500" t="inlineStr">
        <is>
          <t>$79/tháng</t>
        </is>
      </c>
      <c r="H8" s="500" t="inlineStr">
        <is>
          <t>Thay thế việc vào từng ads manager</t>
        </is>
      </c>
    </row>
    <row r="9">
      <c r="A9" s="499" t="inlineStr">
        <is>
          <t>Meta Ads Manager</t>
        </is>
      </c>
      <c r="B9" s="499" t="inlineStr">
        <is>
          <t>Chạy quảng cáo Facebook + Instagram</t>
        </is>
      </c>
      <c r="C9" s="499" t="inlineStr">
        <is>
          <t>Birch, GHL (Pixel + CAPI)</t>
        </is>
      </c>
      <c r="D9" s="499" t="inlineStr">
        <is>
          <t>Meta Marketing API + Pixel + CAPI</t>
        </is>
      </c>
      <c r="E9" s="499" t="inlineStr">
        <is>
          <t>Campaigns, Ad sets, Ads, Leads, Pixel events</t>
        </is>
      </c>
      <c r="F9" s="499" t="inlineStr">
        <is>
          <t>Real-time</t>
        </is>
      </c>
      <c r="G9" s="499" t="inlineStr">
        <is>
          <t>Theo budget ads</t>
        </is>
      </c>
      <c r="H9" s="499" t="inlineStr">
        <is>
          <t>Birch quản lý, GHL track leads</t>
        </is>
      </c>
    </row>
    <row r="10">
      <c r="A10" s="500" t="inlineStr">
        <is>
          <t>Google Ads</t>
        </is>
      </c>
      <c r="B10" s="500" t="inlineStr">
        <is>
          <t>Chạy quảng cáo Search, Display, YouTube</t>
        </is>
      </c>
      <c r="C10" s="500" t="inlineStr">
        <is>
          <t>Birch, GHL (GCLID tracking)</t>
        </is>
      </c>
      <c r="D10" s="500" t="inlineStr">
        <is>
          <t>Google Ads API + GTM</t>
        </is>
      </c>
      <c r="E10" s="500" t="inlineStr">
        <is>
          <t>Campaigns, Keywords, Leads, GCLID</t>
        </is>
      </c>
      <c r="F10" s="500" t="inlineStr">
        <is>
          <t>Real-time</t>
        </is>
      </c>
      <c r="G10" s="500" t="inlineStr">
        <is>
          <t>Theo budget ads</t>
        </is>
      </c>
      <c r="H10" s="500" t="inlineStr">
        <is>
          <t>Birch quản lý, GHL track leads</t>
        </is>
      </c>
    </row>
    <row r="11">
      <c r="A11" s="499" t="inlineStr">
        <is>
          <t>TikTok Ads</t>
        </is>
      </c>
      <c r="B11" s="499" t="inlineStr">
        <is>
          <t>Chạy quảng cáo TikTok</t>
        </is>
      </c>
      <c r="C11" s="499" t="inlineStr">
        <is>
          <t>Birch, GHL (Pixel)</t>
        </is>
      </c>
      <c r="D11" s="499" t="inlineStr">
        <is>
          <t>TikTok Marketing API + Pixel</t>
        </is>
      </c>
      <c r="E11" s="499" t="inlineStr">
        <is>
          <t>Campaigns, Ads, Leads, Pixel events</t>
        </is>
      </c>
      <c r="F11" s="499" t="inlineStr">
        <is>
          <t>Real-time</t>
        </is>
      </c>
      <c r="G11" s="499" t="inlineStr">
        <is>
          <t>Theo budget ads</t>
        </is>
      </c>
      <c r="H11" s="499" t="inlineStr">
        <is>
          <t>Mới thêm cho T6-T9/2026</t>
        </is>
      </c>
    </row>
    <row r="12">
      <c r="A12" s="500" t="inlineStr">
        <is>
          <t>Google Tag Manager</t>
        </is>
      </c>
      <c r="B12" s="500" t="inlineStr">
        <is>
          <t>Quản lý tất cả tracking pixels</t>
        </is>
      </c>
      <c r="C12" s="500" t="inlineStr">
        <is>
          <t>Website, Meta Pixel, GA4, TikTok Pixel, Zalo Pixel</t>
        </is>
      </c>
      <c r="D12" s="500" t="inlineStr">
        <is>
          <t>JavaScript tags + Server-side</t>
        </is>
      </c>
      <c r="E12" s="500" t="inlineStr">
        <is>
          <t>Events: PageView, Lead, SubmitForm, ViewContent</t>
        </is>
      </c>
      <c r="F12" s="500" t="inlineStr">
        <is>
          <t>Real-time</t>
        </is>
      </c>
      <c r="G12" s="500" t="inlineStr">
        <is>
          <t>Miễn phí</t>
        </is>
      </c>
      <c r="H12" s="500" t="inlineStr">
        <is>
          <t>Server-side GTM cho CAPI</t>
        </is>
      </c>
    </row>
    <row r="13">
      <c r="A13" s="499" t="inlineStr">
        <is>
          <t>Zalo API/OA</t>
        </is>
      </c>
      <c r="B13" s="499" t="inlineStr">
        <is>
          <t>Gửi tin nhắn, chatbot, broadcast qua Zalo</t>
        </is>
      </c>
      <c r="C13" s="499" t="inlineStr">
        <is>
          <t>GHL (qua Make.com), Pancake</t>
        </is>
      </c>
      <c r="D13" s="499" t="inlineStr">
        <is>
          <t>Zalo Official Account API</t>
        </is>
      </c>
      <c r="E13" s="499" t="inlineStr">
        <is>
          <t>Messages, Followers, Events</t>
        </is>
      </c>
      <c r="F13" s="499" t="inlineStr">
        <is>
          <t>Real-time</t>
        </is>
      </c>
      <c r="G13" s="499" t="inlineStr">
        <is>
          <t>Theo gói OA</t>
        </is>
      </c>
      <c r="H13" s="499" t="inlineStr">
        <is>
          <t>Cần đăng ký OA verified</t>
        </is>
      </c>
    </row>
    <row r="14">
      <c r="A14" s="500" t="inlineStr">
        <is>
          <t>Google Sheets</t>
        </is>
      </c>
      <c r="B14" s="500" t="inlineStr">
        <is>
          <t>Backup data, Reporting dashboard, Data validation</t>
        </is>
      </c>
      <c r="C14" s="500" t="inlineStr">
        <is>
          <t>Make.com, GHL</t>
        </is>
      </c>
      <c r="D14" s="500" t="inlineStr">
        <is>
          <t>Google Sheets API (qua Make.com)</t>
        </is>
      </c>
      <c r="E14" s="500" t="inlineStr">
        <is>
          <t>Contact lists, KPI data, Reports</t>
        </is>
      </c>
      <c r="F14" s="500" t="inlineStr">
        <is>
          <t>Hourly batch</t>
        </is>
      </c>
      <c r="G14" s="500" t="inlineStr">
        <is>
          <t>Miễn phí</t>
        </is>
      </c>
      <c r="H14" s="500" t="inlineStr">
        <is>
          <t>Dashboard backup cho team</t>
        </is>
      </c>
    </row>
    <row r="16">
      <c r="A16" s="494" t="inlineStr">
        <is>
          <t>B. SETUP GOHIGHLEVEL — 50 BƯỚC CHI TIẾT</t>
        </is>
      </c>
    </row>
    <row r="17">
      <c r="A17" s="495" t="inlineStr">
        <is>
          <t>Bước</t>
        </is>
      </c>
      <c r="B17" s="495" t="inlineStr">
        <is>
          <t>Nhóm công việc</t>
        </is>
      </c>
      <c r="C17" s="495" t="inlineStr">
        <is>
          <t>Chi tiết thực hiện</t>
        </is>
      </c>
      <c r="D17" s="495" t="inlineStr">
        <is>
          <t>Thời gian ước tính</t>
        </is>
      </c>
      <c r="E17" s="495" t="inlineStr">
        <is>
          <t>Người thực hiện</t>
        </is>
      </c>
      <c r="F17" s="495" t="inlineStr">
        <is>
          <t>Trạng thái</t>
        </is>
      </c>
      <c r="G17" s="495" t="inlineStr">
        <is>
          <t>Deadline</t>
        </is>
      </c>
      <c r="H17" s="495" t="inlineStr">
        <is>
          <t>Dependency</t>
        </is>
      </c>
      <c r="I17" s="495" t="inlineStr">
        <is>
          <t>Lưu ý</t>
        </is>
      </c>
      <c r="J17" s="495" t="inlineStr">
        <is>
          <t>Link hướng dẫn</t>
        </is>
      </c>
    </row>
    <row r="18">
      <c r="A18" s="499" t="inlineStr">
        <is>
          <t>1</t>
        </is>
      </c>
      <c r="B18" s="499" t="inlineStr">
        <is>
          <t>Account Setup</t>
        </is>
      </c>
      <c r="C18" s="499" t="inlineStr">
        <is>
          <t>Đăng ký GHL Agency Pro ($297/tháng). Verify email, setup 2FA</t>
        </is>
      </c>
      <c r="D18" s="499" t="inlineStr">
        <is>
          <t>30 phút</t>
        </is>
      </c>
      <c r="E18" s="499" t="inlineStr">
        <is>
          <t>IT Admin</t>
        </is>
      </c>
      <c r="F18" s="499" t="inlineStr">
        <is>
          <t>⬜</t>
        </is>
      </c>
      <c r="G18" s="499" t="inlineStr">
        <is>
          <t>01/04</t>
        </is>
      </c>
      <c r="H18" s="499" t="inlineStr">
        <is>
          <t>-</t>
        </is>
      </c>
      <c r="I18" s="499" t="inlineStr">
        <is>
          <t>Dùng email công ty</t>
        </is>
      </c>
      <c r="J18" s="499" t="inlineStr">
        <is>
          <t>app.gohighlevel.com</t>
        </is>
      </c>
    </row>
    <row r="19">
      <c r="A19" s="500" t="inlineStr">
        <is>
          <t>2</t>
        </is>
      </c>
      <c r="B19" s="500" t="inlineStr">
        <is>
          <t>Account Setup</t>
        </is>
      </c>
      <c r="C19" s="500" t="inlineStr">
        <is>
          <t>Tạo Sub-account "Trường Việt Anh" dưới Agency account</t>
        </is>
      </c>
      <c r="D19" s="500" t="inlineStr">
        <is>
          <t>15 phút</t>
        </is>
      </c>
      <c r="E19" s="500" t="inlineStr">
        <is>
          <t>IT Admin</t>
        </is>
      </c>
      <c r="F19" s="500" t="inlineStr">
        <is>
          <t>⬜</t>
        </is>
      </c>
      <c r="G19" s="500" t="inlineStr">
        <is>
          <t>01/04</t>
        </is>
      </c>
      <c r="H19" s="500" t="inlineStr">
        <is>
          <t>Bước 1</t>
        </is>
      </c>
      <c r="I19" s="500" t="inlineStr">
        <is>
          <t>Có thể tạo nhiều sub-acc</t>
        </is>
      </c>
      <c r="J19" s="500" t="inlineStr">
        <is>
          <t>GHL Docs: Sub-accounts</t>
        </is>
      </c>
    </row>
    <row r="20">
      <c r="A20" s="499" t="inlineStr">
        <is>
          <t>3</t>
        </is>
      </c>
      <c r="B20" s="499" t="inlineStr">
        <is>
          <t>Account Setup</t>
        </is>
      </c>
      <c r="C20" s="499" t="inlineStr">
        <is>
          <t>Cấu hình Business Info: tên, địa chỉ 6 cơ sở, SĐT, email, logo, brand colors</t>
        </is>
      </c>
      <c r="D20" s="499" t="inlineStr">
        <is>
          <t>30 phút</t>
        </is>
      </c>
      <c r="E20" s="499" t="inlineStr">
        <is>
          <t>Marketing Lead</t>
        </is>
      </c>
      <c r="F20" s="499" t="inlineStr">
        <is>
          <t>⬜</t>
        </is>
      </c>
      <c r="G20" s="499" t="inlineStr">
        <is>
          <t>01/04</t>
        </is>
      </c>
      <c r="H20" s="499" t="inlineStr">
        <is>
          <t>Bước 2</t>
        </is>
      </c>
      <c r="I20" s="499" t="inlineStr">
        <is>
          <t>Upload logo HD</t>
        </is>
      </c>
      <c r="J20" s="499" t="inlineStr"/>
    </row>
    <row r="21">
      <c r="A21" s="500" t="inlineStr">
        <is>
          <t>4</t>
        </is>
      </c>
      <c r="B21" s="500" t="inlineStr">
        <is>
          <t>Account Setup</t>
        </is>
      </c>
      <c r="C21" s="500" t="inlineStr">
        <is>
          <t>Tạo user accounts cho team: Admin, Marketing, Tư vấn viên (6), Content (3)</t>
        </is>
      </c>
      <c r="D21" s="500" t="inlineStr">
        <is>
          <t>45 phút</t>
        </is>
      </c>
      <c r="E21" s="500" t="inlineStr">
        <is>
          <t>IT Admin</t>
        </is>
      </c>
      <c r="F21" s="500" t="inlineStr">
        <is>
          <t>⬜</t>
        </is>
      </c>
      <c r="G21" s="500" t="inlineStr">
        <is>
          <t>01/04</t>
        </is>
      </c>
      <c r="H21" s="500" t="inlineStr">
        <is>
          <t>Bước 2</t>
        </is>
      </c>
      <c r="I21" s="500" t="inlineStr">
        <is>
          <t>Phân quyền theo role</t>
        </is>
      </c>
      <c r="J21" s="500" t="inlineStr">
        <is>
          <t>GHL Docs: Team Management</t>
        </is>
      </c>
    </row>
    <row r="22">
      <c r="A22" s="499" t="inlineStr">
        <is>
          <t>5</t>
        </is>
      </c>
      <c r="B22" s="499" t="inlineStr">
        <is>
          <t>Account Setup</t>
        </is>
      </c>
      <c r="C22" s="499" t="inlineStr">
        <is>
          <t>Kết nối domain: forms.truongvietanh.com cho landing pages, tracking</t>
        </is>
      </c>
      <c r="D22" s="499" t="inlineStr">
        <is>
          <t>1 giờ</t>
        </is>
      </c>
      <c r="E22" s="499" t="inlineStr">
        <is>
          <t>IT Admin</t>
        </is>
      </c>
      <c r="F22" s="499" t="inlineStr">
        <is>
          <t>⬜</t>
        </is>
      </c>
      <c r="G22" s="499" t="inlineStr">
        <is>
          <t>02/04</t>
        </is>
      </c>
      <c r="H22" s="499" t="inlineStr">
        <is>
          <t>Bước 2</t>
        </is>
      </c>
      <c r="I22" s="499" t="inlineStr">
        <is>
          <t>Cần DNS access</t>
        </is>
      </c>
      <c r="J22" s="499" t="inlineStr"/>
    </row>
    <row r="23">
      <c r="A23" s="500" t="inlineStr">
        <is>
          <t>6</t>
        </is>
      </c>
      <c r="B23" s="500" t="inlineStr">
        <is>
          <t>Pipeline Setup</t>
        </is>
      </c>
      <c r="C23" s="500" t="inlineStr">
        <is>
          <t>Tạo Pipeline "Tuyển Sinh 2026" với 8 stages: New Lead → Contacted → Qualified → Tour Scheduled → Tour Completed → Application → Enrolled → Lost</t>
        </is>
      </c>
      <c r="D23" s="500" t="inlineStr">
        <is>
          <t>1 giờ</t>
        </is>
      </c>
      <c r="E23" s="500" t="inlineStr">
        <is>
          <t>Marketing Lead</t>
        </is>
      </c>
      <c r="F23" s="500" t="inlineStr">
        <is>
          <t>⬜</t>
        </is>
      </c>
      <c r="G23" s="500" t="inlineStr">
        <is>
          <t>02/04</t>
        </is>
      </c>
      <c r="H23" s="500" t="inlineStr">
        <is>
          <t>Bước 3</t>
        </is>
      </c>
      <c r="I23" s="500" t="inlineStr">
        <is>
          <t>Tên stage tiếng Việt + Anh</t>
        </is>
      </c>
      <c r="J23" s="500" t="inlineStr"/>
    </row>
    <row r="24">
      <c r="A24" s="499" t="inlineStr">
        <is>
          <t>7</t>
        </is>
      </c>
      <c r="B24" s="499" t="inlineStr">
        <is>
          <t>Pipeline Setup</t>
        </is>
      </c>
      <c r="C24" s="499" t="inlineStr">
        <is>
          <t>Tạo Pipeline "Tái Tuyển Sinh" cho PH cũ: Active → Renewal Notice → Confirmed → Churned</t>
        </is>
      </c>
      <c r="D24" s="499" t="inlineStr">
        <is>
          <t>30 phút</t>
        </is>
      </c>
      <c r="E24" s="499" t="inlineStr">
        <is>
          <t>Marketing Lead</t>
        </is>
      </c>
      <c r="F24" s="499" t="inlineStr">
        <is>
          <t>⬜</t>
        </is>
      </c>
      <c r="G24" s="499" t="inlineStr">
        <is>
          <t>02/04</t>
        </is>
      </c>
      <c r="H24" s="499" t="inlineStr">
        <is>
          <t>Bước 6</t>
        </is>
      </c>
      <c r="I24" s="499" t="inlineStr"/>
      <c r="J24" s="499" t="inlineStr"/>
    </row>
    <row r="25">
      <c r="A25" s="500" t="inlineStr">
        <is>
          <t>8</t>
        </is>
      </c>
      <c r="B25" s="500" t="inlineStr">
        <is>
          <t>Pipeline Setup</t>
        </is>
      </c>
      <c r="C25" s="500" t="inlineStr">
        <is>
          <t>Cấu hình Opportunity settings: custom fields (Cơ sở, Cấp học, Nguồn lead, Ngày tour)</t>
        </is>
      </c>
      <c r="D25" s="500" t="inlineStr">
        <is>
          <t>45 phút</t>
        </is>
      </c>
      <c r="E25" s="500" t="inlineStr">
        <is>
          <t>Marketing Lead</t>
        </is>
      </c>
      <c r="F25" s="500" t="inlineStr">
        <is>
          <t>⬜</t>
        </is>
      </c>
      <c r="G25" s="500" t="inlineStr">
        <is>
          <t>02/04</t>
        </is>
      </c>
      <c r="H25" s="500" t="inlineStr">
        <is>
          <t>Bước 6</t>
        </is>
      </c>
      <c r="I25" s="500" t="inlineStr">
        <is>
          <t>Fields phải match Pancake</t>
        </is>
      </c>
      <c r="J25" s="500" t="inlineStr"/>
    </row>
    <row r="26">
      <c r="A26" s="499" t="inlineStr">
        <is>
          <t>9</t>
        </is>
      </c>
      <c r="B26" s="499" t="inlineStr">
        <is>
          <t>Pipeline Setup</t>
        </is>
      </c>
      <c r="C26" s="499" t="inlineStr">
        <is>
          <t>Setup Pipeline Automation: auto-move khi tag thay đổi, khi form submit</t>
        </is>
      </c>
      <c r="D26" s="499" t="inlineStr">
        <is>
          <t>1 giờ</t>
        </is>
      </c>
      <c r="E26" s="499" t="inlineStr">
        <is>
          <t>Marketing Lead</t>
        </is>
      </c>
      <c r="F26" s="499" t="inlineStr">
        <is>
          <t>⬜</t>
        </is>
      </c>
      <c r="G26" s="499" t="inlineStr">
        <is>
          <t>03/04</t>
        </is>
      </c>
      <c r="H26" s="499" t="inlineStr">
        <is>
          <t>Bước 8</t>
        </is>
      </c>
      <c r="I26" s="499" t="inlineStr">
        <is>
          <t>Test kỹ trước go-live</t>
        </is>
      </c>
      <c r="J26" s="499" t="inlineStr"/>
    </row>
    <row r="27">
      <c r="A27" s="500" t="inlineStr">
        <is>
          <t>10</t>
        </is>
      </c>
      <c r="B27" s="500" t="inlineStr">
        <is>
          <t>Custom Fields</t>
        </is>
      </c>
      <c r="C27" s="500" t="inlineStr">
        <is>
          <t>Tạo Custom Fields cho Contact: Họ tên con, Ngày sinh con, Cấp học quan tâm, Cơ sở quan tâm, Nguồn lead, UTM Source/Medium/Campaign</t>
        </is>
      </c>
      <c r="D27" s="500" t="inlineStr">
        <is>
          <t>1 giờ</t>
        </is>
      </c>
      <c r="E27" s="500" t="inlineStr">
        <is>
          <t>Marketing Lead</t>
        </is>
      </c>
      <c r="F27" s="500" t="inlineStr">
        <is>
          <t>⬜</t>
        </is>
      </c>
      <c r="G27" s="500" t="inlineStr">
        <is>
          <t>03/04</t>
        </is>
      </c>
      <c r="H27" s="500" t="inlineStr">
        <is>
          <t>Bước 3</t>
        </is>
      </c>
      <c r="I27" s="500" t="inlineStr">
        <is>
          <t>Mapping với Pancake fields</t>
        </is>
      </c>
      <c r="J27" s="500" t="inlineStr"/>
    </row>
    <row r="28">
      <c r="A28" s="499" t="inlineStr">
        <is>
          <t>11</t>
        </is>
      </c>
      <c r="B28" s="499" t="inlineStr">
        <is>
          <t>Custom Fields</t>
        </is>
      </c>
      <c r="C28" s="499" t="inlineStr">
        <is>
          <t>Tạo Tag system: theo Nguồn (FB, Zalo, Google, TikTok, Referral, Walk-in), theo Cấp học (MN, TH, THCS, THPT), theo Cơ sở (6 tags), theo Hành vi (Tour, Webinar, Download)</t>
        </is>
      </c>
      <c r="D28" s="499" t="inlineStr">
        <is>
          <t>45 phút</t>
        </is>
      </c>
      <c r="E28" s="499" t="inlineStr">
        <is>
          <t>Marketing Lead</t>
        </is>
      </c>
      <c r="F28" s="499" t="inlineStr">
        <is>
          <t>⬜</t>
        </is>
      </c>
      <c r="G28" s="499" t="inlineStr">
        <is>
          <t>03/04</t>
        </is>
      </c>
      <c r="H28" s="499" t="inlineStr">
        <is>
          <t>Bước 10</t>
        </is>
      </c>
      <c r="I28" s="499" t="inlineStr">
        <is>
          <t>Tổng ~30 tags</t>
        </is>
      </c>
      <c r="J28" s="499" t="inlineStr"/>
    </row>
    <row r="29">
      <c r="A29" s="500" t="inlineStr">
        <is>
          <t>12</t>
        </is>
      </c>
      <c r="B29" s="500" t="inlineStr">
        <is>
          <t>Custom Fields</t>
        </is>
      </c>
      <c r="C29" s="500" t="inlineStr">
        <is>
          <t>Import danh sách contacts hiện tại từ Pancake CRM vào GHL (CSV import)</t>
        </is>
      </c>
      <c r="D29" s="500" t="inlineStr">
        <is>
          <t>2 giờ</t>
        </is>
      </c>
      <c r="E29" s="500" t="inlineStr">
        <is>
          <t>Marketing Lead</t>
        </is>
      </c>
      <c r="F29" s="500" t="inlineStr">
        <is>
          <t>⬜</t>
        </is>
      </c>
      <c r="G29" s="500" t="inlineStr">
        <is>
          <t>04/04</t>
        </is>
      </c>
      <c r="H29" s="500" t="inlineStr">
        <is>
          <t>Bước 10-11</t>
        </is>
      </c>
      <c r="I29" s="500" t="inlineStr">
        <is>
          <t>Map fields chính xác</t>
        </is>
      </c>
      <c r="J29" s="500" t="inlineStr"/>
    </row>
    <row r="30">
      <c r="A30" s="499" t="inlineStr">
        <is>
          <t>13</t>
        </is>
      </c>
      <c r="B30" s="499" t="inlineStr">
        <is>
          <t>Forms</t>
        </is>
      </c>
      <c r="C30" s="499" t="inlineStr">
        <is>
          <t>Tạo Form "Đăng ký tư vấn" (Master form): Họ tên PH, SĐT, Email, Tên con, Tuổi con, Cấp học, Cơ sở, UTM hidden fields</t>
        </is>
      </c>
      <c r="D30" s="499" t="inlineStr">
        <is>
          <t>1 giờ</t>
        </is>
      </c>
      <c r="E30" s="499" t="inlineStr">
        <is>
          <t>Marketing Lead</t>
        </is>
      </c>
      <c r="F30" s="499" t="inlineStr">
        <is>
          <t>⬜</t>
        </is>
      </c>
      <c r="G30" s="499" t="inlineStr">
        <is>
          <t>04/04</t>
        </is>
      </c>
      <c r="H30" s="499" t="inlineStr">
        <is>
          <t>Bước 10</t>
        </is>
      </c>
      <c r="I30" s="499" t="inlineStr">
        <is>
          <t>UTM auto-capture</t>
        </is>
      </c>
      <c r="J30" s="499" t="inlineStr"/>
    </row>
    <row r="31">
      <c r="A31" s="500" t="inlineStr">
        <is>
          <t>14</t>
        </is>
      </c>
      <c r="B31" s="500" t="inlineStr">
        <is>
          <t>Forms</t>
        </is>
      </c>
      <c r="C31" s="500" t="inlineStr">
        <is>
          <t>Tạo Form "Đăng ký Open Day" + Form "Đăng ký Webinar" + Form "Nhận học bổng"</t>
        </is>
      </c>
      <c r="D31" s="500" t="inlineStr">
        <is>
          <t>1.5 giờ</t>
        </is>
      </c>
      <c r="E31" s="500" t="inlineStr">
        <is>
          <t>Marketing Lead</t>
        </is>
      </c>
      <c r="F31" s="500" t="inlineStr">
        <is>
          <t>⬜</t>
        </is>
      </c>
      <c r="G31" s="500" t="inlineStr">
        <is>
          <t>04/04</t>
        </is>
      </c>
      <c r="H31" s="500" t="inlineStr">
        <is>
          <t>Bước 13</t>
        </is>
      </c>
      <c r="I31" s="500" t="inlineStr">
        <is>
          <t>Mỗi form → riêng tag</t>
        </is>
      </c>
      <c r="J31" s="500" t="inlineStr"/>
    </row>
    <row r="32">
      <c r="A32" s="499" t="inlineStr">
        <is>
          <t>15</t>
        </is>
      </c>
      <c r="B32" s="499" t="inlineStr">
        <is>
          <t>Forms</t>
        </is>
      </c>
      <c r="C32" s="499" t="inlineStr">
        <is>
          <t>Tạo Form "Tour trường" cho từng cơ sở (6 forms) với date picker</t>
        </is>
      </c>
      <c r="D32" s="499" t="inlineStr">
        <is>
          <t>2 giờ</t>
        </is>
      </c>
      <c r="E32" s="499" t="inlineStr">
        <is>
          <t>Marketing Lead</t>
        </is>
      </c>
      <c r="F32" s="499" t="inlineStr">
        <is>
          <t>⬜</t>
        </is>
      </c>
      <c r="G32" s="499" t="inlineStr">
        <is>
          <t>05/04</t>
        </is>
      </c>
      <c r="H32" s="499" t="inlineStr">
        <is>
          <t>Bước 13</t>
        </is>
      </c>
      <c r="I32" s="499" t="inlineStr">
        <is>
          <t>Integrate GHL Calendar</t>
        </is>
      </c>
      <c r="J32" s="499" t="inlineStr"/>
    </row>
    <row r="33">
      <c r="A33" s="500" t="inlineStr">
        <is>
          <t>16</t>
        </is>
      </c>
      <c r="B33" s="500" t="inlineStr">
        <is>
          <t>Landing Pages</t>
        </is>
      </c>
      <c r="C33" s="500" t="inlineStr">
        <is>
          <t>Tạo Landing Page "Tuyển Sinh 2026" (trang chính): Hero, USP, Chương trình, Cơ sở, Testimonial, FAQ, Form CTA</t>
        </is>
      </c>
      <c r="D33" s="500" t="inlineStr">
        <is>
          <t>4 giờ</t>
        </is>
      </c>
      <c r="E33" s="500" t="inlineStr">
        <is>
          <t>Marketing Lead + Designer</t>
        </is>
      </c>
      <c r="F33" s="500" t="inlineStr">
        <is>
          <t>⬜</t>
        </is>
      </c>
      <c r="G33" s="500" t="inlineStr">
        <is>
          <t>05-06/04</t>
        </is>
      </c>
      <c r="H33" s="500" t="inlineStr">
        <is>
          <t>Bước 13-14</t>
        </is>
      </c>
      <c r="I33" s="500" t="inlineStr">
        <is>
          <t>Mobile-first design</t>
        </is>
      </c>
      <c r="J33" s="500" t="inlineStr"/>
    </row>
    <row r="34">
      <c r="A34" s="499" t="inlineStr">
        <is>
          <t>17</t>
        </is>
      </c>
      <c r="B34" s="499" t="inlineStr">
        <is>
          <t>Landing Pages</t>
        </is>
      </c>
      <c r="C34" s="499" t="inlineStr">
        <is>
          <t>Tạo 6 Landing Pages cho từng cơ sở: customize thông tin, hình ảnh, form riêng</t>
        </is>
      </c>
      <c r="D34" s="499" t="inlineStr">
        <is>
          <t>6 giờ</t>
        </is>
      </c>
      <c r="E34" s="499" t="inlineStr">
        <is>
          <t>Marketing Lead + Designer</t>
        </is>
      </c>
      <c r="F34" s="499" t="inlineStr">
        <is>
          <t>⬜</t>
        </is>
      </c>
      <c r="G34" s="499" t="inlineStr">
        <is>
          <t>07-08/04</t>
        </is>
      </c>
      <c r="H34" s="499" t="inlineStr">
        <is>
          <t>Bước 16</t>
        </is>
      </c>
      <c r="I34" s="499" t="inlineStr">
        <is>
          <t>Clone từ master LP</t>
        </is>
      </c>
      <c r="J34" s="499" t="inlineStr"/>
    </row>
    <row r="35">
      <c r="A35" s="500" t="inlineStr">
        <is>
          <t>18</t>
        </is>
      </c>
      <c r="B35" s="500" t="inlineStr">
        <is>
          <t>Landing Pages</t>
        </is>
      </c>
      <c r="C35" s="500" t="inlineStr">
        <is>
          <t>Tạo Landing Page "Webinar" + "Open Day" + "Scholarship"</t>
        </is>
      </c>
      <c r="D35" s="500" t="inlineStr">
        <is>
          <t>3 giờ</t>
        </is>
      </c>
      <c r="E35" s="500" t="inlineStr">
        <is>
          <t>Marketing Lead</t>
        </is>
      </c>
      <c r="F35" s="500" t="inlineStr">
        <is>
          <t>⬜</t>
        </is>
      </c>
      <c r="G35" s="500" t="inlineStr">
        <is>
          <t>08-09/04</t>
        </is>
      </c>
      <c r="H35" s="500" t="inlineStr">
        <is>
          <t>Bước 16</t>
        </is>
      </c>
      <c r="I35" s="500" t="inlineStr"/>
      <c r="J35" s="500" t="inlineStr"/>
    </row>
    <row r="36">
      <c r="A36" s="499" t="inlineStr">
        <is>
          <t>19</t>
        </is>
      </c>
      <c r="B36" s="499" t="inlineStr">
        <is>
          <t>Calendar</t>
        </is>
      </c>
      <c r="C36" s="499" t="inlineStr">
        <is>
          <t>Setup GHL Calendar cho Tour trường: 6 calendars (1/cơ sở), slots T2-T7, 8:00-16:00, 45 phút/slot</t>
        </is>
      </c>
      <c r="D36" s="499" t="inlineStr">
        <is>
          <t>2 giờ</t>
        </is>
      </c>
      <c r="E36" s="499" t="inlineStr">
        <is>
          <t>Marketing Lead</t>
        </is>
      </c>
      <c r="F36" s="499" t="inlineStr">
        <is>
          <t>⬜</t>
        </is>
      </c>
      <c r="G36" s="499" t="inlineStr">
        <is>
          <t>09/04</t>
        </is>
      </c>
      <c r="H36" s="499" t="inlineStr">
        <is>
          <t>Bước 3</t>
        </is>
      </c>
      <c r="I36" s="499" t="inlineStr">
        <is>
          <t>Round-robin cho tư vấn viên</t>
        </is>
      </c>
      <c r="J36" s="499" t="inlineStr"/>
    </row>
    <row r="37">
      <c r="A37" s="500" t="inlineStr">
        <is>
          <t>20</t>
        </is>
      </c>
      <c r="B37" s="500" t="inlineStr">
        <is>
          <t>Calendar</t>
        </is>
      </c>
      <c r="C37" s="500" t="inlineStr">
        <is>
          <t>Cấu hình Calendar notifications: email + SMS xác nhận, nhắc 24h + 2h trước</t>
        </is>
      </c>
      <c r="D37" s="500" t="inlineStr">
        <is>
          <t>1 giờ</t>
        </is>
      </c>
      <c r="E37" s="500" t="inlineStr">
        <is>
          <t>Marketing Lead</t>
        </is>
      </c>
      <c r="F37" s="500" t="inlineStr">
        <is>
          <t>⬜</t>
        </is>
      </c>
      <c r="G37" s="500" t="inlineStr">
        <is>
          <t>09/04</t>
        </is>
      </c>
      <c r="H37" s="500" t="inlineStr">
        <is>
          <t>Bước 19</t>
        </is>
      </c>
      <c r="I37" s="500" t="inlineStr"/>
      <c r="J37" s="500" t="inlineStr"/>
    </row>
    <row r="38">
      <c r="A38" s="499" t="inlineStr">
        <is>
          <t>21</t>
        </is>
      </c>
      <c r="B38" s="499" t="inlineStr">
        <is>
          <t>Workflows</t>
        </is>
      </c>
      <c r="C38" s="499" t="inlineStr">
        <is>
          <t>Tạo Workflow "Welcome New Lead": Trigger form submit → Add tag → Assign tư vấn viên → Send email welcome → Send SMS → Wait 1h → If no response → Send Zalo</t>
        </is>
      </c>
      <c r="D38" s="499" t="inlineStr">
        <is>
          <t>2 giờ</t>
        </is>
      </c>
      <c r="E38" s="499" t="inlineStr">
        <is>
          <t>Marketing Lead</t>
        </is>
      </c>
      <c r="F38" s="499" t="inlineStr">
        <is>
          <t>⬜</t>
        </is>
      </c>
      <c r="G38" s="499" t="inlineStr">
        <is>
          <t>10/04</t>
        </is>
      </c>
      <c r="H38" s="499" t="inlineStr">
        <is>
          <t>Bước 13-14</t>
        </is>
      </c>
      <c r="I38" s="499" t="inlineStr">
        <is>
          <t>Test end-to-end</t>
        </is>
      </c>
      <c r="J38" s="499" t="inlineStr"/>
    </row>
    <row r="39">
      <c r="A39" s="500" t="inlineStr">
        <is>
          <t>22</t>
        </is>
      </c>
      <c r="B39" s="500" t="inlineStr">
        <is>
          <t>Workflows</t>
        </is>
      </c>
      <c r="C39" s="500" t="inlineStr">
        <is>
          <t>Tạo Workflow "Lead Nurture": Day 1 → Email 1 → Day 3 → Email 2 → Day 5 → SMS → Day 7 → Zalo → Day 10 → Email 3 + Webinar invite</t>
        </is>
      </c>
      <c r="D39" s="500" t="inlineStr">
        <is>
          <t>2 giờ</t>
        </is>
      </c>
      <c r="E39" s="500" t="inlineStr">
        <is>
          <t>Marketing Lead</t>
        </is>
      </c>
      <c r="F39" s="500" t="inlineStr">
        <is>
          <t>⬜</t>
        </is>
      </c>
      <c r="G39" s="500" t="inlineStr">
        <is>
          <t>10/04</t>
        </is>
      </c>
      <c r="H39" s="500" t="inlineStr">
        <is>
          <t>Bước 21</t>
        </is>
      </c>
      <c r="I39" s="500" t="inlineStr">
        <is>
          <t>If/Else cho từng cấp học</t>
        </is>
      </c>
      <c r="J39" s="500" t="inlineStr"/>
    </row>
    <row r="40">
      <c r="A40" s="499" t="inlineStr">
        <is>
          <t>23</t>
        </is>
      </c>
      <c r="B40" s="499" t="inlineStr">
        <is>
          <t>Workflows</t>
        </is>
      </c>
      <c r="C40" s="499" t="inlineStr">
        <is>
          <t>Tạo Workflow "Tour Reminder": Tour booked → Confirm email → -24h SMS → -2h Zalo → +1h post-tour email → +24h feedback form → If no-show → Reschedule workflow</t>
        </is>
      </c>
      <c r="D40" s="499" t="inlineStr">
        <is>
          <t>2 giờ</t>
        </is>
      </c>
      <c r="E40" s="499" t="inlineStr">
        <is>
          <t>Marketing Lead</t>
        </is>
      </c>
      <c r="F40" s="499" t="inlineStr">
        <is>
          <t>⬜</t>
        </is>
      </c>
      <c r="G40" s="499" t="inlineStr">
        <is>
          <t>11/04</t>
        </is>
      </c>
      <c r="H40" s="499" t="inlineStr">
        <is>
          <t>Bước 19-20</t>
        </is>
      </c>
      <c r="I40" s="499" t="inlineStr"/>
      <c r="J40" s="499" t="inlineStr"/>
    </row>
    <row r="41">
      <c r="A41" s="500" t="inlineStr">
        <is>
          <t>24</t>
        </is>
      </c>
      <c r="B41" s="500" t="inlineStr">
        <is>
          <t>Workflows</t>
        </is>
      </c>
      <c r="C41" s="500" t="inlineStr">
        <is>
          <t>Tạo Workflow "Post-Tour Follow-up": Tour completed → +1 day thank you → +3 days testimonial request → +5 days enrollment offer → +7 days urgency</t>
        </is>
      </c>
      <c r="D41" s="500" t="inlineStr">
        <is>
          <t>1.5 giờ</t>
        </is>
      </c>
      <c r="E41" s="500" t="inlineStr">
        <is>
          <t>Marketing Lead</t>
        </is>
      </c>
      <c r="F41" s="500" t="inlineStr">
        <is>
          <t>⬜</t>
        </is>
      </c>
      <c r="G41" s="500" t="inlineStr">
        <is>
          <t>11/04</t>
        </is>
      </c>
      <c r="H41" s="500" t="inlineStr">
        <is>
          <t>Bước 23</t>
        </is>
      </c>
      <c r="I41" s="500" t="inlineStr"/>
      <c r="J41" s="500" t="inlineStr"/>
    </row>
    <row r="42">
      <c r="A42" s="499" t="inlineStr">
        <is>
          <t>25</t>
        </is>
      </c>
      <c r="B42" s="499" t="inlineStr">
        <is>
          <t>Workflows</t>
        </is>
      </c>
      <c r="C42" s="499" t="inlineStr">
        <is>
          <t>Tạo Workflow "Webinar Registration": Register → Confirm email → -24h reminder → -1h reminder → Post-webinar: replay + CTA → +2 days follow-up</t>
        </is>
      </c>
      <c r="D42" s="499" t="inlineStr">
        <is>
          <t>1.5 giờ</t>
        </is>
      </c>
      <c r="E42" s="499" t="inlineStr">
        <is>
          <t>Marketing Lead</t>
        </is>
      </c>
      <c r="F42" s="499" t="inlineStr">
        <is>
          <t>⬜</t>
        </is>
      </c>
      <c r="G42" s="499" t="inlineStr">
        <is>
          <t>12/04</t>
        </is>
      </c>
      <c r="H42" s="499" t="inlineStr">
        <is>
          <t>Bước 14</t>
        </is>
      </c>
      <c r="I42" s="499" t="inlineStr"/>
      <c r="J42" s="499" t="inlineStr"/>
    </row>
    <row r="43">
      <c r="A43" s="500" t="inlineStr">
        <is>
          <t>26</t>
        </is>
      </c>
      <c r="B43" s="500" t="inlineStr">
        <is>
          <t>Workflows</t>
        </is>
      </c>
      <c r="C43" s="500" t="inlineStr">
        <is>
          <t>Tạo Workflow "Re-engagement": 14 days no activity → Email win-back → 7 days → SMS → 7 days → Zalo → 7 days → Mark as Cold</t>
        </is>
      </c>
      <c r="D43" s="500" t="inlineStr">
        <is>
          <t>1 giờ</t>
        </is>
      </c>
      <c r="E43" s="500" t="inlineStr">
        <is>
          <t>Marketing Lead</t>
        </is>
      </c>
      <c r="F43" s="500" t="inlineStr">
        <is>
          <t>⬜</t>
        </is>
      </c>
      <c r="G43" s="500" t="inlineStr">
        <is>
          <t>12/04</t>
        </is>
      </c>
      <c r="H43" s="500" t="inlineStr">
        <is>
          <t>Bước 22</t>
        </is>
      </c>
      <c r="I43" s="500" t="inlineStr"/>
      <c r="J43" s="500" t="inlineStr"/>
    </row>
    <row r="44">
      <c r="A44" s="499" t="inlineStr">
        <is>
          <t>27</t>
        </is>
      </c>
      <c r="B44" s="499" t="inlineStr">
        <is>
          <t>Workflows</t>
        </is>
      </c>
      <c r="C44" s="499" t="inlineStr">
        <is>
          <t>Tạo Workflow "Scholarship Application": Apply → Confirm → Admin review → Approved/Rejected → Email notification → If approved → Enrollment workflow</t>
        </is>
      </c>
      <c r="D44" s="499" t="inlineStr">
        <is>
          <t>1.5 giờ</t>
        </is>
      </c>
      <c r="E44" s="499" t="inlineStr">
        <is>
          <t>Marketing Lead</t>
        </is>
      </c>
      <c r="F44" s="499" t="inlineStr">
        <is>
          <t>⬜</t>
        </is>
      </c>
      <c r="G44" s="499" t="inlineStr">
        <is>
          <t>13/04</t>
        </is>
      </c>
      <c r="H44" s="499" t="inlineStr">
        <is>
          <t>Bước 14</t>
        </is>
      </c>
      <c r="I44" s="499" t="inlineStr"/>
      <c r="J44" s="499" t="inlineStr"/>
    </row>
    <row r="45">
      <c r="A45" s="500" t="inlineStr">
        <is>
          <t>28</t>
        </is>
      </c>
      <c r="B45" s="500" t="inlineStr">
        <is>
          <t>Workflows</t>
        </is>
      </c>
      <c r="C45" s="500" t="inlineStr">
        <is>
          <t>Tạo Workflow "Referral Program": PH giới thiệu → Form submit → Tag referrer → Thank you → Track enrollment → If enrolled → Reward email</t>
        </is>
      </c>
      <c r="D45" s="500" t="inlineStr">
        <is>
          <t>1 giờ</t>
        </is>
      </c>
      <c r="E45" s="500" t="inlineStr">
        <is>
          <t>Marketing Lead</t>
        </is>
      </c>
      <c r="F45" s="500" t="inlineStr">
        <is>
          <t>⬜</t>
        </is>
      </c>
      <c r="G45" s="500" t="inlineStr">
        <is>
          <t>13/04</t>
        </is>
      </c>
      <c r="H45" s="500" t="inlineStr">
        <is>
          <t>Bước 13</t>
        </is>
      </c>
      <c r="I45" s="500" t="inlineStr"/>
      <c r="J45" s="500" t="inlineStr"/>
    </row>
    <row r="46">
      <c r="A46" s="499" t="inlineStr">
        <is>
          <t>29</t>
        </is>
      </c>
      <c r="B46" s="499" t="inlineStr">
        <is>
          <t>Email Templates</t>
        </is>
      </c>
      <c r="C46" s="499" t="inlineStr">
        <is>
          <t>Tạo 6 Email Templates: Welcome, Tour Confirm, Webinar Invite, Scholarship, Enrollment Offer, Re-engage</t>
        </is>
      </c>
      <c r="D46" s="499" t="inlineStr">
        <is>
          <t>3 giờ</t>
        </is>
      </c>
      <c r="E46" s="499" t="inlineStr">
        <is>
          <t>Content + Designer</t>
        </is>
      </c>
      <c r="F46" s="499" t="inlineStr">
        <is>
          <t>⬜</t>
        </is>
      </c>
      <c r="G46" s="499" t="inlineStr">
        <is>
          <t>14/04</t>
        </is>
      </c>
      <c r="H46" s="499" t="inlineStr">
        <is>
          <t>Bước 21-28</t>
        </is>
      </c>
      <c r="I46" s="499" t="inlineStr">
        <is>
          <t>HTML responsive design</t>
        </is>
      </c>
      <c r="J46" s="499" t="inlineStr"/>
    </row>
    <row r="47">
      <c r="A47" s="500" t="inlineStr">
        <is>
          <t>30</t>
        </is>
      </c>
      <c r="B47" s="500" t="inlineStr">
        <is>
          <t>Email Templates</t>
        </is>
      </c>
      <c r="C47" s="500" t="inlineStr">
        <is>
          <t>Tạo Email Newsletter template: header, body sections, CTA buttons, footer, unsubscribe</t>
        </is>
      </c>
      <c r="D47" s="500" t="inlineStr">
        <is>
          <t>1.5 giờ</t>
        </is>
      </c>
      <c r="E47" s="500" t="inlineStr">
        <is>
          <t>Designer</t>
        </is>
      </c>
      <c r="F47" s="500" t="inlineStr">
        <is>
          <t>⬜</t>
        </is>
      </c>
      <c r="G47" s="500" t="inlineStr">
        <is>
          <t>14/04</t>
        </is>
      </c>
      <c r="H47" s="500" t="inlineStr">
        <is>
          <t>Bước 29</t>
        </is>
      </c>
      <c r="I47" s="500" t="inlineStr">
        <is>
          <t>Brand colors + logo</t>
        </is>
      </c>
      <c r="J47" s="500" t="inlineStr"/>
    </row>
    <row r="48">
      <c r="A48" s="499" t="inlineStr">
        <is>
          <t>31</t>
        </is>
      </c>
      <c r="B48" s="499" t="inlineStr">
        <is>
          <t>SMS Setup</t>
        </is>
      </c>
      <c r="C48" s="499" t="inlineStr">
        <is>
          <t>Đăng ký SMS Brandname "TRUONGVA" qua provider (eSMS/SpeedSMS)</t>
        </is>
      </c>
      <c r="D48" s="499" t="inlineStr">
        <is>
          <t>2 ngày</t>
        </is>
      </c>
      <c r="E48" s="499" t="inlineStr">
        <is>
          <t>IT Admin</t>
        </is>
      </c>
      <c r="F48" s="499" t="inlineStr">
        <is>
          <t>⬜</t>
        </is>
      </c>
      <c r="G48" s="499" t="inlineStr">
        <is>
          <t>01-03/04</t>
        </is>
      </c>
      <c r="H48" s="499" t="inlineStr">
        <is>
          <t>-</t>
        </is>
      </c>
      <c r="I48" s="499" t="inlineStr">
        <is>
          <t>Cần giấy phép</t>
        </is>
      </c>
      <c r="J48" s="499" t="inlineStr"/>
    </row>
    <row r="49">
      <c r="A49" s="500" t="inlineStr">
        <is>
          <t>32</t>
        </is>
      </c>
      <c r="B49" s="500" t="inlineStr">
        <is>
          <t>SMS Setup</t>
        </is>
      </c>
      <c r="C49" s="500" t="inlineStr">
        <is>
          <t>Kết nối SMS provider với GHL qua API/webhook</t>
        </is>
      </c>
      <c r="D49" s="500" t="inlineStr">
        <is>
          <t>1 giờ</t>
        </is>
      </c>
      <c r="E49" s="500" t="inlineStr">
        <is>
          <t>IT Admin</t>
        </is>
      </c>
      <c r="F49" s="500" t="inlineStr">
        <is>
          <t>⬜</t>
        </is>
      </c>
      <c r="G49" s="500" t="inlineStr">
        <is>
          <t>04/04</t>
        </is>
      </c>
      <c r="H49" s="500" t="inlineStr">
        <is>
          <t>Bước 31</t>
        </is>
      </c>
      <c r="I49" s="500" t="inlineStr">
        <is>
          <t>Test gửi/nhận</t>
        </is>
      </c>
      <c r="J49" s="500" t="inlineStr"/>
    </row>
    <row r="50">
      <c r="A50" s="499" t="inlineStr">
        <is>
          <t>33</t>
        </is>
      </c>
      <c r="B50" s="499" t="inlineStr">
        <is>
          <t>SMS Setup</t>
        </is>
      </c>
      <c r="C50" s="499" t="inlineStr">
        <is>
          <t>Tạo SMS templates: Confirm tour (60 ký tự), Reminder (60 ký tự), Thank you (60 ký tự)</t>
        </is>
      </c>
      <c r="D50" s="499" t="inlineStr">
        <is>
          <t>1 giờ</t>
        </is>
      </c>
      <c r="E50" s="499" t="inlineStr">
        <is>
          <t>Content Writer</t>
        </is>
      </c>
      <c r="F50" s="499" t="inlineStr">
        <is>
          <t>⬜</t>
        </is>
      </c>
      <c r="G50" s="499" t="inlineStr">
        <is>
          <t>04/04</t>
        </is>
      </c>
      <c r="H50" s="499" t="inlineStr">
        <is>
          <t>Bước 32</t>
        </is>
      </c>
      <c r="I50" s="499" t="inlineStr">
        <is>
          <t>Ngắn gọn, có link</t>
        </is>
      </c>
      <c r="J50" s="499" t="inlineStr"/>
    </row>
    <row r="51">
      <c r="A51" s="500" t="inlineStr">
        <is>
          <t>34</t>
        </is>
      </c>
      <c r="B51" s="500" t="inlineStr">
        <is>
          <t>Tracking</t>
        </is>
      </c>
      <c r="C51" s="500" t="inlineStr">
        <is>
          <t>Cài đặt GHL tracking code trên website truongvietanh.com + tất cả landing pages</t>
        </is>
      </c>
      <c r="D51" s="500" t="inlineStr">
        <is>
          <t>1 giờ</t>
        </is>
      </c>
      <c r="E51" s="500" t="inlineStr">
        <is>
          <t>IT Admin</t>
        </is>
      </c>
      <c r="F51" s="500" t="inlineStr">
        <is>
          <t>⬜</t>
        </is>
      </c>
      <c r="G51" s="500" t="inlineStr">
        <is>
          <t>05/04</t>
        </is>
      </c>
      <c r="H51" s="500" t="inlineStr">
        <is>
          <t>Bước 16-18</t>
        </is>
      </c>
      <c r="I51" s="500" t="inlineStr">
        <is>
          <t>Verify bằng GHL debugger</t>
        </is>
      </c>
      <c r="J51" s="500" t="inlineStr"/>
    </row>
    <row r="52">
      <c r="A52" s="499" t="inlineStr">
        <is>
          <t>35</t>
        </is>
      </c>
      <c r="B52" s="499" t="inlineStr">
        <is>
          <t>Tracking</t>
        </is>
      </c>
      <c r="C52" s="499" t="inlineStr">
        <is>
          <t>Setup UTM parameter tracking: tạo UTM builder template cho team, cấu hình auto-capture trên forms</t>
        </is>
      </c>
      <c r="D52" s="499" t="inlineStr">
        <is>
          <t>1 giờ</t>
        </is>
      </c>
      <c r="E52" s="499" t="inlineStr">
        <is>
          <t>Marketing Lead</t>
        </is>
      </c>
      <c r="F52" s="499" t="inlineStr">
        <is>
          <t>⬜</t>
        </is>
      </c>
      <c r="G52" s="499" t="inlineStr">
        <is>
          <t>05/04</t>
        </is>
      </c>
      <c r="H52" s="499" t="inlineStr">
        <is>
          <t>Bước 13</t>
        </is>
      </c>
      <c r="I52" s="499" t="inlineStr">
        <is>
          <t>Chuẩn hóa UTM naming convention</t>
        </is>
      </c>
      <c r="J52" s="499" t="inlineStr"/>
    </row>
    <row r="53">
      <c r="A53" s="500" t="inlineStr">
        <is>
          <t>36</t>
        </is>
      </c>
      <c r="B53" s="500" t="inlineStr">
        <is>
          <t>Tracking</t>
        </is>
      </c>
      <c r="C53" s="500" t="inlineStr">
        <is>
          <t>Kết nối Facebook Pixel + Conversions API (CAPI) với GHL</t>
        </is>
      </c>
      <c r="D53" s="500" t="inlineStr">
        <is>
          <t>2 giờ</t>
        </is>
      </c>
      <c r="E53" s="500" t="inlineStr">
        <is>
          <t>IT Admin</t>
        </is>
      </c>
      <c r="F53" s="500" t="inlineStr">
        <is>
          <t>⬜</t>
        </is>
      </c>
      <c r="G53" s="500" t="inlineStr">
        <is>
          <t>06/04</t>
        </is>
      </c>
      <c r="H53" s="500" t="inlineStr">
        <is>
          <t>Bước 34</t>
        </is>
      </c>
      <c r="I53" s="500" t="inlineStr">
        <is>
          <t>Server-side tracking cho iOS 14+</t>
        </is>
      </c>
      <c r="J53" s="500" t="inlineStr"/>
    </row>
    <row r="54">
      <c r="A54" s="499" t="inlineStr">
        <is>
          <t>37</t>
        </is>
      </c>
      <c r="B54" s="499" t="inlineStr">
        <is>
          <t>Tracking</t>
        </is>
      </c>
      <c r="C54" s="499" t="inlineStr">
        <is>
          <t>Setup Google Analytics 4 + Google Tag Manager trên GHL pages</t>
        </is>
      </c>
      <c r="D54" s="499" t="inlineStr">
        <is>
          <t>1 giờ</t>
        </is>
      </c>
      <c r="E54" s="499" t="inlineStr">
        <is>
          <t>IT Admin</t>
        </is>
      </c>
      <c r="F54" s="499" t="inlineStr">
        <is>
          <t>⬜</t>
        </is>
      </c>
      <c r="G54" s="499" t="inlineStr">
        <is>
          <t>06/04</t>
        </is>
      </c>
      <c r="H54" s="499" t="inlineStr">
        <is>
          <t>Bước 34</t>
        </is>
      </c>
      <c r="I54" s="499" t="inlineStr">
        <is>
          <t>Enhanced conversions</t>
        </is>
      </c>
      <c r="J54" s="499" t="inlineStr"/>
    </row>
    <row r="55">
      <c r="A55" s="500" t="inlineStr">
        <is>
          <t>38</t>
        </is>
      </c>
      <c r="B55" s="500" t="inlineStr">
        <is>
          <t>Reporting</t>
        </is>
      </c>
      <c r="C55" s="500" t="inlineStr">
        <is>
          <t>Tạo GHL Dashboard: Pipeline overview, Lead sources, Conversion rates, Revenue tracking</t>
        </is>
      </c>
      <c r="D55" s="500" t="inlineStr">
        <is>
          <t>2 giờ</t>
        </is>
      </c>
      <c r="E55" s="500" t="inlineStr">
        <is>
          <t>Marketing Lead</t>
        </is>
      </c>
      <c r="F55" s="500" t="inlineStr">
        <is>
          <t>⬜</t>
        </is>
      </c>
      <c r="G55" s="500" t="inlineStr">
        <is>
          <t>15/04</t>
        </is>
      </c>
      <c r="H55" s="500" t="inlineStr">
        <is>
          <t>Bước 6-37</t>
        </is>
      </c>
      <c r="I55" s="500" t="inlineStr"/>
      <c r="J55" s="500" t="inlineStr"/>
    </row>
    <row r="56">
      <c r="A56" s="499" t="inlineStr">
        <is>
          <t>39</t>
        </is>
      </c>
      <c r="B56" s="499" t="inlineStr">
        <is>
          <t>Reporting</t>
        </is>
      </c>
      <c r="C56" s="499" t="inlineStr">
        <is>
          <t>Setup automated weekly report: email to management mỗi T2 sáng</t>
        </is>
      </c>
      <c r="D56" s="499" t="inlineStr">
        <is>
          <t>1 giờ</t>
        </is>
      </c>
      <c r="E56" s="499" t="inlineStr">
        <is>
          <t>Marketing Lead</t>
        </is>
      </c>
      <c r="F56" s="499" t="inlineStr">
        <is>
          <t>⬜</t>
        </is>
      </c>
      <c r="G56" s="499" t="inlineStr">
        <is>
          <t>15/04</t>
        </is>
      </c>
      <c r="H56" s="499" t="inlineStr">
        <is>
          <t>Bước 38</t>
        </is>
      </c>
      <c r="I56" s="499" t="inlineStr"/>
      <c r="J56" s="499" t="inlineStr"/>
    </row>
    <row r="57">
      <c r="A57" s="500" t="inlineStr">
        <is>
          <t>40</t>
        </is>
      </c>
      <c r="B57" s="500" t="inlineStr">
        <is>
          <t>Testing</t>
        </is>
      </c>
      <c r="C57" s="500" t="inlineStr">
        <is>
          <t>Test end-to-end: Submit form → GHL contact created → Pipeline stage → Workflow triggered → Email/SMS sent → Pancake synced</t>
        </is>
      </c>
      <c r="D57" s="500" t="inlineStr">
        <is>
          <t>3 giờ</t>
        </is>
      </c>
      <c r="E57" s="500" t="inlineStr">
        <is>
          <t>Cả team</t>
        </is>
      </c>
      <c r="F57" s="500" t="inlineStr">
        <is>
          <t>⬜</t>
        </is>
      </c>
      <c r="G57" s="500" t="inlineStr">
        <is>
          <t>16/04</t>
        </is>
      </c>
      <c r="H57" s="500" t="inlineStr">
        <is>
          <t>Bước 1-39</t>
        </is>
      </c>
      <c r="I57" s="500" t="inlineStr">
        <is>
          <t>Dùng test contact</t>
        </is>
      </c>
      <c r="J57" s="500" t="inlineStr"/>
    </row>
    <row r="58">
      <c r="A58" s="499" t="inlineStr">
        <is>
          <t>41</t>
        </is>
      </c>
      <c r="B58" s="499" t="inlineStr">
        <is>
          <t>Testing</t>
        </is>
      </c>
      <c r="C58" s="499" t="inlineStr">
        <is>
          <t>Test mỗi workflow riêng lẻ với test contacts. Fix bugs, adjust timing</t>
        </is>
      </c>
      <c r="D58" s="499" t="inlineStr">
        <is>
          <t>4 giờ</t>
        </is>
      </c>
      <c r="E58" s="499" t="inlineStr">
        <is>
          <t>Marketing Lead</t>
        </is>
      </c>
      <c r="F58" s="499" t="inlineStr">
        <is>
          <t>⬜</t>
        </is>
      </c>
      <c r="G58" s="499" t="inlineStr">
        <is>
          <t>16-17/04</t>
        </is>
      </c>
      <c r="H58" s="499" t="inlineStr">
        <is>
          <t>Bước 40</t>
        </is>
      </c>
      <c r="I58" s="499" t="inlineStr">
        <is>
          <t>Log mọi lỗi</t>
        </is>
      </c>
      <c r="J58" s="499" t="inlineStr"/>
    </row>
    <row r="59">
      <c r="A59" s="500" t="inlineStr">
        <is>
          <t>42</t>
        </is>
      </c>
      <c r="B59" s="500" t="inlineStr">
        <is>
          <t>Testing</t>
        </is>
      </c>
      <c r="C59" s="500" t="inlineStr">
        <is>
          <t>UAT (User Acceptance Testing): tư vấn viên test quy trình thực tế</t>
        </is>
      </c>
      <c r="D59" s="500" t="inlineStr">
        <is>
          <t>4 giờ</t>
        </is>
      </c>
      <c r="E59" s="500" t="inlineStr">
        <is>
          <t>Tư vấn viên</t>
        </is>
      </c>
      <c r="F59" s="500" t="inlineStr">
        <is>
          <t>⬜</t>
        </is>
      </c>
      <c r="G59" s="500" t="inlineStr">
        <is>
          <t>17-18/04</t>
        </is>
      </c>
      <c r="H59" s="500" t="inlineStr">
        <is>
          <t>Bước 41</t>
        </is>
      </c>
      <c r="I59" s="500" t="inlineStr">
        <is>
          <t>Checklist UAT</t>
        </is>
      </c>
      <c r="J59" s="500" t="inlineStr"/>
    </row>
    <row r="60">
      <c r="A60" s="499" t="inlineStr">
        <is>
          <t>43</t>
        </is>
      </c>
      <c r="B60" s="499" t="inlineStr">
        <is>
          <t>Training</t>
        </is>
      </c>
      <c r="C60" s="499" t="inlineStr">
        <is>
          <t>Training session 1: GHL overview cho toàn bộ team (2 giờ)</t>
        </is>
      </c>
      <c r="D60" s="499" t="inlineStr">
        <is>
          <t>2 giờ</t>
        </is>
      </c>
      <c r="E60" s="499" t="inlineStr">
        <is>
          <t>Marketing Lead</t>
        </is>
      </c>
      <c r="F60" s="499" t="inlineStr">
        <is>
          <t>⬜</t>
        </is>
      </c>
      <c r="G60" s="499" t="inlineStr">
        <is>
          <t>18/04</t>
        </is>
      </c>
      <c r="H60" s="499" t="inlineStr">
        <is>
          <t>Bước 42</t>
        </is>
      </c>
      <c r="I60" s="499" t="inlineStr">
        <is>
          <t>Record để xem lại</t>
        </is>
      </c>
      <c r="J60" s="499" t="inlineStr"/>
    </row>
    <row r="61">
      <c r="A61" s="500" t="inlineStr">
        <is>
          <t>44</t>
        </is>
      </c>
      <c r="B61" s="500" t="inlineStr">
        <is>
          <t>Training</t>
        </is>
      </c>
      <c r="C61" s="500" t="inlineStr">
        <is>
          <t>Training session 2: Pipeline management + Lead handling cho tư vấn viên (2 giờ)</t>
        </is>
      </c>
      <c r="D61" s="500" t="inlineStr">
        <is>
          <t>2 giờ</t>
        </is>
      </c>
      <c r="E61" s="500" t="inlineStr">
        <is>
          <t>Marketing Lead</t>
        </is>
      </c>
      <c r="F61" s="500" t="inlineStr">
        <is>
          <t>⬜</t>
        </is>
      </c>
      <c r="G61" s="500" t="inlineStr">
        <is>
          <t>19/04</t>
        </is>
      </c>
      <c r="H61" s="500" t="inlineStr">
        <is>
          <t>Bước 43</t>
        </is>
      </c>
      <c r="I61" s="500" t="inlineStr"/>
      <c r="J61" s="500" t="inlineStr"/>
    </row>
    <row r="62">
      <c r="A62" s="499" t="inlineStr">
        <is>
          <t>45</t>
        </is>
      </c>
      <c r="B62" s="499" t="inlineStr">
        <is>
          <t>Training</t>
        </is>
      </c>
      <c r="C62" s="499" t="inlineStr">
        <is>
          <t>Training session 3: Workflow monitoring + Reporting cho Marketing team (2 giờ)</t>
        </is>
      </c>
      <c r="D62" s="499" t="inlineStr">
        <is>
          <t>2 giờ</t>
        </is>
      </c>
      <c r="E62" s="499" t="inlineStr">
        <is>
          <t>Marketing Lead</t>
        </is>
      </c>
      <c r="F62" s="499" t="inlineStr">
        <is>
          <t>⬜</t>
        </is>
      </c>
      <c r="G62" s="499" t="inlineStr">
        <is>
          <t>19/04</t>
        </is>
      </c>
      <c r="H62" s="499" t="inlineStr">
        <is>
          <t>Bước 43</t>
        </is>
      </c>
      <c r="I62" s="499" t="inlineStr"/>
      <c r="J62" s="499" t="inlineStr"/>
    </row>
    <row r="63">
      <c r="A63" s="500" t="inlineStr">
        <is>
          <t>46</t>
        </is>
      </c>
      <c r="B63" s="500" t="inlineStr">
        <is>
          <t>Go-live</t>
        </is>
      </c>
      <c r="C63" s="500" t="inlineStr">
        <is>
          <t>Soft launch: chạy với 10% traffic (1 cơ sở) trong 3 ngày</t>
        </is>
      </c>
      <c r="D63" s="500" t="inlineStr">
        <is>
          <t>3 ngày</t>
        </is>
      </c>
      <c r="E63" s="500" t="inlineStr">
        <is>
          <t>Cả team</t>
        </is>
      </c>
      <c r="F63" s="500" t="inlineStr">
        <is>
          <t>⬜</t>
        </is>
      </c>
      <c r="G63" s="500" t="inlineStr">
        <is>
          <t>20-22/04</t>
        </is>
      </c>
      <c r="H63" s="500" t="inlineStr">
        <is>
          <t>Bước 42</t>
        </is>
      </c>
      <c r="I63" s="500" t="inlineStr">
        <is>
          <t>Monitor 24/7</t>
        </is>
      </c>
      <c r="J63" s="500" t="inlineStr"/>
    </row>
    <row r="64">
      <c r="A64" s="499" t="inlineStr">
        <is>
          <t>47</t>
        </is>
      </c>
      <c r="B64" s="499" t="inlineStr">
        <is>
          <t>Go-live</t>
        </is>
      </c>
      <c r="C64" s="499" t="inlineStr">
        <is>
          <t>Fix issues from soft launch, optimize workflows</t>
        </is>
      </c>
      <c r="D64" s="499" t="inlineStr">
        <is>
          <t>1 ngày</t>
        </is>
      </c>
      <c r="E64" s="499" t="inlineStr">
        <is>
          <t>Marketing Lead</t>
        </is>
      </c>
      <c r="F64" s="499" t="inlineStr">
        <is>
          <t>⬜</t>
        </is>
      </c>
      <c r="G64" s="499" t="inlineStr">
        <is>
          <t>23/04</t>
        </is>
      </c>
      <c r="H64" s="499" t="inlineStr">
        <is>
          <t>Bước 46</t>
        </is>
      </c>
      <c r="I64" s="499" t="inlineStr"/>
      <c r="J64" s="499" t="inlineStr"/>
    </row>
    <row r="65">
      <c r="A65" s="500" t="inlineStr">
        <is>
          <t>48</t>
        </is>
      </c>
      <c r="B65" s="500" t="inlineStr">
        <is>
          <t>Go-live</t>
        </is>
      </c>
      <c r="C65" s="500" t="inlineStr">
        <is>
          <t>Full launch: mở cho tất cả 6 cơ sở</t>
        </is>
      </c>
      <c r="D65" s="500" t="inlineStr">
        <is>
          <t>1 ngày</t>
        </is>
      </c>
      <c r="E65" s="500" t="inlineStr">
        <is>
          <t>Cả team</t>
        </is>
      </c>
      <c r="F65" s="500" t="inlineStr">
        <is>
          <t>⬜</t>
        </is>
      </c>
      <c r="G65" s="500" t="inlineStr">
        <is>
          <t>24/04</t>
        </is>
      </c>
      <c r="H65" s="500" t="inlineStr">
        <is>
          <t>Bước 47</t>
        </is>
      </c>
      <c r="I65" s="500" t="inlineStr">
        <is>
          <t>Thông báo toàn team</t>
        </is>
      </c>
      <c r="J65" s="500" t="inlineStr"/>
    </row>
    <row r="66">
      <c r="A66" s="499" t="inlineStr">
        <is>
          <t>49</t>
        </is>
      </c>
      <c r="B66" s="499" t="inlineStr">
        <is>
          <t>Go-live</t>
        </is>
      </c>
      <c r="C66" s="499" t="inlineStr">
        <is>
          <t>Monitor tuần đầu: check daily, fix issues realtime</t>
        </is>
      </c>
      <c r="D66" s="499" t="inlineStr">
        <is>
          <t>1 tuần</t>
        </is>
      </c>
      <c r="E66" s="499" t="inlineStr">
        <is>
          <t>Marketing Lead</t>
        </is>
      </c>
      <c r="F66" s="499" t="inlineStr">
        <is>
          <t>⬜</t>
        </is>
      </c>
      <c r="G66" s="499" t="inlineStr">
        <is>
          <t>24-30/04</t>
        </is>
      </c>
      <c r="H66" s="499" t="inlineStr">
        <is>
          <t>Bước 48</t>
        </is>
      </c>
      <c r="I66" s="499" t="inlineStr">
        <is>
          <t>Daily standup 15 phút</t>
        </is>
      </c>
      <c r="J66" s="499" t="inlineStr"/>
    </row>
    <row r="67">
      <c r="A67" s="500" t="inlineStr">
        <is>
          <t>50</t>
        </is>
      </c>
      <c r="B67" s="500" t="inlineStr">
        <is>
          <t>Go-live</t>
        </is>
      </c>
      <c r="C67" s="500" t="inlineStr">
        <is>
          <t>Review &amp; Optimize: báo cáo tuần đầu, điều chỉnh workflows, update SOPs</t>
        </is>
      </c>
      <c r="D67" s="500" t="inlineStr">
        <is>
          <t>1 ngày</t>
        </is>
      </c>
      <c r="E67" s="500" t="inlineStr">
        <is>
          <t>Marketing Lead</t>
        </is>
      </c>
      <c r="F67" s="500" t="inlineStr">
        <is>
          <t>⬜</t>
        </is>
      </c>
      <c r="G67" s="500" t="inlineStr">
        <is>
          <t>01/05</t>
        </is>
      </c>
      <c r="H67" s="500" t="inlineStr">
        <is>
          <t>Bước 49</t>
        </is>
      </c>
      <c r="I67" s="500" t="inlineStr">
        <is>
          <t>Document lessons learned</t>
        </is>
      </c>
      <c r="J67" s="500" t="inlineStr"/>
    </row>
    <row r="69">
      <c r="A69" s="494" t="inlineStr">
        <is>
          <t>C. SETUP PANCAKE CRM — 20 BƯỚC CHI TIẾT</t>
        </is>
      </c>
    </row>
    <row r="70">
      <c r="A70" s="495" t="inlineStr">
        <is>
          <t>Bước</t>
        </is>
      </c>
      <c r="B70" s="495" t="inlineStr">
        <is>
          <t>Nhóm</t>
        </is>
      </c>
      <c r="C70" s="495" t="inlineStr">
        <is>
          <t>Chi tiết</t>
        </is>
      </c>
      <c r="D70" s="495" t="inlineStr">
        <is>
          <t>Thời gian</t>
        </is>
      </c>
      <c r="E70" s="495" t="inlineStr">
        <is>
          <t>Người thực hiện</t>
        </is>
      </c>
      <c r="F70" s="495" t="inlineStr">
        <is>
          <t>Trạng thái</t>
        </is>
      </c>
      <c r="G70" s="495" t="inlineStr">
        <is>
          <t>Dependency</t>
        </is>
      </c>
      <c r="H70" s="495" t="inlineStr">
        <is>
          <t>Ghi chú</t>
        </is>
      </c>
    </row>
    <row r="71">
      <c r="A71" s="499" t="inlineStr">
        <is>
          <t>1</t>
        </is>
      </c>
      <c r="B71" s="499" t="inlineStr">
        <is>
          <t>Account</t>
        </is>
      </c>
      <c r="C71" s="499" t="inlineStr">
        <is>
          <t>Đăng ký Pancake CRM gói Pro. Cấu hình workspace "Trường Việt Anh"</t>
        </is>
      </c>
      <c r="D71" s="499" t="inlineStr">
        <is>
          <t>30 phút</t>
        </is>
      </c>
      <c r="E71" s="499" t="inlineStr">
        <is>
          <t>IT Admin</t>
        </is>
      </c>
      <c r="F71" s="499" t="inlineStr">
        <is>
          <t>⬜</t>
        </is>
      </c>
      <c r="G71" s="499" t="inlineStr">
        <is>
          <t>-</t>
        </is>
      </c>
      <c r="H71" s="499" t="inlineStr">
        <is>
          <t>pancake.vn</t>
        </is>
      </c>
    </row>
    <row r="72">
      <c r="A72" s="500" t="inlineStr">
        <is>
          <t>2</t>
        </is>
      </c>
      <c r="B72" s="500" t="inlineStr">
        <is>
          <t>Account</t>
        </is>
      </c>
      <c r="C72" s="500" t="inlineStr">
        <is>
          <t>Kết nối 6 Facebook Pages (mỗi cơ sở 1 page) vào Pancake</t>
        </is>
      </c>
      <c r="D72" s="500" t="inlineStr">
        <is>
          <t>30 phút</t>
        </is>
      </c>
      <c r="E72" s="500" t="inlineStr">
        <is>
          <t>IT Admin</t>
        </is>
      </c>
      <c r="F72" s="500" t="inlineStr">
        <is>
          <t>⬜</t>
        </is>
      </c>
      <c r="G72" s="500" t="inlineStr">
        <is>
          <t>P-1</t>
        </is>
      </c>
      <c r="H72" s="500" t="inlineStr">
        <is>
          <t>Cần admin access FB Pages</t>
        </is>
      </c>
    </row>
    <row r="73">
      <c r="A73" s="499" t="inlineStr">
        <is>
          <t>3</t>
        </is>
      </c>
      <c r="B73" s="499" t="inlineStr">
        <is>
          <t>Account</t>
        </is>
      </c>
      <c r="C73" s="499" t="inlineStr">
        <is>
          <t>Kết nối Zalo OA vào Pancake (API integration)</t>
        </is>
      </c>
      <c r="D73" s="499" t="inlineStr">
        <is>
          <t>30 phút</t>
        </is>
      </c>
      <c r="E73" s="499" t="inlineStr">
        <is>
          <t>IT Admin</t>
        </is>
      </c>
      <c r="F73" s="499" t="inlineStr">
        <is>
          <t>⬜</t>
        </is>
      </c>
      <c r="G73" s="499" t="inlineStr">
        <is>
          <t>P-1</t>
        </is>
      </c>
      <c r="H73" s="499" t="inlineStr">
        <is>
          <t>Cần OA admin access</t>
        </is>
      </c>
    </row>
    <row r="74">
      <c r="A74" s="500" t="inlineStr">
        <is>
          <t>4</t>
        </is>
      </c>
      <c r="B74" s="500" t="inlineStr">
        <is>
          <t>Account</t>
        </is>
      </c>
      <c r="C74" s="500" t="inlineStr">
        <is>
          <t>Tạo user accounts: 6 tư vấn viên + 2 admin + 1 manager</t>
        </is>
      </c>
      <c r="D74" s="500" t="inlineStr">
        <is>
          <t>30 phút</t>
        </is>
      </c>
      <c r="E74" s="500" t="inlineStr">
        <is>
          <t>IT Admin</t>
        </is>
      </c>
      <c r="F74" s="500" t="inlineStr">
        <is>
          <t>⬜</t>
        </is>
      </c>
      <c r="G74" s="500" t="inlineStr">
        <is>
          <t>P-1</t>
        </is>
      </c>
      <c r="H74" s="500" t="inlineStr">
        <is>
          <t>Phân quyền theo cơ sở</t>
        </is>
      </c>
    </row>
    <row r="75">
      <c r="A75" s="499" t="inlineStr">
        <is>
          <t>5</t>
        </is>
      </c>
      <c r="B75" s="499" t="inlineStr">
        <is>
          <t>Tags &amp; Labels</t>
        </is>
      </c>
      <c r="C75" s="499" t="inlineStr">
        <is>
          <t>Tạo Tag system trong Pancake (giống GHL): Nguồn, Cấp học, Cơ sở, Hành vi</t>
        </is>
      </c>
      <c r="D75" s="499" t="inlineStr">
        <is>
          <t>45 phút</t>
        </is>
      </c>
      <c r="E75" s="499" t="inlineStr">
        <is>
          <t>Marketing Lead</t>
        </is>
      </c>
      <c r="F75" s="499" t="inlineStr">
        <is>
          <t>⬜</t>
        </is>
      </c>
      <c r="G75" s="499" t="inlineStr">
        <is>
          <t>P-1</t>
        </is>
      </c>
      <c r="H75" s="499" t="inlineStr">
        <is>
          <t>Phải match 1:1 với GHL tags</t>
        </is>
      </c>
    </row>
    <row r="76">
      <c r="A76" s="500" t="inlineStr">
        <is>
          <t>6</t>
        </is>
      </c>
      <c r="B76" s="500" t="inlineStr">
        <is>
          <t>Tags &amp; Labels</t>
        </is>
      </c>
      <c r="C76" s="500" t="inlineStr">
        <is>
          <t>Tạo Custom fields: Tên con, Tuổi con, Cấp học, Cơ sở, Trạng thái</t>
        </is>
      </c>
      <c r="D76" s="500" t="inlineStr">
        <is>
          <t>30 phút</t>
        </is>
      </c>
      <c r="E76" s="500" t="inlineStr">
        <is>
          <t>Marketing Lead</t>
        </is>
      </c>
      <c r="F76" s="500" t="inlineStr">
        <is>
          <t>⬜</t>
        </is>
      </c>
      <c r="G76" s="500" t="inlineStr">
        <is>
          <t>P-5</t>
        </is>
      </c>
      <c r="H76" s="500" t="inlineStr">
        <is>
          <t>Match GHL custom fields</t>
        </is>
      </c>
    </row>
    <row r="77">
      <c r="A77" s="499" t="inlineStr">
        <is>
          <t>7</t>
        </is>
      </c>
      <c r="B77" s="499" t="inlineStr">
        <is>
          <t>Automation</t>
        </is>
      </c>
      <c r="C77" s="499" t="inlineStr">
        <is>
          <t>Setup Auto-assign rules: lead từ FB Page cơ sở X → tư vấn viên cơ sở X</t>
        </is>
      </c>
      <c r="D77" s="499" t="inlineStr">
        <is>
          <t>1 giờ</t>
        </is>
      </c>
      <c r="E77" s="499" t="inlineStr">
        <is>
          <t>Marketing Lead</t>
        </is>
      </c>
      <c r="F77" s="499" t="inlineStr">
        <is>
          <t>⬜</t>
        </is>
      </c>
      <c r="G77" s="499" t="inlineStr">
        <is>
          <t>P-4,5</t>
        </is>
      </c>
      <c r="H77" s="499" t="inlineStr">
        <is>
          <t>Round-robin trong cơ sở</t>
        </is>
      </c>
    </row>
    <row r="78">
      <c r="A78" s="500" t="inlineStr">
        <is>
          <t>8</t>
        </is>
      </c>
      <c r="B78" s="500" t="inlineStr">
        <is>
          <t>Automation</t>
        </is>
      </c>
      <c r="C78" s="500" t="inlineStr">
        <is>
          <t>Setup Auto-tag rules: comment chứa "học phí" → tag "Hỏi học phí", "tham quan" → tag "Quan tâm tour"</t>
        </is>
      </c>
      <c r="D78" s="500" t="inlineStr">
        <is>
          <t>1 giờ</t>
        </is>
      </c>
      <c r="E78" s="500" t="inlineStr">
        <is>
          <t>Marketing Lead</t>
        </is>
      </c>
      <c r="F78" s="500" t="inlineStr">
        <is>
          <t>⬜</t>
        </is>
      </c>
      <c r="G78" s="500" t="inlineStr">
        <is>
          <t>P-5</t>
        </is>
      </c>
      <c r="H78" s="500" t="inlineStr">
        <is>
          <t>Regex matching</t>
        </is>
      </c>
    </row>
    <row r="79">
      <c r="A79" s="499" t="inlineStr">
        <is>
          <t>9</t>
        </is>
      </c>
      <c r="B79" s="499" t="inlineStr">
        <is>
          <t>Templates</t>
        </is>
      </c>
      <c r="C79" s="499" t="inlineStr">
        <is>
          <t>Tạo Quick Reply templates: 20 mẫu trả lời nhanh cho inbox FB/Zalo (học phí, chương trình, tour, sự kiện)</t>
        </is>
      </c>
      <c r="D79" s="499" t="inlineStr">
        <is>
          <t>2 giờ</t>
        </is>
      </c>
      <c r="E79" s="499" t="inlineStr">
        <is>
          <t>Content Writer</t>
        </is>
      </c>
      <c r="F79" s="499" t="inlineStr">
        <is>
          <t>⬜</t>
        </is>
      </c>
      <c r="G79" s="499" t="inlineStr">
        <is>
          <t>P-1</t>
        </is>
      </c>
      <c r="H79" s="499" t="inlineStr">
        <is>
          <t>Tiếng Việt tự nhiên</t>
        </is>
      </c>
    </row>
    <row r="80">
      <c r="A80" s="500" t="inlineStr">
        <is>
          <t>10</t>
        </is>
      </c>
      <c r="B80" s="500" t="inlineStr">
        <is>
          <t>Templates</t>
        </is>
      </c>
      <c r="C80" s="500" t="inlineStr">
        <is>
          <t>Tạo Comment Reply templates: 10 mẫu trả lời comment (cảm ơn, mời inbox, trả lời FAQ)</t>
        </is>
      </c>
      <c r="D80" s="500" t="inlineStr">
        <is>
          <t>1 giờ</t>
        </is>
      </c>
      <c r="E80" s="500" t="inlineStr">
        <is>
          <t>Content Writer</t>
        </is>
      </c>
      <c r="F80" s="500" t="inlineStr">
        <is>
          <t>⬜</t>
        </is>
      </c>
      <c r="G80" s="500" t="inlineStr">
        <is>
          <t>P-1</t>
        </is>
      </c>
      <c r="H80" s="500" t="inlineStr"/>
    </row>
    <row r="81">
      <c r="A81" s="499" t="inlineStr">
        <is>
          <t>11</t>
        </is>
      </c>
      <c r="B81" s="499" t="inlineStr">
        <is>
          <t>Chatbot</t>
        </is>
      </c>
      <c r="C81" s="499" t="inlineStr">
        <is>
          <t>Setup Pancake Chatbot cho FB Messenger: Welcome → Menu (Học phí/Tour/Chương trình) → Auto reply → Chuyển nhân viên</t>
        </is>
      </c>
      <c r="D81" s="499" t="inlineStr">
        <is>
          <t>3 giờ</t>
        </is>
      </c>
      <c r="E81" s="499" t="inlineStr">
        <is>
          <t>Marketing Lead</t>
        </is>
      </c>
      <c r="F81" s="499" t="inlineStr">
        <is>
          <t>⬜</t>
        </is>
      </c>
      <c r="G81" s="499" t="inlineStr">
        <is>
          <t>P-2</t>
        </is>
      </c>
      <c r="H81" s="499" t="inlineStr">
        <is>
          <t>Decision tree 3-4 levels</t>
        </is>
      </c>
    </row>
    <row r="82">
      <c r="A82" s="500" t="inlineStr">
        <is>
          <t>12</t>
        </is>
      </c>
      <c r="B82" s="500" t="inlineStr">
        <is>
          <t>Chatbot</t>
        </is>
      </c>
      <c r="C82" s="500" t="inlineStr">
        <is>
          <t>Setup Pancake Chatbot cho Zalo: tương tự FB nhưng format Zalo OA</t>
        </is>
      </c>
      <c r="D82" s="500" t="inlineStr">
        <is>
          <t>2 giờ</t>
        </is>
      </c>
      <c r="E82" s="500" t="inlineStr">
        <is>
          <t>Marketing Lead</t>
        </is>
      </c>
      <c r="F82" s="500" t="inlineStr">
        <is>
          <t>⬜</t>
        </is>
      </c>
      <c r="G82" s="500" t="inlineStr">
        <is>
          <t>P-3</t>
        </is>
      </c>
      <c r="H82" s="500" t="inlineStr">
        <is>
          <t>Zalo có giới hạn format</t>
        </is>
      </c>
    </row>
    <row r="83">
      <c r="A83" s="499" t="inlineStr">
        <is>
          <t>13</t>
        </is>
      </c>
      <c r="B83" s="499" t="inlineStr">
        <is>
          <t>Lead Mgmt</t>
        </is>
      </c>
      <c r="C83" s="499" t="inlineStr">
        <is>
          <t>Cấu hình Lead Pipeline trong Pancake: New → Processing → Hot → Booked Tour → Enrolled → Lost</t>
        </is>
      </c>
      <c r="D83" s="499" t="inlineStr">
        <is>
          <t>1 giờ</t>
        </is>
      </c>
      <c r="E83" s="499" t="inlineStr">
        <is>
          <t>Marketing Lead</t>
        </is>
      </c>
      <c r="F83" s="499" t="inlineStr">
        <is>
          <t>⬜</t>
        </is>
      </c>
      <c r="G83" s="499" t="inlineStr">
        <is>
          <t>P-5,6</t>
        </is>
      </c>
      <c r="H83" s="499" t="inlineStr">
        <is>
          <t>Stages map sang GHL</t>
        </is>
      </c>
    </row>
    <row r="84">
      <c r="A84" s="500" t="inlineStr">
        <is>
          <t>14</t>
        </is>
      </c>
      <c r="B84" s="500" t="inlineStr">
        <is>
          <t>Lead Mgmt</t>
        </is>
      </c>
      <c r="C84" s="500" t="inlineStr">
        <is>
          <t>Setup Lead Scoring: điểm theo hành vi (inbox=5, comment=3, click=2, form=10, tour=20)</t>
        </is>
      </c>
      <c r="D84" s="500" t="inlineStr">
        <is>
          <t>1 giờ</t>
        </is>
      </c>
      <c r="E84" s="500" t="inlineStr">
        <is>
          <t>Marketing Lead</t>
        </is>
      </c>
      <c r="F84" s="500" t="inlineStr">
        <is>
          <t>⬜</t>
        </is>
      </c>
      <c r="G84" s="500" t="inlineStr">
        <is>
          <t>P-13</t>
        </is>
      </c>
      <c r="H84" s="500" t="inlineStr"/>
    </row>
    <row r="85">
      <c r="A85" s="499" t="inlineStr">
        <is>
          <t>15</t>
        </is>
      </c>
      <c r="B85" s="499" t="inlineStr">
        <is>
          <t>Reporting</t>
        </is>
      </c>
      <c r="C85" s="499" t="inlineStr">
        <is>
          <t>Tạo Dashboard Pancake: leads/ngày, theo nguồn, theo cơ sở, response time, conversion rate</t>
        </is>
      </c>
      <c r="D85" s="499" t="inlineStr">
        <is>
          <t>2 giờ</t>
        </is>
      </c>
      <c r="E85" s="499" t="inlineStr">
        <is>
          <t>Marketing Lead</t>
        </is>
      </c>
      <c r="F85" s="499" t="inlineStr">
        <is>
          <t>⬜</t>
        </is>
      </c>
      <c r="G85" s="499" t="inlineStr">
        <is>
          <t>P-13</t>
        </is>
      </c>
      <c r="H85" s="499" t="inlineStr"/>
    </row>
    <row r="86">
      <c r="A86" s="500" t="inlineStr">
        <is>
          <t>16</t>
        </is>
      </c>
      <c r="B86" s="500" t="inlineStr">
        <is>
          <t>Reporting</t>
        </is>
      </c>
      <c r="C86" s="500" t="inlineStr">
        <is>
          <t>Setup Auto Report: daily report 8:00 sáng, weekly report T2 9:00</t>
        </is>
      </c>
      <c r="D86" s="500" t="inlineStr">
        <is>
          <t>1 giờ</t>
        </is>
      </c>
      <c r="E86" s="500" t="inlineStr">
        <is>
          <t>Marketing Lead</t>
        </is>
      </c>
      <c r="F86" s="500" t="inlineStr">
        <is>
          <t>⬜</t>
        </is>
      </c>
      <c r="G86" s="500" t="inlineStr">
        <is>
          <t>P-15</t>
        </is>
      </c>
      <c r="H86" s="500" t="inlineStr">
        <is>
          <t>Gửi qua email + Zalo group</t>
        </is>
      </c>
    </row>
    <row r="87">
      <c r="A87" s="499" t="inlineStr">
        <is>
          <t>17</t>
        </is>
      </c>
      <c r="B87" s="499" t="inlineStr">
        <is>
          <t>Integration</t>
        </is>
      </c>
      <c r="C87" s="499" t="inlineStr">
        <is>
          <t>Test Pancake → Make.com webhook: khi lead mới/cập nhật → trigger Make.com scenario</t>
        </is>
      </c>
      <c r="D87" s="499" t="inlineStr">
        <is>
          <t>2 giờ</t>
        </is>
      </c>
      <c r="E87" s="499" t="inlineStr">
        <is>
          <t>IT Admin</t>
        </is>
      </c>
      <c r="F87" s="499" t="inlineStr">
        <is>
          <t>⬜</t>
        </is>
      </c>
      <c r="G87" s="499" t="inlineStr">
        <is>
          <t>P-13 + Make.com</t>
        </is>
      </c>
      <c r="H87" s="499" t="inlineStr">
        <is>
          <t>Test với dummy data</t>
        </is>
      </c>
    </row>
    <row r="88">
      <c r="A88" s="500" t="inlineStr">
        <is>
          <t>18</t>
        </is>
      </c>
      <c r="B88" s="500" t="inlineStr">
        <is>
          <t>Training</t>
        </is>
      </c>
      <c r="C88" s="500" t="inlineStr">
        <is>
          <t>Training tư vấn viên: cách dùng Pancake để chat, tag, chuyển lead, ghi note</t>
        </is>
      </c>
      <c r="D88" s="500" t="inlineStr">
        <is>
          <t>2 giờ</t>
        </is>
      </c>
      <c r="E88" s="500" t="inlineStr">
        <is>
          <t>Marketing Lead</t>
        </is>
      </c>
      <c r="F88" s="500" t="inlineStr">
        <is>
          <t>⬜</t>
        </is>
      </c>
      <c r="G88" s="500" t="inlineStr">
        <is>
          <t>P-1→16</t>
        </is>
      </c>
      <c r="H88" s="500" t="inlineStr">
        <is>
          <t>Hands-on practice</t>
        </is>
      </c>
    </row>
    <row r="89">
      <c r="A89" s="499" t="inlineStr">
        <is>
          <t>19</t>
        </is>
      </c>
      <c r="B89" s="499" t="inlineStr">
        <is>
          <t>Testing</t>
        </is>
      </c>
      <c r="C89" s="499" t="inlineStr">
        <is>
          <t>UAT: test quy trình lead từ FB comment → Pancake inbox → tag → assign → reply → sync GHL</t>
        </is>
      </c>
      <c r="D89" s="499" t="inlineStr">
        <is>
          <t>3 giờ</t>
        </is>
      </c>
      <c r="E89" s="499" t="inlineStr">
        <is>
          <t>Cả team</t>
        </is>
      </c>
      <c r="F89" s="499" t="inlineStr">
        <is>
          <t>⬜</t>
        </is>
      </c>
      <c r="G89" s="499" t="inlineStr">
        <is>
          <t>P-17,18</t>
        </is>
      </c>
      <c r="H89" s="499" t="inlineStr">
        <is>
          <t>End-to-end test</t>
        </is>
      </c>
    </row>
    <row r="90">
      <c r="A90" s="500" t="inlineStr">
        <is>
          <t>20</t>
        </is>
      </c>
      <c r="B90" s="500" t="inlineStr">
        <is>
          <t>Go-live</t>
        </is>
      </c>
      <c r="C90" s="500" t="inlineStr">
        <is>
          <t>Go-live Pancake: mở cho tất cả pages/OA, monitor 1 tuần đầu</t>
        </is>
      </c>
      <c r="D90" s="500" t="inlineStr">
        <is>
          <t>1 tuần</t>
        </is>
      </c>
      <c r="E90" s="500" t="inlineStr">
        <is>
          <t>Cả team</t>
        </is>
      </c>
      <c r="F90" s="500" t="inlineStr">
        <is>
          <t>⬜</t>
        </is>
      </c>
      <c r="G90" s="500" t="inlineStr">
        <is>
          <t>P-19</t>
        </is>
      </c>
      <c r="H90" s="500" t="inlineStr">
        <is>
          <t>Song song với GHL go-live</t>
        </is>
      </c>
    </row>
    <row r="92">
      <c r="A92" s="494" t="inlineStr">
        <is>
          <t>D. SETUP MAKE.COM (MIDDLEWARE) — 15 BƯỚC ĐỒNG BỘ</t>
        </is>
      </c>
    </row>
    <row r="93">
      <c r="A93" s="495" t="inlineStr">
        <is>
          <t>Bước</t>
        </is>
      </c>
      <c r="B93" s="495" t="inlineStr">
        <is>
          <t>Scenario</t>
        </is>
      </c>
      <c r="C93" s="495" t="inlineStr">
        <is>
          <t>Trigger</t>
        </is>
      </c>
      <c r="D93" s="495" t="inlineStr">
        <is>
          <t>Actions</t>
        </is>
      </c>
      <c r="E93" s="495" t="inlineStr">
        <is>
          <t>Dữ liệu đồng bộ</t>
        </is>
      </c>
      <c r="F93" s="495" t="inlineStr">
        <is>
          <t>Tần suất</t>
        </is>
      </c>
      <c r="G93" s="495" t="inlineStr">
        <is>
          <t>Error handling</t>
        </is>
      </c>
      <c r="H93" s="495" t="inlineStr">
        <is>
          <t>Ghi chú</t>
        </is>
      </c>
    </row>
    <row r="94">
      <c r="A94" s="499" t="inlineStr">
        <is>
          <t>1</t>
        </is>
      </c>
      <c r="B94" s="499" t="inlineStr">
        <is>
          <t>Tạo Make.com account Pro ($29/m)</t>
        </is>
      </c>
      <c r="C94" s="499" t="inlineStr">
        <is>
          <t>N/A</t>
        </is>
      </c>
      <c r="D94" s="499" t="inlineStr">
        <is>
          <t>Đăng ký, verify, cấu hình workspace</t>
        </is>
      </c>
      <c r="E94" s="499" t="inlineStr">
        <is>
          <t>N/A</t>
        </is>
      </c>
      <c r="F94" s="499" t="inlineStr">
        <is>
          <t>N/A</t>
        </is>
      </c>
      <c r="G94" s="499" t="inlineStr">
        <is>
          <t>N/A</t>
        </is>
      </c>
      <c r="H94" s="499" t="inlineStr">
        <is>
          <t>10,000 ops/tháng</t>
        </is>
      </c>
    </row>
    <row r="95">
      <c r="A95" s="500" t="inlineStr">
        <is>
          <t>2</t>
        </is>
      </c>
      <c r="B95" s="500" t="inlineStr">
        <is>
          <t>Kết nối GHL module</t>
        </is>
      </c>
      <c r="C95" s="500" t="inlineStr">
        <is>
          <t>N/A</t>
        </is>
      </c>
      <c r="D95" s="500" t="inlineStr">
        <is>
          <t>Add GHL connection: API key + Location ID</t>
        </is>
      </c>
      <c r="E95" s="500" t="inlineStr">
        <is>
          <t>Test connection</t>
        </is>
      </c>
      <c r="F95" s="500" t="inlineStr">
        <is>
          <t>N/A</t>
        </is>
      </c>
      <c r="G95" s="500" t="inlineStr">
        <is>
          <t>N/A</t>
        </is>
      </c>
      <c r="H95" s="500" t="inlineStr">
        <is>
          <t>GHL API v2</t>
        </is>
      </c>
    </row>
    <row r="96">
      <c r="A96" s="499" t="inlineStr">
        <is>
          <t>3</t>
        </is>
      </c>
      <c r="B96" s="499" t="inlineStr">
        <is>
          <t>Kết nối Pancake module</t>
        </is>
      </c>
      <c r="C96" s="499" t="inlineStr">
        <is>
          <t>N/A</t>
        </is>
      </c>
      <c r="D96" s="499" t="inlineStr">
        <is>
          <t>Add HTTP module + Pancake API key</t>
        </is>
      </c>
      <c r="E96" s="499" t="inlineStr">
        <is>
          <t>Test connection</t>
        </is>
      </c>
      <c r="F96" s="499" t="inlineStr">
        <is>
          <t>N/A</t>
        </is>
      </c>
      <c r="G96" s="499" t="inlineStr">
        <is>
          <t>N/A</t>
        </is>
      </c>
      <c r="H96" s="499" t="inlineStr">
        <is>
          <t>Pancake dùng REST API</t>
        </is>
      </c>
    </row>
    <row r="97">
      <c r="A97" s="500" t="inlineStr">
        <is>
          <t>4</t>
        </is>
      </c>
      <c r="B97" s="500" t="inlineStr">
        <is>
          <t>Scenario 1: GHL → Pancake (New Contact)</t>
        </is>
      </c>
      <c r="C97" s="500" t="inlineStr">
        <is>
          <t>GHL Webhook: Contact Created</t>
        </is>
      </c>
      <c r="D97" s="500" t="inlineStr">
        <is>
          <t>1. Parse data → 2. Map fields → 3. Create/Update Pancake contact → 4. Sync tags</t>
        </is>
      </c>
      <c r="E97" s="500" t="inlineStr">
        <is>
          <t>Name, Phone, Email, Tags, Source, Campus, Grade</t>
        </is>
      </c>
      <c r="F97" s="500" t="inlineStr">
        <is>
          <t>Real-time</t>
        </is>
      </c>
      <c r="G97" s="500" t="inlineStr">
        <is>
          <t>Retry 3x → Email alert</t>
        </is>
      </c>
      <c r="H97" s="500" t="inlineStr">
        <is>
          <t>Scenario chính</t>
        </is>
      </c>
    </row>
    <row r="98">
      <c r="A98" s="499" t="inlineStr">
        <is>
          <t>5</t>
        </is>
      </c>
      <c r="B98" s="499" t="inlineStr">
        <is>
          <t>Scenario 2: Pancake → GHL (New Lead from FB/Zalo)</t>
        </is>
      </c>
      <c r="C98" s="499" t="inlineStr">
        <is>
          <t>Pancake Webhook: New conversation</t>
        </is>
      </c>
      <c r="D98" s="499" t="inlineStr">
        <is>
          <t>1. Parse Pancake data → 2. Search GHL contact → 3. Create if new / Update if exists → 4. Add to Pipeline → 5. Trigger workflow</t>
        </is>
      </c>
      <c r="E98" s="499" t="inlineStr">
        <is>
          <t>Name, Phone, Source (FB/Zalo), Page, Message content</t>
        </is>
      </c>
      <c r="F98" s="499" t="inlineStr">
        <is>
          <t>Real-time</t>
        </is>
      </c>
      <c r="G98" s="499" t="inlineStr">
        <is>
          <t>Retry 3x → Slack alert</t>
        </is>
      </c>
      <c r="H98" s="499" t="inlineStr">
        <is>
          <t>Bắt lead từ FB/Zalo chat</t>
        </is>
      </c>
    </row>
    <row r="99">
      <c r="A99" s="500" t="inlineStr">
        <is>
          <t>6</t>
        </is>
      </c>
      <c r="B99" s="500" t="inlineStr">
        <is>
          <t>Scenario 3: Tag Sync (bidirectional)</t>
        </is>
      </c>
      <c r="C99" s="500" t="inlineStr">
        <is>
          <t>GHL/Pancake: Tag added</t>
        </is>
      </c>
      <c r="D99" s="500" t="inlineStr">
        <is>
          <t>1. Detect tag change → 2. Map to other system tag → 3. Apply tag</t>
        </is>
      </c>
      <c r="E99" s="500" t="inlineStr">
        <is>
          <t>Tag name, Contact ID</t>
        </is>
      </c>
      <c r="F99" s="500" t="inlineStr">
        <is>
          <t>Real-time</t>
        </is>
      </c>
      <c r="G99" s="500" t="inlineStr">
        <is>
          <t>Skip if already synced</t>
        </is>
      </c>
      <c r="H99" s="500" t="inlineStr">
        <is>
          <t>Tránh infinite loop</t>
        </is>
      </c>
    </row>
    <row r="100">
      <c r="A100" s="499" t="inlineStr">
        <is>
          <t>7</t>
        </is>
      </c>
      <c r="B100" s="499" t="inlineStr">
        <is>
          <t>Scenario 4: Pipeline Stage Sync</t>
        </is>
      </c>
      <c r="C100" s="499" t="inlineStr">
        <is>
          <t>GHL: Opportunity stage changed</t>
        </is>
      </c>
      <c r="D100" s="499" t="inlineStr">
        <is>
          <t>1. Map GHL stage → Pancake stage → 2. Update Pancake pipeline</t>
        </is>
      </c>
      <c r="E100" s="499" t="inlineStr">
        <is>
          <t>Stage name, Contact, Timestamp</t>
        </is>
      </c>
      <c r="F100" s="499" t="inlineStr">
        <is>
          <t>Real-time</t>
        </is>
      </c>
      <c r="G100" s="499" t="inlineStr">
        <is>
          <t>Log to Google Sheets</t>
        </is>
      </c>
      <c r="H100" s="499" t="inlineStr">
        <is>
          <t>Unidirectional: GHL → Pancake</t>
        </is>
      </c>
    </row>
    <row r="101">
      <c r="A101" s="500" t="inlineStr">
        <is>
          <t>8</t>
        </is>
      </c>
      <c r="B101" s="500" t="inlineStr">
        <is>
          <t>Scenario 5: Daily Lead Summary</t>
        </is>
      </c>
      <c r="C101" s="500" t="inlineStr">
        <is>
          <t>Schedule: Daily 20:00</t>
        </is>
      </c>
      <c r="D101" s="500" t="inlineStr">
        <is>
          <t>1. Query GHL leads today → 2. Query Pancake leads today → 3. Compare → 4. Create summary → 5. Send to Google Sheets + Email</t>
        </is>
      </c>
      <c r="E101" s="500" t="inlineStr">
        <is>
          <t>Lead count, Source breakdown, Discrepancies</t>
        </is>
      </c>
      <c r="F101" s="500" t="inlineStr">
        <is>
          <t>Daily</t>
        </is>
      </c>
      <c r="G101" s="500" t="inlineStr">
        <is>
          <t>Email alert if mismatch</t>
        </is>
      </c>
      <c r="H101" s="500" t="inlineStr">
        <is>
          <t>Data reconciliation</t>
        </is>
      </c>
    </row>
    <row r="102">
      <c r="A102" s="499" t="inlineStr">
        <is>
          <t>9</t>
        </is>
      </c>
      <c r="B102" s="499" t="inlineStr">
        <is>
          <t>Scenario 6: Form to Pancake</t>
        </is>
      </c>
      <c r="C102" s="499" t="inlineStr">
        <is>
          <t>GHL Webhook: Form submitted</t>
        </is>
      </c>
      <c r="D102" s="499" t="inlineStr">
        <is>
          <t>1. Parse form data → 2. Create Pancake contact → 3. Add tags → 4. Notify tư vấn viên via Zalo</t>
        </is>
      </c>
      <c r="E102" s="499" t="inlineStr">
        <is>
          <t>All form fields</t>
        </is>
      </c>
      <c r="F102" s="499" t="inlineStr">
        <is>
          <t>Real-time</t>
        </is>
      </c>
      <c r="G102" s="499" t="inlineStr">
        <is>
          <t>Retry + Email</t>
        </is>
      </c>
      <c r="H102" s="499" t="inlineStr">
        <is>
          <t>Backup sync cho forms</t>
        </is>
      </c>
    </row>
    <row r="103">
      <c r="A103" s="500" t="inlineStr">
        <is>
          <t>10</t>
        </is>
      </c>
      <c r="B103" s="500" t="inlineStr">
        <is>
          <t>Scenario 7: Calendar Sync</t>
        </is>
      </c>
      <c r="C103" s="500" t="inlineStr">
        <is>
          <t>GHL: Appointment booked</t>
        </is>
      </c>
      <c r="D103" s="500" t="inlineStr">
        <is>
          <t>1. Parse booking → 2. Create Pancake note → 3. Notify tư vấn viên → 4. Add to Google Calendar</t>
        </is>
      </c>
      <c r="E103" s="500" t="inlineStr">
        <is>
          <t>Date, Time, Contact, Campus</t>
        </is>
      </c>
      <c r="F103" s="500" t="inlineStr">
        <is>
          <t>Real-time</t>
        </is>
      </c>
      <c r="G103" s="500" t="inlineStr">
        <is>
          <t>Retry</t>
        </is>
      </c>
      <c r="H103" s="500" t="inlineStr"/>
    </row>
    <row r="104">
      <c r="A104" s="499" t="inlineStr">
        <is>
          <t>11</t>
        </is>
      </c>
      <c r="B104" s="499" t="inlineStr">
        <is>
          <t>Scenario 8: Google Sheets Backup</t>
        </is>
      </c>
      <c r="C104" s="499" t="inlineStr">
        <is>
          <t>Schedule: Every 1 hour</t>
        </is>
      </c>
      <c r="D104" s="499" t="inlineStr">
        <is>
          <t>1. Query GHL contacts (last 1h) → 2. Append to Master Google Sheet → 3. Update Dashboard sheet</t>
        </is>
      </c>
      <c r="E104" s="499" t="inlineStr">
        <is>
          <t>All contact fields</t>
        </is>
      </c>
      <c r="F104" s="499" t="inlineStr">
        <is>
          <t>Hourly</t>
        </is>
      </c>
      <c r="G104" s="499" t="inlineStr">
        <is>
          <t>Log errors to separate sheet</t>
        </is>
      </c>
      <c r="H104" s="499" t="inlineStr">
        <is>
          <t>Backup + Dashboard data</t>
        </is>
      </c>
    </row>
    <row r="105">
      <c r="A105" s="500" t="inlineStr">
        <is>
          <t>12</t>
        </is>
      </c>
      <c r="B105" s="500" t="inlineStr">
        <is>
          <t>Scenario 9: Ad Lead Sync (Birch → GHL → Pancake)</t>
        </is>
      </c>
      <c r="C105" s="500" t="inlineStr">
        <is>
          <t>GHL Webhook: Contact from ads</t>
        </is>
      </c>
      <c r="D105" s="500" t="inlineStr">
        <is>
          <t>1. Detect ad source → 2. Add UTM tags → 3. Sync to Pancake with ad attribution → 4. Update Birch conversion</t>
        </is>
      </c>
      <c r="E105" s="500" t="inlineStr">
        <is>
          <t>Contact + UTM + Ad campaign data</t>
        </is>
      </c>
      <c r="F105" s="500" t="inlineStr">
        <is>
          <t>Real-time</t>
        </is>
      </c>
      <c r="G105" s="500" t="inlineStr">
        <is>
          <t>Retry 3x</t>
        </is>
      </c>
      <c r="H105" s="500" t="inlineStr">
        <is>
          <t>Tracking ad ROI end-to-end</t>
        </is>
      </c>
    </row>
    <row r="106">
      <c r="A106" s="499" t="inlineStr">
        <is>
          <t>13</t>
        </is>
      </c>
      <c r="B106" s="499" t="inlineStr">
        <is>
          <t>Error Monitoring</t>
        </is>
      </c>
      <c r="C106" s="499" t="inlineStr">
        <is>
          <t>Any scenario error</t>
        </is>
      </c>
      <c r="D106" s="499" t="inlineStr">
        <is>
          <t>Email + Zalo notification to IT Admin. Log to Error Google Sheet</t>
        </is>
      </c>
      <c r="E106" s="499" t="inlineStr">
        <is>
          <t>Error message, Scenario name, Timestamp</t>
        </is>
      </c>
      <c r="F106" s="499" t="inlineStr">
        <is>
          <t>Real-time</t>
        </is>
      </c>
      <c r="G106" s="499" t="inlineStr">
        <is>
          <t>N/A</t>
        </is>
      </c>
      <c r="H106" s="499" t="inlineStr">
        <is>
          <t>Check daily</t>
        </is>
      </c>
    </row>
    <row r="107">
      <c r="A107" s="500" t="inlineStr">
        <is>
          <t>14</t>
        </is>
      </c>
      <c r="B107" s="500" t="inlineStr">
        <is>
          <t>Testing tất cả Scenarios</t>
        </is>
      </c>
      <c r="C107" s="500" t="inlineStr">
        <is>
          <t>Manual trigger</t>
        </is>
      </c>
      <c r="D107" s="500" t="inlineStr">
        <is>
          <t>Test từng scenario với dummy data. Verify data sync 2 chiều GHL ↔ Pancake</t>
        </is>
      </c>
      <c r="E107" s="500" t="inlineStr">
        <is>
          <t>All fields</t>
        </is>
      </c>
      <c r="F107" s="500" t="inlineStr">
        <is>
          <t>One-time</t>
        </is>
      </c>
      <c r="G107" s="500" t="inlineStr">
        <is>
          <t>Document all results</t>
        </is>
      </c>
      <c r="H107" s="500" t="inlineStr">
        <is>
          <t>2 ngày testing</t>
        </is>
      </c>
    </row>
    <row r="108">
      <c r="A108" s="499" t="inlineStr">
        <is>
          <t>15</t>
        </is>
      </c>
      <c r="B108" s="499" t="inlineStr">
        <is>
          <t>Go-live &amp; Monitor</t>
        </is>
      </c>
      <c r="C108" s="499" t="inlineStr">
        <is>
          <t>N/A</t>
        </is>
      </c>
      <c r="D108" s="499" t="inlineStr">
        <is>
          <t>Activate tất cả scenarios. Monitor 1 tuần: check logs, fix errors, optimize</t>
        </is>
      </c>
      <c r="E108" s="499" t="inlineStr">
        <is>
          <t>N/A</t>
        </is>
      </c>
      <c r="F108" s="499" t="inlineStr">
        <is>
          <t>Ongoing</t>
        </is>
      </c>
      <c r="G108" s="499" t="inlineStr">
        <is>
          <t>Weekly review</t>
        </is>
      </c>
      <c r="H108" s="499" t="inlineStr">
        <is>
          <t>Song song với GHL/Pancake go-live</t>
        </is>
      </c>
    </row>
    <row r="110">
      <c r="A110" s="494" t="inlineStr">
        <is>
          <t>E. SETUP BIRCH PPC — 15 BƯỚC QUẢN LÝ ADS ĐA NỀN TẢNG</t>
        </is>
      </c>
    </row>
    <row r="111">
      <c r="A111" s="495" t="inlineStr">
        <is>
          <t>Bước</t>
        </is>
      </c>
      <c r="B111" s="495" t="inlineStr">
        <is>
          <t>Nhóm</t>
        </is>
      </c>
      <c r="C111" s="495" t="inlineStr">
        <is>
          <t>Chi tiết</t>
        </is>
      </c>
      <c r="D111" s="495" t="inlineStr">
        <is>
          <t>Thời gian</t>
        </is>
      </c>
      <c r="E111" s="495" t="inlineStr">
        <is>
          <t>Trạng thái</t>
        </is>
      </c>
      <c r="F111" s="495" t="inlineStr">
        <is>
          <t>Dependency</t>
        </is>
      </c>
      <c r="G111" s="495" t="inlineStr">
        <is>
          <t>Ghi chú</t>
        </is>
      </c>
    </row>
    <row r="112">
      <c r="A112" s="499" t="inlineStr">
        <is>
          <t>1</t>
        </is>
      </c>
      <c r="B112" s="499" t="inlineStr">
        <is>
          <t>Account</t>
        </is>
      </c>
      <c r="C112" s="499" t="inlineStr">
        <is>
          <t>Đăng ký Birch PPC ($79/tháng). Setup workspace "TVA Marketing"</t>
        </is>
      </c>
      <c r="D112" s="499" t="inlineStr">
        <is>
          <t>30 phút</t>
        </is>
      </c>
      <c r="E112" s="499" t="inlineStr">
        <is>
          <t>⬜</t>
        </is>
      </c>
      <c r="F112" s="499" t="inlineStr">
        <is>
          <t>-</t>
        </is>
      </c>
      <c r="G112" s="499" t="inlineStr">
        <is>
          <t>birchppc.com</t>
        </is>
      </c>
    </row>
    <row r="113">
      <c r="A113" s="500" t="inlineStr">
        <is>
          <t>2</t>
        </is>
      </c>
      <c r="B113" s="500" t="inlineStr">
        <is>
          <t>Connections</t>
        </is>
      </c>
      <c r="C113" s="500" t="inlineStr">
        <is>
          <t>Kết nối Meta Ads account (Business Manager ID + Access Token)</t>
        </is>
      </c>
      <c r="D113" s="500" t="inlineStr">
        <is>
          <t>30 phút</t>
        </is>
      </c>
      <c r="E113" s="500" t="inlineStr">
        <is>
          <t>⬜</t>
        </is>
      </c>
      <c r="F113" s="500" t="inlineStr">
        <is>
          <t>B-1</t>
        </is>
      </c>
      <c r="G113" s="500" t="inlineStr">
        <is>
          <t>Cần Business Manager admin</t>
        </is>
      </c>
    </row>
    <row r="114">
      <c r="A114" s="499" t="inlineStr">
        <is>
          <t>3</t>
        </is>
      </c>
      <c r="B114" s="499" t="inlineStr">
        <is>
          <t>Connections</t>
        </is>
      </c>
      <c r="C114" s="499" t="inlineStr">
        <is>
          <t>Kết nối Google Ads account (MCC + Customer ID)</t>
        </is>
      </c>
      <c r="D114" s="499" t="inlineStr">
        <is>
          <t>30 phút</t>
        </is>
      </c>
      <c r="E114" s="499" t="inlineStr">
        <is>
          <t>⬜</t>
        </is>
      </c>
      <c r="F114" s="499" t="inlineStr">
        <is>
          <t>B-1</t>
        </is>
      </c>
      <c r="G114" s="499" t="inlineStr">
        <is>
          <t>Cần Google Ads admin</t>
        </is>
      </c>
    </row>
    <row r="115">
      <c r="A115" s="500" t="inlineStr">
        <is>
          <t>4</t>
        </is>
      </c>
      <c r="B115" s="500" t="inlineStr">
        <is>
          <t>Connections</t>
        </is>
      </c>
      <c r="C115" s="500" t="inlineStr">
        <is>
          <t>Kết nối TikTok Ads account (Advertiser ID + Access Token)</t>
        </is>
      </c>
      <c r="D115" s="500" t="inlineStr">
        <is>
          <t>30 phút</t>
        </is>
      </c>
      <c r="E115" s="500" t="inlineStr">
        <is>
          <t>⬜</t>
        </is>
      </c>
      <c r="F115" s="500" t="inlineStr">
        <is>
          <t>B-1</t>
        </is>
      </c>
      <c r="G115" s="500" t="inlineStr">
        <is>
          <t>Cần TikTok Business Center</t>
        </is>
      </c>
    </row>
    <row r="116">
      <c r="A116" s="499" t="inlineStr">
        <is>
          <t>5</t>
        </is>
      </c>
      <c r="B116" s="499" t="inlineStr">
        <is>
          <t>Dashboard</t>
        </is>
      </c>
      <c r="C116" s="499" t="inlineStr">
        <is>
          <t>Cấu hình Birch Dashboard: tổng chi, CPA, ROAS, Leads theo platform. Date range picker</t>
        </is>
      </c>
      <c r="D116" s="499" t="inlineStr">
        <is>
          <t>1 giờ</t>
        </is>
      </c>
      <c r="E116" s="499" t="inlineStr">
        <is>
          <t>⬜</t>
        </is>
      </c>
      <c r="F116" s="499" t="inlineStr">
        <is>
          <t>B-2,3,4</t>
        </is>
      </c>
      <c r="G116" s="499" t="inlineStr">
        <is>
          <t>Cross-platform view</t>
        </is>
      </c>
    </row>
    <row r="117">
      <c r="A117" s="500" t="inlineStr">
        <is>
          <t>6</t>
        </is>
      </c>
      <c r="B117" s="500" t="inlineStr">
        <is>
          <t>Rules</t>
        </is>
      </c>
      <c r="C117" s="500" t="inlineStr">
        <is>
          <t>Tạo Automation Rule 1: Pause ad set nếu CPA &gt; 150,000 VND trong 3 ngày liên tục</t>
        </is>
      </c>
      <c r="D117" s="500" t="inlineStr">
        <is>
          <t>30 phút</t>
        </is>
      </c>
      <c r="E117" s="500" t="inlineStr">
        <is>
          <t>⬜</t>
        </is>
      </c>
      <c r="F117" s="500" t="inlineStr">
        <is>
          <t>B-5</t>
        </is>
      </c>
      <c r="G117" s="500" t="inlineStr">
        <is>
          <t>Alert khi trigger</t>
        </is>
      </c>
    </row>
    <row r="118">
      <c r="A118" s="499" t="inlineStr">
        <is>
          <t>7</t>
        </is>
      </c>
      <c r="B118" s="499" t="inlineStr">
        <is>
          <t>Rules</t>
        </is>
      </c>
      <c r="C118" s="499" t="inlineStr">
        <is>
          <t>Tạo Automation Rule 2: Tăng budget 20% nếu ROAS &gt; 3x trong 7 ngày</t>
        </is>
      </c>
      <c r="D118" s="499" t="inlineStr">
        <is>
          <t>30 phút</t>
        </is>
      </c>
      <c r="E118" s="499" t="inlineStr">
        <is>
          <t>⬜</t>
        </is>
      </c>
      <c r="F118" s="499" t="inlineStr">
        <is>
          <t>B-5</t>
        </is>
      </c>
      <c r="G118" s="499" t="inlineStr">
        <is>
          <t>Cap tối đa 2x budget gốc</t>
        </is>
      </c>
    </row>
    <row r="119">
      <c r="A119" s="500" t="inlineStr">
        <is>
          <t>8</t>
        </is>
      </c>
      <c r="B119" s="500" t="inlineStr">
        <is>
          <t>Rules</t>
        </is>
      </c>
      <c r="C119" s="500" t="inlineStr">
        <is>
          <t>Tạo Automation Rule 3: Alert nếu daily spend &gt; 110% budget. Alert nếu 0 leads trong 24h</t>
        </is>
      </c>
      <c r="D119" s="500" t="inlineStr">
        <is>
          <t>30 phút</t>
        </is>
      </c>
      <c r="E119" s="500" t="inlineStr">
        <is>
          <t>⬜</t>
        </is>
      </c>
      <c r="F119" s="500" t="inlineStr">
        <is>
          <t>B-5</t>
        </is>
      </c>
      <c r="G119" s="500" t="inlineStr">
        <is>
          <t>Zalo/Email notification</t>
        </is>
      </c>
    </row>
    <row r="120">
      <c r="A120" s="499" t="inlineStr">
        <is>
          <t>9</t>
        </is>
      </c>
      <c r="B120" s="499" t="inlineStr">
        <is>
          <t>Rules</t>
        </is>
      </c>
      <c r="C120" s="499" t="inlineStr">
        <is>
          <t>Tạo Automation Rule 4: Giảm budget 15% nếu CTR &lt; 0.5% sau 5 ngày</t>
        </is>
      </c>
      <c r="D120" s="499" t="inlineStr">
        <is>
          <t>30 phút</t>
        </is>
      </c>
      <c r="E120" s="499" t="inlineStr">
        <is>
          <t>⬜</t>
        </is>
      </c>
      <c r="F120" s="499" t="inlineStr">
        <is>
          <t>B-5</t>
        </is>
      </c>
      <c r="G120" s="499" t="inlineStr"/>
    </row>
    <row r="121">
      <c r="A121" s="500" t="inlineStr">
        <is>
          <t>10</t>
        </is>
      </c>
      <c r="B121" s="500" t="inlineStr">
        <is>
          <t>Reporting</t>
        </is>
      </c>
      <c r="C121" s="500" t="inlineStr">
        <is>
          <t>Setup Weekly Auto Report: tổng hợp cross-platform, gửi email T2 8:00</t>
        </is>
      </c>
      <c r="D121" s="500" t="inlineStr">
        <is>
          <t>1 giờ</t>
        </is>
      </c>
      <c r="E121" s="500" t="inlineStr">
        <is>
          <t>⬜</t>
        </is>
      </c>
      <c r="F121" s="500" t="inlineStr">
        <is>
          <t>B-5</t>
        </is>
      </c>
      <c r="G121" s="500" t="inlineStr">
        <is>
          <t>PDF + CSV attachment</t>
        </is>
      </c>
    </row>
    <row r="122">
      <c r="A122" s="499" t="inlineStr">
        <is>
          <t>11</t>
        </is>
      </c>
      <c r="B122" s="499" t="inlineStr">
        <is>
          <t>Labels</t>
        </is>
      </c>
      <c r="C122" s="499" t="inlineStr">
        <is>
          <t>Tạo Campaign Labels trong Birch: theo Cơ sở (6), Cấp học (4), Giai đoạn funnel (4)</t>
        </is>
      </c>
      <c r="D122" s="499" t="inlineStr">
        <is>
          <t>45 phút</t>
        </is>
      </c>
      <c r="E122" s="499" t="inlineStr">
        <is>
          <t>⬜</t>
        </is>
      </c>
      <c r="F122" s="499" t="inlineStr">
        <is>
          <t>B-5</t>
        </is>
      </c>
      <c r="G122" s="499" t="inlineStr">
        <is>
          <t>Giúp filter và phân tích</t>
        </is>
      </c>
    </row>
    <row r="123">
      <c r="A123" s="500" t="inlineStr">
        <is>
          <t>12</t>
        </is>
      </c>
      <c r="B123" s="500" t="inlineStr">
        <is>
          <t>GHL Integration</t>
        </is>
      </c>
      <c r="C123" s="500" t="inlineStr">
        <is>
          <t>Kết nối Birch → GHL: khi lead từ ads → tag UTM + Campaign name vào GHL contact</t>
        </is>
      </c>
      <c r="D123" s="500" t="inlineStr">
        <is>
          <t>2 giờ</t>
        </is>
      </c>
      <c r="E123" s="500" t="inlineStr">
        <is>
          <t>⬜</t>
        </is>
      </c>
      <c r="F123" s="500" t="inlineStr">
        <is>
          <t>B-5 + GHL</t>
        </is>
      </c>
      <c r="G123" s="500" t="inlineStr">
        <is>
          <t>Qua Make.com webhook</t>
        </is>
      </c>
    </row>
    <row r="124">
      <c r="A124" s="499" t="inlineStr">
        <is>
          <t>13</t>
        </is>
      </c>
      <c r="B124" s="499" t="inlineStr">
        <is>
          <t>Attribution</t>
        </is>
      </c>
      <c r="C124" s="499" t="inlineStr">
        <is>
          <t>Setup Cross-platform Attribution: first-touch + last-touch + multi-touch model</t>
        </is>
      </c>
      <c r="D124" s="499" t="inlineStr">
        <is>
          <t>2 giờ</t>
        </is>
      </c>
      <c r="E124" s="499" t="inlineStr">
        <is>
          <t>⬜</t>
        </is>
      </c>
      <c r="F124" s="499" t="inlineStr">
        <is>
          <t>B-12</t>
        </is>
      </c>
      <c r="G124" s="499" t="inlineStr">
        <is>
          <t>Birch Attribution window: 30 days</t>
        </is>
      </c>
    </row>
    <row r="125">
      <c r="A125" s="500" t="inlineStr">
        <is>
          <t>14</t>
        </is>
      </c>
      <c r="B125" s="500" t="inlineStr">
        <is>
          <t>Testing</t>
        </is>
      </c>
      <c r="C125" s="500" t="inlineStr">
        <is>
          <t>Test tất cả connections, rules, reports. Run test campaign $10 trên mỗi platform</t>
        </is>
      </c>
      <c r="D125" s="500" t="inlineStr">
        <is>
          <t>3 giờ</t>
        </is>
      </c>
      <c r="E125" s="500" t="inlineStr">
        <is>
          <t>⬜</t>
        </is>
      </c>
      <c r="F125" s="500" t="inlineStr">
        <is>
          <t>B-1→13</t>
        </is>
      </c>
      <c r="G125" s="500" t="inlineStr">
        <is>
          <t>Verify data accuracy</t>
        </is>
      </c>
    </row>
    <row r="126">
      <c r="A126" s="499" t="inlineStr">
        <is>
          <t>15</t>
        </is>
      </c>
      <c r="B126" s="499" t="inlineStr">
        <is>
          <t>Go-live</t>
        </is>
      </c>
      <c r="C126" s="499" t="inlineStr">
        <is>
          <t>Activate tất cả rules + reports. Monitor 1 tuần đầu</t>
        </is>
      </c>
      <c r="D126" s="499" t="inlineStr">
        <is>
          <t>1 tuần</t>
        </is>
      </c>
      <c r="E126" s="499" t="inlineStr">
        <is>
          <t>⬜</t>
        </is>
      </c>
      <c r="F126" s="499" t="inlineStr">
        <is>
          <t>B-14</t>
        </is>
      </c>
      <c r="G126" s="499" t="inlineStr"/>
    </row>
    <row r="128">
      <c r="A128" s="494" t="inlineStr">
        <is>
          <t>F. TIMELINE TỔNG HỢP SETUP — TUẦN 1-3 THÁNG 4/2026</t>
        </is>
      </c>
    </row>
    <row r="129">
      <c r="A129" s="495" t="inlineStr">
        <is>
          <t>Tuần</t>
        </is>
      </c>
      <c r="B129" s="495" t="inlineStr">
        <is>
          <t>Ngày</t>
        </is>
      </c>
      <c r="C129" s="495" t="inlineStr">
        <is>
          <t>GHL</t>
        </is>
      </c>
      <c r="D129" s="495" t="inlineStr">
        <is>
          <t>Pancake CRM</t>
        </is>
      </c>
      <c r="E129" s="495" t="inlineStr">
        <is>
          <t>Make.com</t>
        </is>
      </c>
      <c r="F129" s="495" t="inlineStr">
        <is>
          <t>Birch PPC</t>
        </is>
      </c>
      <c r="G129" s="495" t="inlineStr">
        <is>
          <t>Milestone</t>
        </is>
      </c>
    </row>
    <row r="130">
      <c r="A130" s="499" t="inlineStr">
        <is>
          <t>Tuần 1</t>
        </is>
      </c>
      <c r="B130" s="499" t="inlineStr">
        <is>
          <t>01-03/04</t>
        </is>
      </c>
      <c r="C130" s="499" t="inlineStr">
        <is>
          <t>Account setup, Pipeline, Custom fields (Bước 1-12)</t>
        </is>
      </c>
      <c r="D130" s="499" t="inlineStr">
        <is>
          <t>Account setup, FB/Zalo connect, Tags (P-1→6)</t>
        </is>
      </c>
      <c r="E130" s="499" t="inlineStr">
        <is>
          <t>Account setup, Connect modules (M-1→3)</t>
        </is>
      </c>
      <c r="F130" s="499" t="inlineStr">
        <is>
          <t>Account, Connect ads platforms (B-1→4)</t>
        </is>
      </c>
      <c r="G130" s="499" t="inlineStr">
        <is>
          <t>Nền tảng sẵn sàng</t>
        </is>
      </c>
    </row>
    <row r="131">
      <c r="A131" s="500" t="inlineStr">
        <is>
          <t>Tuần 1</t>
        </is>
      </c>
      <c r="B131" s="500" t="inlineStr">
        <is>
          <t>04-06/04</t>
        </is>
      </c>
      <c r="C131" s="500" t="inlineStr">
        <is>
          <t>Forms, Landing Pages (Bước 13-18)</t>
        </is>
      </c>
      <c r="D131" s="500" t="inlineStr">
        <is>
          <t>Auto-assign, Auto-tag, Templates (P-7→10)</t>
        </is>
      </c>
      <c r="E131" s="500" t="inlineStr">
        <is>
          <t>Scenario 1-3: GHL↔Pancake sync (M-4→6)</t>
        </is>
      </c>
      <c r="F131" s="500" t="inlineStr">
        <is>
          <t>Dashboard, First 2 rules (B-5,6)</t>
        </is>
      </c>
      <c r="G131" s="500" t="inlineStr">
        <is>
          <t>Forms + Sync hoạt động</t>
        </is>
      </c>
    </row>
    <row r="132">
      <c r="A132" s="499" t="inlineStr">
        <is>
          <t>Tuần 2</t>
        </is>
      </c>
      <c r="B132" s="499" t="inlineStr">
        <is>
          <t>07-10/04</t>
        </is>
      </c>
      <c r="C132" s="499" t="inlineStr">
        <is>
          <t>Calendar, Workflows 1-5 (Bước 19-25)</t>
        </is>
      </c>
      <c r="D132" s="499" t="inlineStr">
        <is>
          <t>Chatbot FB + Zalo (P-11,12)</t>
        </is>
      </c>
      <c r="E132" s="499" t="inlineStr">
        <is>
          <t>Scenario 4-7: Pipeline, Form, Calendar sync (M-7→10)</t>
        </is>
      </c>
      <c r="F132" s="499" t="inlineStr">
        <is>
          <t>Rules 3-4, Reporting (B-7→10)</t>
        </is>
      </c>
      <c r="G132" s="499" t="inlineStr">
        <is>
          <t>Automation hoàn chỉnh</t>
        </is>
      </c>
    </row>
    <row r="133">
      <c r="A133" s="500" t="inlineStr">
        <is>
          <t>Tuần 2</t>
        </is>
      </c>
      <c r="B133" s="500" t="inlineStr">
        <is>
          <t>11-13/04</t>
        </is>
      </c>
      <c r="C133" s="500" t="inlineStr">
        <is>
          <t>Workflows 6-8, Referral (Bước 26-28)</t>
        </is>
      </c>
      <c r="D133" s="500" t="inlineStr">
        <is>
          <t>Lead Pipeline, Scoring (P-13,14)</t>
        </is>
      </c>
      <c r="E133" s="500" t="inlineStr">
        <is>
          <t>Scenario 8-9: Google Sheets, Ad sync (M-11,12)</t>
        </is>
      </c>
      <c r="F133" s="500" t="inlineStr">
        <is>
          <t>Labels, GHL integration (B-11,12)</t>
        </is>
      </c>
      <c r="G133" s="500" t="inlineStr">
        <is>
          <t>Workflows + Scoring done</t>
        </is>
      </c>
    </row>
    <row r="134">
      <c r="A134" s="499" t="inlineStr">
        <is>
          <t>Tuần 3</t>
        </is>
      </c>
      <c r="B134" s="499" t="inlineStr">
        <is>
          <t>14-15/04</t>
        </is>
      </c>
      <c r="C134" s="499" t="inlineStr">
        <is>
          <t>Email templates, Dashboard, Reports (Bước 29-30,38-39)</t>
        </is>
      </c>
      <c r="D134" s="499" t="inlineStr">
        <is>
          <t>Dashboard, Auto Reports (P-15,16)</t>
        </is>
      </c>
      <c r="E134" s="499" t="inlineStr">
        <is>
          <t>Error monitoring (M-13)</t>
        </is>
      </c>
      <c r="F134" s="499" t="inlineStr">
        <is>
          <t>Attribution setup (B-13)</t>
        </is>
      </c>
      <c r="G134" s="499" t="inlineStr">
        <is>
          <t>Reporting hoàn chỉnh</t>
        </is>
      </c>
    </row>
    <row r="135">
      <c r="A135" s="500" t="inlineStr">
        <is>
          <t>Tuần 3</t>
        </is>
      </c>
      <c r="B135" s="500" t="inlineStr">
        <is>
          <t>16-18/04</t>
        </is>
      </c>
      <c r="C135" s="500" t="inlineStr">
        <is>
          <t>Testing + UAT (Bước 40-42)</t>
        </is>
      </c>
      <c r="D135" s="500" t="inlineStr">
        <is>
          <t>Make.com test + UAT (P-17→19)</t>
        </is>
      </c>
      <c r="E135" s="500" t="inlineStr">
        <is>
          <t>Full testing (M-14)</t>
        </is>
      </c>
      <c r="F135" s="500" t="inlineStr">
        <is>
          <t>Full testing (B-14)</t>
        </is>
      </c>
      <c r="G135" s="500" t="inlineStr">
        <is>
          <t>UAT Pass ✅</t>
        </is>
      </c>
    </row>
    <row r="136">
      <c r="A136" s="499" t="inlineStr">
        <is>
          <t>Tuần 3</t>
        </is>
      </c>
      <c r="B136" s="499" t="inlineStr">
        <is>
          <t>18-19/04</t>
        </is>
      </c>
      <c r="C136" s="499" t="inlineStr">
        <is>
          <t>Training 3 sessions (Bước 43-45)</t>
        </is>
      </c>
      <c r="D136" s="499" t="inlineStr">
        <is>
          <t>Training tư vấn viên (P-18)</t>
        </is>
      </c>
      <c r="E136" s="499" t="inlineStr">
        <is>
          <t>N/A</t>
        </is>
      </c>
      <c r="F136" s="499" t="inlineStr">
        <is>
          <t>N/A</t>
        </is>
      </c>
      <c r="G136" s="499" t="inlineStr">
        <is>
          <t>Team trained ✅</t>
        </is>
      </c>
    </row>
    <row r="137">
      <c r="A137" s="500" t="inlineStr">
        <is>
          <t>Tuần 4</t>
        </is>
      </c>
      <c r="B137" s="500" t="inlineStr">
        <is>
          <t>20-24/04</t>
        </is>
      </c>
      <c r="C137" s="500" t="inlineStr">
        <is>
          <t>Soft launch → Full launch (Bước 46-48)</t>
        </is>
      </c>
      <c r="D137" s="500" t="inlineStr">
        <is>
          <t>Go-live (P-20)</t>
        </is>
      </c>
      <c r="E137" s="500" t="inlineStr">
        <is>
          <t>Go-live + Monitor (M-15)</t>
        </is>
      </c>
      <c r="F137" s="500" t="inlineStr">
        <is>
          <t>Go-live (B-15)</t>
        </is>
      </c>
      <c r="G137" s="500" t="inlineStr">
        <is>
          <t>🚀 HỆ THỐNG GO-LIVE</t>
        </is>
      </c>
    </row>
    <row r="138">
      <c r="A138" s="499" t="inlineStr">
        <is>
          <t>Tuần 4</t>
        </is>
      </c>
      <c r="B138" s="499" t="inlineStr">
        <is>
          <t>24-30/04</t>
        </is>
      </c>
      <c r="C138" s="499" t="inlineStr">
        <is>
          <t>Monitor + Optimize (Bước 49-50)</t>
        </is>
      </c>
      <c r="D138" s="499" t="inlineStr">
        <is>
          <t>Monitor</t>
        </is>
      </c>
      <c r="E138" s="499" t="inlineStr">
        <is>
          <t>Monitor</t>
        </is>
      </c>
      <c r="F138" s="499" t="inlineStr">
        <is>
          <t>Monitor</t>
        </is>
      </c>
      <c r="G138" s="499" t="inlineStr">
        <is>
          <t>Optimization phase</t>
        </is>
      </c>
    </row>
  </sheetData>
  <mergeCells count="1">
    <mergeCell ref="A1:J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s="492" t="inlineStr">
        <is>
          <t>DANH SÁCH NHÂN SỰ VÀ PHÂN CÔNG (Team Roster &amp; Responsibilities)</t>
        </is>
      </c>
    </row>
    <row r="3">
      <c r="A3" s="506" t="inlineStr">
        <is>
          <t>STT</t>
        </is>
      </c>
      <c r="B3" s="506" t="inlineStr">
        <is>
          <t>Tên (Name Placeholder)</t>
        </is>
      </c>
      <c r="C3" s="506" t="inlineStr">
        <is>
          <t>Vị Trí / Chức Danh</t>
        </is>
      </c>
      <c r="D3" s="506" t="inlineStr">
        <is>
          <t>Trách Nhiệm Chính</t>
        </is>
      </c>
      <c r="E3" s="506" t="inlineStr">
        <is>
          <t>Công Cụ / Tools</t>
        </is>
      </c>
      <c r="F3" s="506" t="inlineStr">
        <is>
          <t>KPIs</t>
        </is>
      </c>
      <c r="G3" s="506" t="inlineStr">
        <is>
          <t>Báo Cáo Cho</t>
        </is>
      </c>
      <c r="H3" s="506" t="inlineStr">
        <is>
          <t>Mức Lương (VND)</t>
        </is>
      </c>
    </row>
    <row r="4">
      <c r="A4" s="509" t="n">
        <v>1</v>
      </c>
      <c r="B4" s="511" t="inlineStr">
        <is>
          <t>Anh/Chị [Name]</t>
        </is>
      </c>
      <c r="C4" s="511" t="inlineStr">
        <is>
          <t>Marketing Director</t>
        </is>
      </c>
      <c r="D4" s="511" t="inlineStr">
        <is>
          <t>Lên kế hoạch, quản lý budget, report results, team leadership</t>
        </is>
      </c>
      <c r="E4" s="511" t="inlineStr">
        <is>
          <t>Excel, GHL, GA4, Asana</t>
        </is>
      </c>
      <c r="F4" s="511" t="inlineStr">
        <is>
          <t>Total leads 1300, CAC &lt;80K, ROI &gt;10x</t>
        </is>
      </c>
      <c r="G4" s="511" t="inlineStr">
        <is>
          <t>Hiệu Trưởng</t>
        </is>
      </c>
      <c r="H4" s="511" t="inlineStr">
        <is>
          <t>30-50M</t>
        </is>
      </c>
    </row>
    <row r="5">
      <c r="A5" s="509" t="n">
        <v>2</v>
      </c>
      <c r="B5" s="511" t="inlineStr">
        <is>
          <t>[Name]</t>
        </is>
      </c>
      <c r="C5" s="511" t="inlineStr">
        <is>
          <t>Google Ads Manager</t>
        </is>
      </c>
      <c r="D5" s="511" t="inlineStr">
        <is>
          <t>Tạo &amp; quản lý campaigns, keyword research, bid optimization, A/B testing</t>
        </is>
      </c>
      <c r="E5" s="511" t="inlineStr">
        <is>
          <t>Google Ads, Keyword Planner, GA4, Excel</t>
        </is>
      </c>
      <c r="F5" s="511" t="inlineStr">
        <is>
          <t>Leads from GG 300+, CPC &lt;50K, CTR &gt;2.5%</t>
        </is>
      </c>
      <c r="G5" s="511" t="inlineStr">
        <is>
          <t>Marketing Director</t>
        </is>
      </c>
      <c r="H5" s="511" t="inlineStr">
        <is>
          <t>18-25M</t>
        </is>
      </c>
    </row>
    <row r="6">
      <c r="A6" s="509" t="n">
        <v>3</v>
      </c>
      <c r="B6" s="511" t="inlineStr">
        <is>
          <t>[Name]</t>
        </is>
      </c>
      <c r="C6" s="511" t="inlineStr">
        <is>
          <t>Meta Ads Manager</t>
        </is>
      </c>
      <c r="D6" s="511" t="inlineStr">
        <is>
          <t>Facebook/Instagram ads, creative testing, audience segmentation, pixel setup</t>
        </is>
      </c>
      <c r="E6" s="511" t="inlineStr">
        <is>
          <t>Meta Ads Manager, Figma, Canva, GA4</t>
        </is>
      </c>
      <c r="F6" s="511" t="inlineStr">
        <is>
          <t>Leads from Meta 400+, CAC &lt;90K, ROAS &gt;4x</t>
        </is>
      </c>
      <c r="G6" s="511" t="inlineStr">
        <is>
          <t>Marketing Director</t>
        </is>
      </c>
      <c r="H6" s="511" t="inlineStr">
        <is>
          <t>18-25M</t>
        </is>
      </c>
    </row>
    <row r="7">
      <c r="A7" s="509" t="n">
        <v>4</v>
      </c>
      <c r="B7" s="511" t="inlineStr">
        <is>
          <t>[Name]</t>
        </is>
      </c>
      <c r="C7" s="511" t="inlineStr">
        <is>
          <t>TikTok &amp; Social Media Manager</t>
        </is>
      </c>
      <c r="D7" s="511" t="inlineStr">
        <is>
          <t>TikTok ads, organic content, influencer partnerships, community engagement</t>
        </is>
      </c>
      <c r="E7" s="511" t="inlineStr">
        <is>
          <t>TikTok Ads, Airtable, Canva, Adobe</t>
        </is>
      </c>
      <c r="F7" s="511" t="inlineStr">
        <is>
          <t>TikTok leads 150+, Organic reach 2M+, Engagement 5%+</t>
        </is>
      </c>
      <c r="G7" s="511" t="inlineStr">
        <is>
          <t>Marketing Director</t>
        </is>
      </c>
      <c r="H7" s="511" t="inlineStr">
        <is>
          <t>15-20M</t>
        </is>
      </c>
    </row>
    <row r="8">
      <c r="A8" s="509" t="n">
        <v>5</v>
      </c>
      <c r="B8" s="511" t="inlineStr">
        <is>
          <t>[Name]</t>
        </is>
      </c>
      <c r="C8" s="511" t="inlineStr">
        <is>
          <t>Content Creator &amp; Videographer</t>
        </is>
      </c>
      <c r="D8" s="511" t="inlineStr">
        <is>
          <t>Video production, photo shoots, content calendar, editing</t>
        </is>
      </c>
      <c r="E8" s="511" t="inlineStr">
        <is>
          <t>DaVinci Resolve, Canva, Adobe Suite, CapCut</t>
        </is>
      </c>
      <c r="F8" s="511" t="inlineStr">
        <is>
          <t>Videos produced 20+/month, Watch time 1M+ mins</t>
        </is>
      </c>
      <c r="G8" s="511" t="inlineStr">
        <is>
          <t>TikTok &amp; Social Manager</t>
        </is>
      </c>
      <c r="H8" s="511" t="inlineStr">
        <is>
          <t>15-22M</t>
        </is>
      </c>
    </row>
    <row r="9">
      <c r="A9" s="509" t="n">
        <v>6</v>
      </c>
      <c r="B9" s="511" t="inlineStr">
        <is>
          <t>[Name]</t>
        </is>
      </c>
      <c r="C9" s="511" t="inlineStr">
        <is>
          <t>Email &amp; SMS Specialist</t>
        </is>
      </c>
      <c r="D9" s="511" t="inlineStr">
        <is>
          <t>Email sequences, SMS campaigns, automation setup, A/B testing</t>
        </is>
      </c>
      <c r="E9" s="511" t="inlineStr">
        <is>
          <t>GHL, Mailchimp, Twilio, Zapier</t>
        </is>
      </c>
      <c r="F9" s="511" t="inlineStr">
        <is>
          <t>Email open rate &gt;25%, Click rate &gt;5%, Conv rate &gt;2%</t>
        </is>
      </c>
      <c r="G9" s="511" t="inlineStr">
        <is>
          <t>Marketing Director</t>
        </is>
      </c>
      <c r="H9" s="511" t="inlineStr">
        <is>
          <t>12-18M</t>
        </is>
      </c>
    </row>
    <row r="10">
      <c r="A10" s="509" t="n">
        <v>7</v>
      </c>
      <c r="B10" s="511" t="inlineStr">
        <is>
          <t>[Name]</t>
        </is>
      </c>
      <c r="C10" s="511" t="inlineStr">
        <is>
          <t>CRM &amp; Automation Specialist</t>
        </is>
      </c>
      <c r="D10" s="511" t="inlineStr">
        <is>
          <t>GHL setup, automation workflows, lead scoring, integrations</t>
        </is>
      </c>
      <c r="E10" s="511" t="inlineStr">
        <is>
          <t>GoHighLevel, Zapier, n8n, Python scripts</t>
        </is>
      </c>
      <c r="F10" s="511" t="inlineStr">
        <is>
          <t>Automation coverage 95%, Lead scoring accuracy &gt;85%</t>
        </is>
      </c>
      <c r="G10" s="511" t="inlineStr">
        <is>
          <t>Marketing Director</t>
        </is>
      </c>
      <c r="H10" s="511" t="inlineStr">
        <is>
          <t>16-22M</t>
        </is>
      </c>
    </row>
    <row r="11">
      <c r="A11" s="509" t="n">
        <v>8</v>
      </c>
      <c r="B11" s="511" t="inlineStr">
        <is>
          <t>[Name]</t>
        </is>
      </c>
      <c r="C11" s="511" t="inlineStr">
        <is>
          <t>Sales/Business Development Rep #1</t>
        </is>
      </c>
      <c r="D11" s="511" t="inlineStr">
        <is>
          <t>Phone follow-up, lead qualification, consultation scheduling, closing calls</t>
        </is>
      </c>
      <c r="E11" s="511" t="inlineStr">
        <is>
          <t>GHL, Phone, Zalo, Email</t>
        </is>
      </c>
      <c r="F11" s="511" t="inlineStr">
        <is>
          <t>Qualified leads 250+, Close rate &gt;35%, Meetings booked 120+</t>
        </is>
      </c>
      <c r="G11" s="511" t="inlineStr">
        <is>
          <t>Sales Manager</t>
        </is>
      </c>
      <c r="H11" s="511" t="inlineStr">
        <is>
          <t>10-15M</t>
        </is>
      </c>
    </row>
    <row r="12">
      <c r="A12" s="509" t="n">
        <v>9</v>
      </c>
      <c r="B12" s="511" t="inlineStr">
        <is>
          <t>[Name]</t>
        </is>
      </c>
      <c r="C12" s="511" t="inlineStr">
        <is>
          <t>Sales/Business Development Rep #2</t>
        </is>
      </c>
      <c r="D12" s="511" t="inlineStr">
        <is>
          <t>Phone follow-up, lead qualification, consultation scheduling, closing calls</t>
        </is>
      </c>
      <c r="E12" s="511" t="inlineStr">
        <is>
          <t>GHL, Phone, Zalo, Email</t>
        </is>
      </c>
      <c r="F12" s="511" t="inlineStr">
        <is>
          <t>Qualified leads 250+, Close rate &gt;35%, Meetings booked 120+</t>
        </is>
      </c>
      <c r="G12" s="511" t="inlineStr">
        <is>
          <t>Sales Manager</t>
        </is>
      </c>
      <c r="H12" s="511" t="inlineStr">
        <is>
          <t>10-15M</t>
        </is>
      </c>
    </row>
    <row r="13">
      <c r="A13" s="509" t="n">
        <v>10</v>
      </c>
      <c r="B13" s="511" t="inlineStr">
        <is>
          <t>[Name]</t>
        </is>
      </c>
      <c r="C13" s="511" t="inlineStr">
        <is>
          <t>Sales/Business Development Rep #3</t>
        </is>
      </c>
      <c r="D13" s="511" t="inlineStr">
        <is>
          <t>Phone follow-up, lead qualification, consultation scheduling, closing calls</t>
        </is>
      </c>
      <c r="E13" s="511" t="inlineStr">
        <is>
          <t>GHL, Phone, Zalo, Email</t>
        </is>
      </c>
      <c r="F13" s="511" t="inlineStr">
        <is>
          <t>Qualified leads 250+, Close rate &gt;35%, Meetings booked 120+</t>
        </is>
      </c>
      <c r="G13" s="511" t="inlineStr">
        <is>
          <t>Sales Manager</t>
        </is>
      </c>
      <c r="H13" s="511" t="inlineStr">
        <is>
          <t>10-15M</t>
        </is>
      </c>
    </row>
    <row r="14">
      <c r="A14" s="509" t="n">
        <v>11</v>
      </c>
      <c r="B14" s="511" t="inlineStr">
        <is>
          <t>[Name]</t>
        </is>
      </c>
      <c r="C14" s="511" t="inlineStr">
        <is>
          <t>Zalo &amp; Messaging Manager</t>
        </is>
      </c>
      <c r="D14" s="511" t="inlineStr">
        <is>
          <t>Zalo OA management, bulk messaging, customer service, engagement</t>
        </is>
      </c>
      <c r="E14" s="511" t="inlineStr">
        <is>
          <t>Zalo OA, Zalo Ads, Excel, CRM</t>
        </is>
      </c>
      <c r="F14" s="511" t="inlineStr">
        <is>
          <t>Zalo leads 200+, Engagement rate &gt;12%, Response time &lt;1h</t>
        </is>
      </c>
      <c r="G14" s="511" t="inlineStr">
        <is>
          <t>Marketing Director</t>
        </is>
      </c>
      <c r="H14" s="511" t="inlineStr">
        <is>
          <t>12-18M</t>
        </is>
      </c>
    </row>
    <row r="15">
      <c r="A15" s="509" t="n">
        <v>12</v>
      </c>
      <c r="B15" s="511" t="inlineStr">
        <is>
          <t>[Name]</t>
        </is>
      </c>
      <c r="C15" s="511" t="inlineStr">
        <is>
          <t>Analytics &amp; Reporting Specialist</t>
        </is>
      </c>
      <c r="D15" s="511" t="inlineStr">
        <is>
          <t>GA4 tracking, dashboard creation, data analysis, insights generation</t>
        </is>
      </c>
      <c r="E15" s="511" t="inlineStr">
        <is>
          <t>Google Analytics, Data Studio, Excel, Looker</t>
        </is>
      </c>
      <c r="F15" s="511" t="inlineStr">
        <is>
          <t>Dashboard uptime 99%, Reporting latency &lt;24h, Accuracy &gt;95%</t>
        </is>
      </c>
      <c r="G15" s="511" t="inlineStr">
        <is>
          <t>Marketing Director</t>
        </is>
      </c>
      <c r="H15" s="511" t="inlineStr">
        <is>
          <t>14-20M</t>
        </is>
      </c>
    </row>
    <row r="16">
      <c r="A16" s="509" t="n">
        <v>13</v>
      </c>
      <c r="B16" s="511" t="inlineStr">
        <is>
          <t>[Name]</t>
        </is>
      </c>
      <c r="C16" s="511" t="inlineStr">
        <is>
          <t>Webinar &amp; Events Coordinator</t>
        </is>
      </c>
      <c r="D16" s="511" t="inlineStr">
        <is>
          <t>Webinar planning, speaker coordination, promotion, post-event follow-up</t>
        </is>
      </c>
      <c r="E16" s="511" t="inlineStr">
        <is>
          <t>Zoom, Google Forms, Canva, Email, Excel</t>
        </is>
      </c>
      <c r="F16" s="511" t="inlineStr">
        <is>
          <t>Webinars/month 2, Attendance rate &gt;70%, Conv rate &gt;20%</t>
        </is>
      </c>
      <c r="G16" s="511" t="inlineStr">
        <is>
          <t>Marketing Director</t>
        </is>
      </c>
      <c r="H16" s="511" t="inlineStr">
        <is>
          <t>12-16M</t>
        </is>
      </c>
    </row>
    <row r="17">
      <c r="A17" s="509" t="n">
        <v>14</v>
      </c>
      <c r="B17" s="511" t="inlineStr">
        <is>
          <t>[Name]</t>
        </is>
      </c>
      <c r="C17" s="511" t="inlineStr">
        <is>
          <t>Sales Manager</t>
        </is>
      </c>
      <c r="D17" s="511" t="inlineStr">
        <is>
          <t>Manage BDR team, pipeline management, sales strategy, team coaching</t>
        </is>
      </c>
      <c r="E17" s="511" t="inlineStr">
        <is>
          <t>GHL, CRM, Salesforce (optional), Asana</t>
        </is>
      </c>
      <c r="F17" s="511" t="inlineStr">
        <is>
          <t>Team quota attainment 100%+, Pipeline value &gt;2B VND</t>
        </is>
      </c>
      <c r="G17" s="511" t="inlineStr">
        <is>
          <t>Marketing Director</t>
        </is>
      </c>
      <c r="H17" s="511" t="inlineStr">
        <is>
          <t>20-30M</t>
        </is>
      </c>
    </row>
    <row r="18">
      <c r="A18" s="509" t="n">
        <v>15</v>
      </c>
      <c r="B18" s="511" t="inlineStr">
        <is>
          <t>[Name]</t>
        </is>
      </c>
      <c r="C18" s="511" t="inlineStr">
        <is>
          <t>Graphic Designer / Brand Specialist</t>
        </is>
      </c>
      <c r="D18" s="511" t="inlineStr">
        <is>
          <t>Ad creative design, brand assets, social media graphics, template creation</t>
        </is>
      </c>
      <c r="E18" s="511" t="inlineStr">
        <is>
          <t>Figma, Canva, Photoshop, Illustrator</t>
        </is>
      </c>
      <c r="F18" s="511" t="inlineStr">
        <is>
          <t>Creatives produced 50+/month, Engagement lift &gt;15%</t>
        </is>
      </c>
      <c r="G18" s="511" t="inlineStr">
        <is>
          <t>Marketing Director</t>
        </is>
      </c>
      <c r="H18" s="511" t="inlineStr">
        <is>
          <t>14-20M</t>
        </is>
      </c>
    </row>
    <row r="21">
      <c r="A21" s="494" t="inlineStr">
        <is>
          <t>RACI MATRIX - Phân Công Trách Nhiệm Chính (Key Activities × Roles)</t>
        </is>
      </c>
    </row>
    <row r="22">
      <c r="A22" s="247" t="inlineStr">
        <is>
          <t>R = Responsible | A = Accountable | C = Consulted | I = Informed</t>
        </is>
      </c>
    </row>
    <row r="24">
      <c r="A24" s="506" t="inlineStr">
        <is>
          <t>Activity</t>
        </is>
      </c>
      <c r="B24" s="506" t="inlineStr">
        <is>
          <t>GG Manager</t>
        </is>
      </c>
      <c r="C24" s="506" t="inlineStr">
        <is>
          <t>Meta Manager</t>
        </is>
      </c>
      <c r="D24" s="506" t="inlineStr">
        <is>
          <t>TikTok Manager</t>
        </is>
      </c>
      <c r="E24" s="506" t="inlineStr">
        <is>
          <t>Content</t>
        </is>
      </c>
      <c r="F24" s="506" t="inlineStr">
        <is>
          <t>Email/SMS</t>
        </is>
      </c>
      <c r="G24" s="506" t="inlineStr">
        <is>
          <t>GHL Specialist</t>
        </is>
      </c>
      <c r="H24" s="506" t="inlineStr">
        <is>
          <t>BDR</t>
        </is>
      </c>
      <c r="I24" s="506" t="inlineStr">
        <is>
          <t>Sales Mgr</t>
        </is>
      </c>
      <c r="J24" s="506" t="inlineStr">
        <is>
          <t>Analytics</t>
        </is>
      </c>
      <c r="K24" s="506" t="inlineStr">
        <is>
          <t>Webinar</t>
        </is>
      </c>
      <c r="L24" s="506" t="inlineStr">
        <is>
          <t>Designer</t>
        </is>
      </c>
    </row>
    <row r="25">
      <c r="A25" s="507" t="inlineStr">
        <is>
          <t>Campaign Planning</t>
        </is>
      </c>
      <c r="B25" s="509" t="inlineStr">
        <is>
          <t>C</t>
        </is>
      </c>
      <c r="C25" s="509" t="inlineStr">
        <is>
          <t>C</t>
        </is>
      </c>
      <c r="D25" s="509" t="inlineStr">
        <is>
          <t>C</t>
        </is>
      </c>
      <c r="E25" s="509" t="inlineStr">
        <is>
          <t>I</t>
        </is>
      </c>
      <c r="F25" s="509" t="inlineStr">
        <is>
          <t>I</t>
        </is>
      </c>
      <c r="G25" s="509" t="inlineStr">
        <is>
          <t>C</t>
        </is>
      </c>
      <c r="H25" s="509" t="inlineStr">
        <is>
          <t>I</t>
        </is>
      </c>
      <c r="I25" s="509" t="inlineStr">
        <is>
          <t>A</t>
        </is>
      </c>
      <c r="J25" s="509" t="inlineStr">
        <is>
          <t>I</t>
        </is>
      </c>
      <c r="K25" s="509" t="inlineStr">
        <is>
          <t>I</t>
        </is>
      </c>
      <c r="L25" s="509" t="inlineStr">
        <is>
          <t>I</t>
        </is>
      </c>
    </row>
    <row r="26">
      <c r="A26" s="507" t="inlineStr">
        <is>
          <t>Google Ads Setup &amp; Optimization</t>
        </is>
      </c>
      <c r="B26" s="509" t="inlineStr">
        <is>
          <t>A</t>
        </is>
      </c>
      <c r="C26" s="509" t="inlineStr">
        <is>
          <t>I</t>
        </is>
      </c>
      <c r="D26" s="509" t="inlineStr">
        <is>
          <t>I</t>
        </is>
      </c>
      <c r="E26" s="509" t="inlineStr">
        <is>
          <t>C</t>
        </is>
      </c>
      <c r="F26" s="509" t="inlineStr">
        <is>
          <t>I</t>
        </is>
      </c>
      <c r="G26" s="509" t="inlineStr">
        <is>
          <t>C</t>
        </is>
      </c>
      <c r="H26" s="509" t="inlineStr">
        <is>
          <t>I</t>
        </is>
      </c>
      <c r="I26" s="509" t="inlineStr">
        <is>
          <t>I</t>
        </is>
      </c>
      <c r="J26" s="509" t="inlineStr">
        <is>
          <t>C</t>
        </is>
      </c>
      <c r="K26" s="509" t="inlineStr">
        <is>
          <t>I</t>
        </is>
      </c>
      <c r="L26" s="509" t="inlineStr">
        <is>
          <t>I</t>
        </is>
      </c>
    </row>
    <row r="27">
      <c r="A27" s="507" t="inlineStr">
        <is>
          <t>Meta Ads Setup &amp; Optimization</t>
        </is>
      </c>
      <c r="B27" s="509" t="inlineStr">
        <is>
          <t>I</t>
        </is>
      </c>
      <c r="C27" s="509" t="inlineStr">
        <is>
          <t>A</t>
        </is>
      </c>
      <c r="D27" s="509" t="inlineStr">
        <is>
          <t>I</t>
        </is>
      </c>
      <c r="E27" s="509" t="inlineStr">
        <is>
          <t>C</t>
        </is>
      </c>
      <c r="F27" s="509" t="inlineStr">
        <is>
          <t>I</t>
        </is>
      </c>
      <c r="G27" s="509" t="inlineStr">
        <is>
          <t>C</t>
        </is>
      </c>
      <c r="H27" s="509" t="inlineStr">
        <is>
          <t>I</t>
        </is>
      </c>
      <c r="I27" s="509" t="inlineStr">
        <is>
          <t>I</t>
        </is>
      </c>
      <c r="J27" s="509" t="inlineStr">
        <is>
          <t>C</t>
        </is>
      </c>
      <c r="K27" s="509" t="inlineStr">
        <is>
          <t>I</t>
        </is>
      </c>
      <c r="L27" s="509" t="inlineStr">
        <is>
          <t>I</t>
        </is>
      </c>
    </row>
    <row r="28">
      <c r="A28" s="507" t="inlineStr">
        <is>
          <t>TikTok Ads &amp; Organic</t>
        </is>
      </c>
      <c r="B28" s="509" t="inlineStr">
        <is>
          <t>I</t>
        </is>
      </c>
      <c r="C28" s="509" t="inlineStr">
        <is>
          <t>I</t>
        </is>
      </c>
      <c r="D28" s="509" t="inlineStr">
        <is>
          <t>A</t>
        </is>
      </c>
      <c r="E28" s="509" t="inlineStr">
        <is>
          <t>R</t>
        </is>
      </c>
      <c r="F28" s="509" t="inlineStr">
        <is>
          <t>I</t>
        </is>
      </c>
      <c r="G28" s="509" t="inlineStr">
        <is>
          <t>C</t>
        </is>
      </c>
      <c r="H28" s="509" t="inlineStr">
        <is>
          <t>I</t>
        </is>
      </c>
      <c r="I28" s="509" t="inlineStr">
        <is>
          <t>I</t>
        </is>
      </c>
      <c r="J28" s="509" t="inlineStr">
        <is>
          <t>C</t>
        </is>
      </c>
      <c r="K28" s="509" t="inlineStr">
        <is>
          <t>I</t>
        </is>
      </c>
      <c r="L28" s="509" t="inlineStr">
        <is>
          <t>C</t>
        </is>
      </c>
    </row>
    <row r="29">
      <c r="A29" s="507" t="inlineStr">
        <is>
          <t>Content Creation</t>
        </is>
      </c>
      <c r="B29" s="509" t="inlineStr">
        <is>
          <t>I</t>
        </is>
      </c>
      <c r="C29" s="509" t="inlineStr">
        <is>
          <t>C</t>
        </is>
      </c>
      <c r="D29" s="509" t="inlineStr">
        <is>
          <t>R</t>
        </is>
      </c>
      <c r="E29" s="509" t="inlineStr">
        <is>
          <t>A</t>
        </is>
      </c>
      <c r="F29" s="509" t="inlineStr">
        <is>
          <t>I</t>
        </is>
      </c>
      <c r="G29" s="509" t="inlineStr">
        <is>
          <t>I</t>
        </is>
      </c>
      <c r="H29" s="509" t="inlineStr">
        <is>
          <t>I</t>
        </is>
      </c>
      <c r="I29" s="509" t="inlineStr">
        <is>
          <t>I</t>
        </is>
      </c>
      <c r="J29" s="509" t="inlineStr">
        <is>
          <t>I</t>
        </is>
      </c>
      <c r="K29" s="509" t="inlineStr">
        <is>
          <t>C</t>
        </is>
      </c>
      <c r="L29" s="509" t="inlineStr">
        <is>
          <t>A</t>
        </is>
      </c>
    </row>
    <row r="30">
      <c r="A30" s="507" t="inlineStr">
        <is>
          <t>Email Campaign Execution</t>
        </is>
      </c>
      <c r="B30" s="509" t="inlineStr">
        <is>
          <t>I</t>
        </is>
      </c>
      <c r="C30" s="509" t="inlineStr">
        <is>
          <t>I</t>
        </is>
      </c>
      <c r="D30" s="509" t="inlineStr">
        <is>
          <t>I</t>
        </is>
      </c>
      <c r="E30" s="509" t="inlineStr">
        <is>
          <t>I</t>
        </is>
      </c>
      <c r="F30" s="509" t="inlineStr">
        <is>
          <t>A</t>
        </is>
      </c>
      <c r="G30" s="509" t="inlineStr">
        <is>
          <t>C</t>
        </is>
      </c>
      <c r="H30" s="509" t="inlineStr">
        <is>
          <t>I</t>
        </is>
      </c>
      <c r="I30" s="509" t="inlineStr">
        <is>
          <t>C</t>
        </is>
      </c>
      <c r="J30" s="509" t="inlineStr">
        <is>
          <t>I</t>
        </is>
      </c>
      <c r="K30" s="509" t="inlineStr">
        <is>
          <t>I</t>
        </is>
      </c>
      <c r="L30" s="509" t="inlineStr">
        <is>
          <t>I</t>
        </is>
      </c>
    </row>
    <row r="31">
      <c r="A31" s="507" t="inlineStr">
        <is>
          <t>SMS Campaign Execution</t>
        </is>
      </c>
      <c r="B31" s="509" t="inlineStr">
        <is>
          <t>I</t>
        </is>
      </c>
      <c r="C31" s="509" t="inlineStr">
        <is>
          <t>I</t>
        </is>
      </c>
      <c r="D31" s="509" t="inlineStr">
        <is>
          <t>I</t>
        </is>
      </c>
      <c r="E31" s="509" t="inlineStr">
        <is>
          <t>I</t>
        </is>
      </c>
      <c r="F31" s="509" t="inlineStr">
        <is>
          <t>A</t>
        </is>
      </c>
      <c r="G31" s="509" t="inlineStr">
        <is>
          <t>C</t>
        </is>
      </c>
      <c r="H31" s="509" t="inlineStr">
        <is>
          <t>I</t>
        </is>
      </c>
      <c r="I31" s="509" t="inlineStr">
        <is>
          <t>C</t>
        </is>
      </c>
      <c r="J31" s="509" t="inlineStr">
        <is>
          <t>I</t>
        </is>
      </c>
      <c r="K31" s="509" t="inlineStr">
        <is>
          <t>I</t>
        </is>
      </c>
      <c r="L31" s="509" t="inlineStr">
        <is>
          <t>I</t>
        </is>
      </c>
    </row>
    <row r="32">
      <c r="A32" s="507" t="inlineStr">
        <is>
          <t>GHL Setup &amp; Automation</t>
        </is>
      </c>
      <c r="B32" s="509" t="inlineStr">
        <is>
          <t>I</t>
        </is>
      </c>
      <c r="C32" s="509" t="inlineStr">
        <is>
          <t>I</t>
        </is>
      </c>
      <c r="D32" s="509" t="inlineStr">
        <is>
          <t>I</t>
        </is>
      </c>
      <c r="E32" s="509" t="inlineStr">
        <is>
          <t>I</t>
        </is>
      </c>
      <c r="F32" s="509" t="inlineStr">
        <is>
          <t>C</t>
        </is>
      </c>
      <c r="G32" s="509" t="inlineStr">
        <is>
          <t>A</t>
        </is>
      </c>
      <c r="H32" s="509" t="inlineStr">
        <is>
          <t>C</t>
        </is>
      </c>
      <c r="I32" s="509" t="inlineStr">
        <is>
          <t>C</t>
        </is>
      </c>
      <c r="J32" s="509" t="inlineStr">
        <is>
          <t>I</t>
        </is>
      </c>
      <c r="K32" s="509" t="inlineStr">
        <is>
          <t>I</t>
        </is>
      </c>
      <c r="L32" s="509" t="inlineStr">
        <is>
          <t>I</t>
        </is>
      </c>
    </row>
    <row r="33">
      <c r="A33" s="507" t="inlineStr">
        <is>
          <t>Lead Qualification &amp; Scoring</t>
        </is>
      </c>
      <c r="B33" s="509" t="inlineStr">
        <is>
          <t>I</t>
        </is>
      </c>
      <c r="C33" s="509" t="inlineStr">
        <is>
          <t>I</t>
        </is>
      </c>
      <c r="D33" s="509" t="inlineStr">
        <is>
          <t>I</t>
        </is>
      </c>
      <c r="E33" s="509" t="inlineStr">
        <is>
          <t>I</t>
        </is>
      </c>
      <c r="F33" s="509" t="inlineStr">
        <is>
          <t>I</t>
        </is>
      </c>
      <c r="G33" s="509" t="inlineStr">
        <is>
          <t>A</t>
        </is>
      </c>
      <c r="H33" s="509" t="inlineStr">
        <is>
          <t>R</t>
        </is>
      </c>
      <c r="I33" s="509" t="inlineStr">
        <is>
          <t>A</t>
        </is>
      </c>
      <c r="J33" s="509" t="inlineStr">
        <is>
          <t>I</t>
        </is>
      </c>
      <c r="K33" s="509" t="inlineStr">
        <is>
          <t>I</t>
        </is>
      </c>
      <c r="L33" s="509" t="inlineStr">
        <is>
          <t>I</t>
        </is>
      </c>
    </row>
    <row r="34">
      <c r="A34" s="507" t="inlineStr">
        <is>
          <t>Phone Follow-up &amp; Qualification</t>
        </is>
      </c>
      <c r="B34" s="509" t="inlineStr">
        <is>
          <t>I</t>
        </is>
      </c>
      <c r="C34" s="509" t="inlineStr">
        <is>
          <t>I</t>
        </is>
      </c>
      <c r="D34" s="509" t="inlineStr">
        <is>
          <t>I</t>
        </is>
      </c>
      <c r="E34" s="509" t="inlineStr">
        <is>
          <t>I</t>
        </is>
      </c>
      <c r="F34" s="509" t="inlineStr">
        <is>
          <t>I</t>
        </is>
      </c>
      <c r="G34" s="509" t="inlineStr">
        <is>
          <t>C</t>
        </is>
      </c>
      <c r="H34" s="509" t="inlineStr">
        <is>
          <t>A</t>
        </is>
      </c>
      <c r="I34" s="509" t="inlineStr">
        <is>
          <t>A</t>
        </is>
      </c>
      <c r="J34" s="509" t="inlineStr">
        <is>
          <t>I</t>
        </is>
      </c>
      <c r="K34" s="509" t="inlineStr">
        <is>
          <t>I</t>
        </is>
      </c>
      <c r="L34" s="509" t="inlineStr">
        <is>
          <t>I</t>
        </is>
      </c>
    </row>
    <row r="35">
      <c r="A35" s="507" t="inlineStr">
        <is>
          <t>Consultation Scheduling</t>
        </is>
      </c>
      <c r="B35" s="509" t="inlineStr">
        <is>
          <t>I</t>
        </is>
      </c>
      <c r="C35" s="509" t="inlineStr">
        <is>
          <t>I</t>
        </is>
      </c>
      <c r="D35" s="509" t="inlineStr">
        <is>
          <t>I</t>
        </is>
      </c>
      <c r="E35" s="509" t="inlineStr">
        <is>
          <t>I</t>
        </is>
      </c>
      <c r="F35" s="509" t="inlineStr">
        <is>
          <t>I</t>
        </is>
      </c>
      <c r="G35" s="509" t="inlineStr">
        <is>
          <t>C</t>
        </is>
      </c>
      <c r="H35" s="509" t="inlineStr">
        <is>
          <t>A</t>
        </is>
      </c>
      <c r="I35" s="509" t="inlineStr">
        <is>
          <t>A</t>
        </is>
      </c>
      <c r="J35" s="509" t="inlineStr">
        <is>
          <t>I</t>
        </is>
      </c>
      <c r="K35" s="509" t="inlineStr">
        <is>
          <t>I</t>
        </is>
      </c>
      <c r="L35" s="509" t="inlineStr">
        <is>
          <t>I</t>
        </is>
      </c>
    </row>
    <row r="36">
      <c r="A36" s="507" t="inlineStr">
        <is>
          <t>Zalo Messaging &amp; OA</t>
        </is>
      </c>
      <c r="B36" s="509" t="inlineStr">
        <is>
          <t>I</t>
        </is>
      </c>
      <c r="C36" s="509" t="inlineStr">
        <is>
          <t>I</t>
        </is>
      </c>
      <c r="D36" s="509" t="inlineStr">
        <is>
          <t>C</t>
        </is>
      </c>
      <c r="E36" s="509" t="inlineStr">
        <is>
          <t>I</t>
        </is>
      </c>
      <c r="F36" s="509" t="inlineStr">
        <is>
          <t>C</t>
        </is>
      </c>
      <c r="G36" s="509" t="inlineStr">
        <is>
          <t>R</t>
        </is>
      </c>
      <c r="H36" s="509" t="inlineStr">
        <is>
          <t>C</t>
        </is>
      </c>
      <c r="I36" s="509" t="inlineStr">
        <is>
          <t>I</t>
        </is>
      </c>
      <c r="J36" s="509" t="inlineStr">
        <is>
          <t>I</t>
        </is>
      </c>
      <c r="K36" s="509" t="inlineStr">
        <is>
          <t>I</t>
        </is>
      </c>
      <c r="L36" s="509" t="inlineStr">
        <is>
          <t>I</t>
        </is>
      </c>
    </row>
    <row r="37">
      <c r="A37" s="507" t="inlineStr">
        <is>
          <t>Analytics &amp; Reporting</t>
        </is>
      </c>
      <c r="B37" s="509" t="inlineStr">
        <is>
          <t>C</t>
        </is>
      </c>
      <c r="C37" s="509" t="inlineStr">
        <is>
          <t>C</t>
        </is>
      </c>
      <c r="D37" s="509" t="inlineStr">
        <is>
          <t>C</t>
        </is>
      </c>
      <c r="E37" s="509" t="inlineStr">
        <is>
          <t>I</t>
        </is>
      </c>
      <c r="F37" s="509" t="inlineStr">
        <is>
          <t>C</t>
        </is>
      </c>
      <c r="G37" s="509" t="inlineStr">
        <is>
          <t>C</t>
        </is>
      </c>
      <c r="H37" s="509" t="inlineStr">
        <is>
          <t>I</t>
        </is>
      </c>
      <c r="I37" s="509" t="inlineStr">
        <is>
          <t>I</t>
        </is>
      </c>
      <c r="J37" s="509" t="inlineStr">
        <is>
          <t>A</t>
        </is>
      </c>
      <c r="K37" s="509" t="inlineStr">
        <is>
          <t>I</t>
        </is>
      </c>
      <c r="L37" s="509" t="inlineStr">
        <is>
          <t>I</t>
        </is>
      </c>
    </row>
    <row r="38">
      <c r="A38" s="507" t="inlineStr">
        <is>
          <t>Webinar Planning &amp; Execution</t>
        </is>
      </c>
      <c r="B38" s="509" t="inlineStr">
        <is>
          <t>I</t>
        </is>
      </c>
      <c r="C38" s="509" t="inlineStr">
        <is>
          <t>I</t>
        </is>
      </c>
      <c r="D38" s="509" t="inlineStr">
        <is>
          <t>I</t>
        </is>
      </c>
      <c r="E38" s="509" t="inlineStr">
        <is>
          <t>C</t>
        </is>
      </c>
      <c r="F38" s="509" t="inlineStr">
        <is>
          <t>C</t>
        </is>
      </c>
      <c r="G38" s="509" t="inlineStr">
        <is>
          <t>C</t>
        </is>
      </c>
      <c r="H38" s="509" t="inlineStr">
        <is>
          <t>I</t>
        </is>
      </c>
      <c r="I38" s="509" t="inlineStr">
        <is>
          <t>I</t>
        </is>
      </c>
      <c r="J38" s="509" t="inlineStr">
        <is>
          <t>I</t>
        </is>
      </c>
      <c r="K38" s="509" t="inlineStr">
        <is>
          <t>A</t>
        </is>
      </c>
      <c r="L38" s="509" t="inlineStr">
        <is>
          <t>C</t>
        </is>
      </c>
    </row>
    <row r="39">
      <c r="A39" s="507" t="inlineStr">
        <is>
          <t>Influencer Outreach</t>
        </is>
      </c>
      <c r="B39" s="509" t="inlineStr">
        <is>
          <t>I</t>
        </is>
      </c>
      <c r="C39" s="509" t="inlineStr">
        <is>
          <t>I</t>
        </is>
      </c>
      <c r="D39" s="509" t="inlineStr">
        <is>
          <t>C</t>
        </is>
      </c>
      <c r="E39" s="509" t="inlineStr">
        <is>
          <t>A</t>
        </is>
      </c>
      <c r="F39" s="509" t="inlineStr">
        <is>
          <t>I</t>
        </is>
      </c>
      <c r="G39" s="509" t="inlineStr">
        <is>
          <t>I</t>
        </is>
      </c>
      <c r="H39" s="509" t="inlineStr">
        <is>
          <t>I</t>
        </is>
      </c>
      <c r="I39" s="509" t="inlineStr">
        <is>
          <t>I</t>
        </is>
      </c>
      <c r="J39" s="509" t="inlineStr">
        <is>
          <t>I</t>
        </is>
      </c>
      <c r="K39" s="509" t="inlineStr">
        <is>
          <t>I</t>
        </is>
      </c>
      <c r="L39" s="509" t="inlineStr">
        <is>
          <t>I</t>
        </is>
      </c>
    </row>
    <row r="40">
      <c r="A40" s="507" t="inlineStr">
        <is>
          <t>Creative Design &amp; Production</t>
        </is>
      </c>
      <c r="B40" s="509" t="inlineStr">
        <is>
          <t>C</t>
        </is>
      </c>
      <c r="C40" s="509" t="inlineStr">
        <is>
          <t>C</t>
        </is>
      </c>
      <c r="D40" s="509" t="inlineStr">
        <is>
          <t>C</t>
        </is>
      </c>
      <c r="E40" s="509" t="inlineStr">
        <is>
          <t>C</t>
        </is>
      </c>
      <c r="F40" s="509" t="inlineStr">
        <is>
          <t>I</t>
        </is>
      </c>
      <c r="G40" s="509" t="inlineStr">
        <is>
          <t>I</t>
        </is>
      </c>
      <c r="H40" s="509" t="inlineStr">
        <is>
          <t>I</t>
        </is>
      </c>
      <c r="I40" s="509" t="inlineStr">
        <is>
          <t>I</t>
        </is>
      </c>
      <c r="J40" s="509" t="inlineStr">
        <is>
          <t>I</t>
        </is>
      </c>
      <c r="K40" s="509" t="inlineStr">
        <is>
          <t>I</t>
        </is>
      </c>
      <c r="L40" s="509" t="inlineStr">
        <is>
          <t>A</t>
        </is>
      </c>
    </row>
    <row r="41">
      <c r="A41" s="507" t="inlineStr">
        <is>
          <t>Budget Tracking &amp; Optimization</t>
        </is>
      </c>
      <c r="B41" s="509" t="inlineStr">
        <is>
          <t>A</t>
        </is>
      </c>
      <c r="C41" s="509" t="inlineStr">
        <is>
          <t>A</t>
        </is>
      </c>
      <c r="D41" s="509" t="inlineStr">
        <is>
          <t>A</t>
        </is>
      </c>
      <c r="E41" s="509" t="inlineStr">
        <is>
          <t>I</t>
        </is>
      </c>
      <c r="F41" s="509" t="inlineStr">
        <is>
          <t>C</t>
        </is>
      </c>
      <c r="G41" s="509" t="inlineStr">
        <is>
          <t>I</t>
        </is>
      </c>
      <c r="H41" s="509" t="inlineStr">
        <is>
          <t>I</t>
        </is>
      </c>
      <c r="I41" s="509" t="inlineStr">
        <is>
          <t>I</t>
        </is>
      </c>
      <c r="J41" s="509" t="inlineStr">
        <is>
          <t>C</t>
        </is>
      </c>
      <c r="K41" s="509" t="inlineStr">
        <is>
          <t>I</t>
        </is>
      </c>
      <c r="L41" s="509" t="inlineStr">
        <is>
          <t>I</t>
        </is>
      </c>
    </row>
    <row r="42">
      <c r="A42" s="507" t="inlineStr">
        <is>
          <t>Team Leadership &amp; Direction</t>
        </is>
      </c>
      <c r="B42" s="509" t="inlineStr">
        <is>
          <t>C</t>
        </is>
      </c>
      <c r="C42" s="509" t="inlineStr">
        <is>
          <t>C</t>
        </is>
      </c>
      <c r="D42" s="509" t="inlineStr">
        <is>
          <t>C</t>
        </is>
      </c>
      <c r="E42" s="509" t="inlineStr">
        <is>
          <t>C</t>
        </is>
      </c>
      <c r="F42" s="509" t="inlineStr">
        <is>
          <t>C</t>
        </is>
      </c>
      <c r="G42" s="509" t="inlineStr">
        <is>
          <t>C</t>
        </is>
      </c>
      <c r="H42" s="509" t="inlineStr">
        <is>
          <t>C</t>
        </is>
      </c>
      <c r="I42" s="509" t="inlineStr">
        <is>
          <t>A</t>
        </is>
      </c>
      <c r="J42" s="509" t="inlineStr">
        <is>
          <t>C</t>
        </is>
      </c>
      <c r="K42" s="509" t="inlineStr">
        <is>
          <t>C</t>
        </is>
      </c>
      <c r="L42" s="509" t="inlineStr">
        <is>
          <t>C</t>
        </is>
      </c>
    </row>
    <row r="43">
      <c r="A43" s="507" t="inlineStr">
        <is>
          <t>Performance Review &amp; Coaching</t>
        </is>
      </c>
      <c r="B43" s="509" t="inlineStr">
        <is>
          <t>I</t>
        </is>
      </c>
      <c r="C43" s="509" t="inlineStr">
        <is>
          <t>I</t>
        </is>
      </c>
      <c r="D43" s="509" t="inlineStr">
        <is>
          <t>I</t>
        </is>
      </c>
      <c r="E43" s="509" t="inlineStr">
        <is>
          <t>I</t>
        </is>
      </c>
      <c r="F43" s="509" t="inlineStr">
        <is>
          <t>I</t>
        </is>
      </c>
      <c r="G43" s="509" t="inlineStr">
        <is>
          <t>I</t>
        </is>
      </c>
      <c r="H43" s="509" t="inlineStr">
        <is>
          <t>A</t>
        </is>
      </c>
      <c r="I43" s="509" t="inlineStr">
        <is>
          <t>A</t>
        </is>
      </c>
      <c r="J43" s="509" t="inlineStr">
        <is>
          <t>I</t>
        </is>
      </c>
      <c r="K43" s="509" t="inlineStr">
        <is>
          <t>I</t>
        </is>
      </c>
      <c r="L43" s="509" t="inlineStr">
        <is>
          <t>I</t>
        </is>
      </c>
    </row>
    <row r="44">
      <c r="A44" s="507" t="inlineStr">
        <is>
          <t>Client Communication &amp; Updates</t>
        </is>
      </c>
      <c r="B44" s="509" t="inlineStr">
        <is>
          <t>C</t>
        </is>
      </c>
      <c r="C44" s="509" t="inlineStr">
        <is>
          <t>C</t>
        </is>
      </c>
      <c r="D44" s="509" t="inlineStr">
        <is>
          <t>C</t>
        </is>
      </c>
      <c r="E44" s="509" t="inlineStr">
        <is>
          <t>I</t>
        </is>
      </c>
      <c r="F44" s="509" t="inlineStr">
        <is>
          <t>I</t>
        </is>
      </c>
      <c r="G44" s="509" t="inlineStr">
        <is>
          <t>I</t>
        </is>
      </c>
      <c r="H44" s="509" t="inlineStr">
        <is>
          <t>I</t>
        </is>
      </c>
      <c r="I44" s="509" t="inlineStr">
        <is>
          <t>A</t>
        </is>
      </c>
      <c r="J44" s="509" t="inlineStr">
        <is>
          <t>I</t>
        </is>
      </c>
      <c r="K44" s="509" t="inlineStr">
        <is>
          <t>I</t>
        </is>
      </c>
      <c r="L44" s="509" t="inlineStr">
        <is>
          <t>I</t>
        </is>
      </c>
    </row>
    <row r="47">
      <c r="A47" s="494" t="inlineStr">
        <is>
          <t>LỊCH TRAINING &amp; DEVELOPMENT (Training Schedule)</t>
        </is>
      </c>
    </row>
    <row r="49">
      <c r="A49" s="506" t="inlineStr">
        <is>
          <t>Tuần</t>
        </is>
      </c>
      <c r="B49" s="506" t="inlineStr">
        <is>
          <t>Chủ Đề Training</t>
        </is>
      </c>
      <c r="C49" s="506" t="inlineStr">
        <is>
          <t>Diễn Giả / Người Dẫn</t>
        </is>
      </c>
      <c r="D49" s="506" t="inlineStr">
        <is>
          <t>Đối Tượng</t>
        </is>
      </c>
      <c r="E49" s="506" t="inlineStr">
        <is>
          <t>Thời Lượng</t>
        </is>
      </c>
    </row>
    <row r="50">
      <c r="A50" s="509" t="inlineStr">
        <is>
          <t>Tuần 1 (1-4/4)</t>
        </is>
      </c>
      <c r="B50" s="507" t="inlineStr">
        <is>
          <t>Google Ads 101 - Setup, Keywords, Bidding</t>
        </is>
      </c>
      <c r="C50" s="507" t="inlineStr">
        <is>
          <t>Google Partner / In-house</t>
        </is>
      </c>
      <c r="D50" s="507" t="inlineStr">
        <is>
          <t>Google Ads team</t>
        </is>
      </c>
      <c r="E50" s="507" t="inlineStr">
        <is>
          <t>4 hours</t>
        </is>
      </c>
    </row>
    <row r="51">
      <c r="A51" s="509" t="inlineStr">
        <is>
          <t>Tuần 1</t>
        </is>
      </c>
      <c r="B51" s="507" t="inlineStr">
        <is>
          <t>Meta Ads 101 - Pixel, Audience, Creative</t>
        </is>
      </c>
      <c r="C51" s="507" t="inlineStr">
        <is>
          <t>Meta Ads specialist</t>
        </is>
      </c>
      <c r="D51" s="507" t="inlineStr">
        <is>
          <t>Meta Ads team</t>
        </is>
      </c>
      <c r="E51" s="507" t="inlineStr">
        <is>
          <t>4 hours</t>
        </is>
      </c>
    </row>
    <row r="52">
      <c r="A52" s="509" t="inlineStr">
        <is>
          <t>Tuần 2 (5-11/4)</t>
        </is>
      </c>
      <c r="B52" s="507" t="inlineStr">
        <is>
          <t>GHL Complete Training - Workflows, Automation</t>
        </is>
      </c>
      <c r="C52" s="507" t="inlineStr">
        <is>
          <t>GHL expert partner</t>
        </is>
      </c>
      <c r="D52" s="507" t="inlineStr">
        <is>
          <t>GHL + BDR team</t>
        </is>
      </c>
      <c r="E52" s="507" t="inlineStr">
        <is>
          <t>6 hours</t>
        </is>
      </c>
    </row>
    <row r="53">
      <c r="A53" s="509" t="inlineStr">
        <is>
          <t>Tuần 2</t>
        </is>
      </c>
      <c r="B53" s="507" t="inlineStr">
        <is>
          <t>CRM Best Practices &amp; Lead Management</t>
        </is>
      </c>
      <c r="C53" s="507" t="inlineStr">
        <is>
          <t>Sales Manager</t>
        </is>
      </c>
      <c r="D53" s="507" t="inlineStr">
        <is>
          <t>Sales &amp; support team</t>
        </is>
      </c>
      <c r="E53" s="507" t="inlineStr">
        <is>
          <t>3 hours</t>
        </is>
      </c>
    </row>
    <row r="54">
      <c r="A54" s="509" t="inlineStr">
        <is>
          <t>Tuần 3 (12-18/4)</t>
        </is>
      </c>
      <c r="B54" s="507" t="inlineStr">
        <is>
          <t>Sales Skills - Discovery, Closing, Objections</t>
        </is>
      </c>
      <c r="C54" s="507" t="inlineStr">
        <is>
          <t>Professional sales coach</t>
        </is>
      </c>
      <c r="D54" s="507" t="inlineStr">
        <is>
          <t>BDR + Sales team</t>
        </is>
      </c>
      <c r="E54" s="507" t="inlineStr">
        <is>
          <t>4 hours</t>
        </is>
      </c>
    </row>
    <row r="55">
      <c r="A55" s="509" t="inlineStr">
        <is>
          <t>Tuần 3</t>
        </is>
      </c>
      <c r="B55" s="507" t="inlineStr">
        <is>
          <t>Content Creation &amp; Video Basics</t>
        </is>
      </c>
      <c r="C55" s="507" t="inlineStr">
        <is>
          <t>In-house videographer</t>
        </is>
      </c>
      <c r="D55" s="507" t="inlineStr">
        <is>
          <t>Content + Design team</t>
        </is>
      </c>
      <c r="E55" s="507" t="inlineStr">
        <is>
          <t>4 hours</t>
        </is>
      </c>
    </row>
    <row r="56">
      <c r="A56" s="509" t="inlineStr">
        <is>
          <t>Tuần 4 (19-25/4)</t>
        </is>
      </c>
      <c r="B56" s="507" t="inlineStr">
        <is>
          <t>Analytics &amp; Data Interpretation - GA4, Dashboards</t>
        </is>
      </c>
      <c r="C56" s="507" t="inlineStr">
        <is>
          <t>Analytics specialist</t>
        </is>
      </c>
      <c r="D56" s="507" t="inlineStr">
        <is>
          <t>All marketing team</t>
        </is>
      </c>
      <c r="E56" s="507" t="inlineStr">
        <is>
          <t>3 hours</t>
        </is>
      </c>
    </row>
    <row r="57">
      <c r="A57" s="509" t="inlineStr">
        <is>
          <t>Tuần 4</t>
        </is>
      </c>
      <c r="B57" s="507" t="inlineStr">
        <is>
          <t>Email &amp; SMS Best Practices - Copywriting, Sequences</t>
        </is>
      </c>
      <c r="C57" s="507" t="inlineStr">
        <is>
          <t>Email marketing expert</t>
        </is>
      </c>
      <c r="D57" s="507" t="inlineStr">
        <is>
          <t>Email specialist + team</t>
        </is>
      </c>
      <c r="E57" s="507" t="inlineStr">
        <is>
          <t>3 hours</t>
        </is>
      </c>
    </row>
    <row r="58">
      <c r="A58" s="509" t="inlineStr">
        <is>
          <t>Tuần 5 (26-30/4)</t>
        </is>
      </c>
      <c r="B58" s="507" t="inlineStr">
        <is>
          <t>Zalo &amp; Messaging Platforms - Compliance, Best Practices</t>
        </is>
      </c>
      <c r="C58" s="507" t="inlineStr">
        <is>
          <t>Zalo product specialist</t>
        </is>
      </c>
      <c r="D58" s="507" t="inlineStr">
        <is>
          <t>Zalo manager + team</t>
        </is>
      </c>
      <c r="E58" s="507" t="inlineStr">
        <is>
          <t>2 hours</t>
        </is>
      </c>
    </row>
    <row r="59">
      <c r="A59" s="509" t="inlineStr">
        <is>
          <t>Tuần 6 (3-9/5)</t>
        </is>
      </c>
      <c r="B59" s="507" t="inlineStr">
        <is>
          <t>Competition &amp; Product Knowledge Deep Dive</t>
        </is>
      </c>
      <c r="C59" s="507" t="inlineStr">
        <is>
          <t>Marketing Director + Admissions</t>
        </is>
      </c>
      <c r="D59" s="507" t="inlineStr">
        <is>
          <t>All team</t>
        </is>
      </c>
      <c r="E59" s="507" t="inlineStr">
        <is>
          <t>4 hours</t>
        </is>
      </c>
    </row>
  </sheetData>
  <mergeCells count="3">
    <mergeCell ref="A21:K21"/>
    <mergeCell ref="A47:E47"/>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492" t="inlineStr">
        <is>
          <t>MẪUÔI DUNG &amp; SCRIPTS (Content Templates &amp; Scripts)</t>
        </is>
      </c>
    </row>
    <row r="3">
      <c r="A3" s="494" t="inlineStr">
        <is>
          <t>FACEBOOK POST TEMPLATES (10 Mẫu)</t>
        </is>
      </c>
    </row>
    <row r="5">
      <c r="A5" s="512" t="inlineStr">
        <is>
          <t>#</t>
        </is>
      </c>
      <c r="B5" s="512" t="inlineStr">
        <is>
          <t>Loại Post</t>
        </is>
      </c>
      <c r="C5" s="512" t="inlineStr">
        <is>
          <t>Mẫu Nội Dung</t>
        </is>
      </c>
    </row>
    <row r="6">
      <c r="A6" s="509" t="n">
        <v>1</v>
      </c>
      <c r="B6" s="511" t="inlineStr">
        <is>
          <t>Announcement</t>
        </is>
      </c>
      <c r="C6" s="511" t="inlineStr">
        <is>
          <t>"🎉 Mở đơn ghi danh lớp 1 năm 2026! 🎉
Trường Việt Anh tuyển 80 học sinh lớp 1 chất lượng cao.
✅ Giáo viên chuyên nghiệp
✅ Cơ sở an toàn, hiện đại
✅ Song ngữ Anh-Việt từ lớp 1
📍 6 cơ sở tại HCMC
👉 Ghi danh ngay: [link]
✨ Có ưu đãi sớm ghi danh!"</t>
        </is>
      </c>
    </row>
    <row r="7">
      <c r="A7" s="509" t="n">
        <v>2</v>
      </c>
      <c r="B7" s="511" t="inlineStr">
        <is>
          <t>Testimonial</t>
        </is>
      </c>
      <c r="C7" s="511" t="inlineStr">
        <is>
          <t>"Con tôi đã thay đổi rất nhiều kể từ khi vào Việt Anh. Bây giờ con tự tin, yêu học tập và có nhiều bạn.
Cảm ơn thầy cô đã yêu thương con!" - Chị Hương, Mẹ của bé Minh (Lớp 3).
👉 Bạn cũng muốn con như vậy không? Ghi danh ngay! [link]</t>
        </is>
      </c>
    </row>
    <row r="8">
      <c r="A8" s="509" t="n">
        <v>3</v>
      </c>
      <c r="B8" s="511" t="inlineStr">
        <is>
          <t>Event Promotion</t>
        </is>
      </c>
      <c r="C8" s="511" t="inlineStr">
        <is>
          <t>"OPEN DAY - Khám Phá Trường Việt Anh 🏫
📅 Thứ 7, 20/4/2026
⏰ 9:00 - 12:00
📍 6 cơ sở
✨ Xem lớp học trực tiếp
✨ Gặp giáo viên &amp; hiệu trưởng
✨ Tour cơ sở hiện đại
✨ Có quà tặng
🎫 Đặt vé miễn phí: [link]</t>
        </is>
      </c>
    </row>
    <row r="9">
      <c r="A9" s="509" t="n">
        <v>4</v>
      </c>
      <c r="B9" s="511" t="inlineStr">
        <is>
          <t>Educational Content</t>
        </is>
      </c>
      <c r="C9" s="511" t="inlineStr">
        <is>
          <t>"5 ĐIỀU PHỤ HỤC PHẢI BIẾT KHI GỬI CON ĐẾN TRƯỜNG TƯ THỤC 🎓
1️⃣ Chọn trường dựa trên giá trị, không chỉ cơ sở vật chất
2️⃣ Con sẽ cần thời gian để thích nghi (1-2 tháng)
3️⃣ Giao tiếp thường xuyên với giáo viên
4️⃣ Tham gia hoạt động ngoài khóa
5️⃣ Hỗ trợ con học ở nhà
Bạn chưa chọn được trường? Tham khảo thêm. Liên hệ 0392 xxx xxx</t>
        </is>
      </c>
    </row>
    <row r="10">
      <c r="A10" s="509" t="n">
        <v>5</v>
      </c>
      <c r="B10" s="511" t="inlineStr">
        <is>
          <t>Daily Activity Share</t>
        </is>
      </c>
      <c r="C10" s="511" t="inlineStr">
        <is>
          <t>📸 NGÀY HỌC VUI VẺ TẠI VIỆT ANH
Sáng: Học tiếng Anh + Math
Trưa: Ăn cơm với bạn + ngoại khóa
Chiều: Thể dục + sáng tạo
✨ Môi trường an toàn, giáo viên yêu thương, học tập vui vẻ.
👉 Con bạn cũng muốn trải nghiệm như vậy không? Ghé thăm chúng tôi! [link]</t>
        </is>
      </c>
    </row>
    <row r="11">
      <c r="A11" s="509" t="n">
        <v>6</v>
      </c>
      <c r="B11" s="511" t="inlineStr">
        <is>
          <t>Scholarship Promo</t>
        </is>
      </c>
      <c r="C11" s="511" t="inlineStr">
        <is>
          <t>🎁 HỌC BỔNG ĐẾN 20 TRIỆU - CƠ HỘI VÀNG! 🎁
Năm học 2026, Trường Việt Anh cấp học bổng cho 50 em học sinh xuất sắc.
✅ Miễn phí 100% học phí
✅ Hỗ trợ dụng cụ học tập
✅ Hỗ trợ hoạt động ngoại khóa
📋 Điều kiện:
- Học lực xuất sắc
- Đạo đức tốt
- Hoàn cảnh khó khăn (ưu tiên)
👉 Đăng ký: [link]</t>
        </is>
      </c>
    </row>
    <row r="12">
      <c r="A12" s="509" t="n">
        <v>7</v>
      </c>
      <c r="B12" s="511" t="inlineStr">
        <is>
          <t>Question &amp; Answer</t>
        </is>
      </c>
      <c r="C12" s="511" t="inlineStr">
        <is>
          <t>❓ CÂU HỎI THƯỜNG GẶP:
"Con bạn nói tiếng Anh được không?"
→ Con sẽ học tiếng Anh từ sớm, có native speakers hướng dẫn. Sau 1 năm, con có thể nói cơ bản.
"Học phí bao nhiêu?"
→ Từ 2-5 triệu/tháng tùy cấp học. Có gói bán phần thời gian.
"Cơ sở an toàn không?"
→ 100% an toàn! Camera 24/7, bảo vệ chuyên nghiệp, hệ thống báo động.
👉 Câu hỏi khác? Chat với chúng tôi! [link]</t>
        </is>
      </c>
    </row>
    <row r="13">
      <c r="A13" s="509" t="n">
        <v>8</v>
      </c>
      <c r="B13" s="511" t="inlineStr">
        <is>
          <t>Success Story</t>
        </is>
      </c>
      <c r="C13" s="511" t="inlineStr">
        <is>
          <t>"TỪ HỌC SINH BÌNH THƯỜNG THÀNH SUẤT SẮC
Bé Nam vào Việt Anh lớp 3 với thành tích khá. Sau 2 năm:
✅ Tiếng Anh trôi chảy
✅ Toán học lên xuất sắc
✅ Tự tin, có lãnh đạo
✅ Được tuyên dương học sinh giỏi
"Con tôi yêu trường. Mỗi sáng thức dậy con hồ hởi đi học." - Mẹ Nam
👉 Con bạn cũng có thể! Ghi danh ngay! [link]</t>
        </is>
      </c>
    </row>
    <row r="14">
      <c r="A14" s="509" t="n">
        <v>9</v>
      </c>
      <c r="B14" s="511" t="inlineStr">
        <is>
          <t>Behind-the-scenes</t>
        </is>
      </c>
      <c r="C14" s="511" t="inlineStr">
        <is>
          <t>👨‍🏫 CHÚC MỪNG NGÀY NHÀGIÁO 20/11 🎓
Cảm ơn tất cả 80+ giáo viên Việt Anh!
✨ Yêu thương học sinh như con em của mình
✨ Chuyên môn cao
✨ Sáng tạo trong giảng dạy
✨ Luôn sẵn sàng hỗ trợ
Không có các thầy cô, không có chúng tôi hôm nay!
❤️ Trường Việt Anh xin gửi lời biết ơn sâu sắc!</t>
        </is>
      </c>
    </row>
    <row r="15">
      <c r="A15" s="509" t="n">
        <v>10</v>
      </c>
      <c r="B15" s="511" t="inlineStr">
        <is>
          <t>Call-to-Action</t>
        </is>
      </c>
      <c r="C15" s="511" t="inlineStr">
        <is>
          <t>⏰ CHỈ CÒN 2 TUẦN NỮA! ⏰
Ghi danh lớp 1/THCS/THPT năm 2026 sắp đóng!
🎯 Còn lại:
- Lớp 1: 15 chỗ
- THCS: 20 chỗ
- THPT: 25 chỗ
⚡ Quyết định ngay, vì:
✅ Ưu đãi sớm ghi danh
✅ Chọn lớp &amp; giáo viên ưu tiên
✅ Không phải chuyển lớp sau
👉 GHIBANH NGAY: [link]
📞 GỌI NGAY: 0392 xxx xxx</t>
        </is>
      </c>
    </row>
    <row r="18">
      <c r="A18" s="494" t="inlineStr">
        <is>
          <t>EMAIL SUBJECT LINE FORMULAS (5 Công Thức)</t>
        </is>
      </c>
    </row>
    <row r="20">
      <c r="A20" s="512" t="inlineStr">
        <is>
          <t>#</t>
        </is>
      </c>
      <c r="B20" s="512" t="inlineStr">
        <is>
          <t>Công Thức</t>
        </is>
      </c>
      <c r="C20" s="512" t="inlineStr">
        <is>
          <t>Ví Dụ</t>
        </is>
      </c>
    </row>
    <row r="21">
      <c r="A21" s="507" t="n">
        <v>1</v>
      </c>
      <c r="B21" s="507" t="inlineStr">
        <is>
          <t>[Benefit/Advantage] + [Urgency]</t>
        </is>
      </c>
      <c r="C21" s="507" t="inlineStr">
        <is>
          <t>"Giảm 10% học phí - Chỉ còn 5 ngày!"</t>
        </is>
      </c>
    </row>
    <row r="22">
      <c r="A22" s="507" t="n">
        <v>2</v>
      </c>
      <c r="B22" s="507" t="inlineStr">
        <is>
          <t>[Question] + [Curiosity]</t>
        </is>
      </c>
      <c r="C22" s="507" t="inlineStr">
        <is>
          <t>"Con bạn có tự tin không? Đây là bí quyết"</t>
        </is>
      </c>
    </row>
    <row r="23">
      <c r="A23" s="507" t="n">
        <v>3</v>
      </c>
      <c r="B23" s="507" t="inlineStr">
        <is>
          <t>[Number] + [Benefit]</t>
        </is>
      </c>
      <c r="C23" s="507" t="inlineStr">
        <is>
          <t>"3 lý do cha mẹ chọn Trường Việt Anh"</t>
        </is>
      </c>
    </row>
    <row r="24">
      <c r="A24" s="507" t="n">
        <v>4</v>
      </c>
      <c r="B24" s="507" t="inlineStr">
        <is>
          <t>[Name] + [Personalization]</t>
        </is>
      </c>
      <c r="C24" s="507" t="inlineStr">
        <is>
          <t>"[Tên], chúng tôi có cái gì đặc biệt cho con?"</t>
        </is>
      </c>
    </row>
    <row r="25">
      <c r="A25" s="507" t="n">
        <v>5</v>
      </c>
      <c r="B25" s="507" t="inlineStr">
        <is>
          <t>[FOMO/Scarcity]</t>
        </is>
      </c>
      <c r="C25" s="507" t="inlineStr">
        <is>
          <t>"Còn 2 chỗ trống lớp 1 - Quyết định ngay"</t>
        </is>
      </c>
    </row>
    <row r="28">
      <c r="A28" s="494" t="inlineStr">
        <is>
          <t>SMS TEMPLATES (5 Mẫu SMS)</t>
        </is>
      </c>
    </row>
    <row r="30">
      <c r="A30" s="512" t="inlineStr">
        <is>
          <t>#</t>
        </is>
      </c>
      <c r="B30" s="512" t="inlineStr">
        <is>
          <t>Loại SMS</t>
        </is>
      </c>
      <c r="C30" s="512" t="inlineStr">
        <is>
          <t>Nội Dung</t>
        </is>
      </c>
    </row>
    <row r="31">
      <c r="A31" s="509" t="n">
        <v>1</v>
      </c>
      <c r="B31" s="511" t="inlineStr">
        <is>
          <t>Chào Mừng</t>
        </is>
      </c>
      <c r="C31" s="511" t="inlineStr">
        <is>
          <t>Chào [Name]! Cảm ơn bạn quan tâm Trường Việt Anh. Tìm hiểu thêm: [link] Gọi 0392 xxx xxx</t>
        </is>
      </c>
    </row>
    <row r="32">
      <c r="A32" s="509" t="n">
        <v>2</v>
      </c>
      <c r="B32" s="511" t="inlineStr">
        <is>
          <t>Khẩn Cấp/Urgency</t>
        </is>
      </c>
      <c r="C32" s="511" t="inlineStr">
        <is>
          <t>⏰ Còn 48 tiếng ghi danh với giảm 10% học phí! Quyết định ngay: [link]</t>
        </is>
      </c>
    </row>
    <row r="33">
      <c r="A33" s="509" t="n">
        <v>3</v>
      </c>
      <c r="B33" s="511" t="inlineStr">
        <is>
          <t>Follow-up</t>
        </is>
      </c>
      <c r="C33" s="511" t="inlineStr">
        <is>
          <t>[Name], anh/chị có thắc mắc gì không? Chúng tôi sẵn sàng hỗ trợ! Gọi: 0392 xxx xxx</t>
        </is>
      </c>
    </row>
    <row r="34">
      <c r="A34" s="509" t="n">
        <v>4</v>
      </c>
      <c r="B34" s="511" t="inlineStr">
        <is>
          <t>Open Day Reminder</t>
        </is>
      </c>
      <c r="C34" s="511" t="inlineStr">
        <is>
          <t>📌 Nhớ đến Open Day hôm nay! Giờ: 9:00-12:00. Địa chỉ: [địa chỉ]. Xem bạn ngay!</t>
        </is>
      </c>
    </row>
    <row r="35">
      <c r="A35" s="509" t="n">
        <v>5</v>
      </c>
      <c r="B35" s="511" t="inlineStr">
        <is>
          <t>Confirmation</t>
        </is>
      </c>
      <c r="C35" s="511" t="inlineStr">
        <is>
          <t>✅ Xác nhận ghi danh thành công! Lớp: 1A. Bắt đầu: 1/9. Tài liệu ghi danh: [link]</t>
        </is>
      </c>
    </row>
    <row r="38">
      <c r="A38" s="494" t="inlineStr">
        <is>
          <t>TƯ VẤN VIÊN - PHONE SCRIPTS (5 Scripts)</t>
        </is>
      </c>
    </row>
    <row r="40">
      <c r="A40" s="512" t="inlineStr">
        <is>
          <t>Script #</t>
        </is>
      </c>
      <c r="B40" s="512" t="inlineStr">
        <is>
          <t>Tình Huống</t>
        </is>
      </c>
      <c r="C40" s="512" t="inlineStr">
        <is>
          <t>Câu Mở Đầu (Hook)</t>
        </is>
      </c>
      <c r="D40" s="512" t="inlineStr">
        <is>
          <t>Quy Trình</t>
        </is>
      </c>
    </row>
    <row r="41">
      <c r="A41" s="509" t="n">
        <v>1</v>
      </c>
      <c r="B41" s="511" t="inlineStr">
        <is>
          <t>Cold Call - Warm Lead</t>
        </is>
      </c>
      <c r="C41" s="511" t="inlineStr">
        <is>
          <t>"Chào anh/chị [Name]! Em là [TV Viên], từ Trường Việt Anh. Anh/chị có 2 phút không?"</t>
        </is>
      </c>
      <c r="D41" s="511" t="inlineStr">
        <is>
          <t>1. Giới thiệu (30s)
2. Lắng nghe (1m): "Con anh/chị bao nhiêu tuổi? Anh/chị đang tìm trường gì?"
3. Pitch (1m): Nêu 3 điểm mạnh
4. Call-to-action: "Anh/chị có thể ghé thăm hoặc nghe chi tiết hơn?"</t>
        </is>
      </c>
    </row>
    <row r="42">
      <c r="A42" s="509" t="n">
        <v>2</v>
      </c>
      <c r="B42" s="511" t="inlineStr">
        <is>
          <t>Objection Handling - "Quá đắt"</t>
        </is>
      </c>
      <c r="C42" s="511" t="inlineStr">
        <is>
          <t>"Em hiểu quan ngại của anh/chị. Nhưng anh/chị có biết..."</t>
        </is>
      </c>
      <c r="D42" s="511" t="inlineStr">
        <is>
          <t>1. Validate: "Tôi hiểu chi phí là quan trọng"
2. Clarify: "Cơ sở vật chất &amp; giáo viên chất lượng bao giá?"
3. Evidence: "X học sinh / X tỷ lệ đạo đạo"
4. Close: "Có thể anh/chị thử 1 tháng để so sánh?"</t>
        </is>
      </c>
    </row>
    <row r="43">
      <c r="A43" s="509" t="n">
        <v>3</v>
      </c>
      <c r="B43" s="511" t="inlineStr">
        <is>
          <t>Follow-up - Lost Lead</t>
        </is>
      </c>
      <c r="C43" s="511" t="inlineStr">
        <is>
          <t>"Chào anh/chị [Name]! Em tìm hiểu thêm từ cuộc chat lần trước..."</t>
        </is>
      </c>
      <c r="D43" s="511" t="inlineStr">
        <is>
          <t>1. Warm-up: Nhắc lại hội thoại trước
2. New info: "Gần đây chúng tôi có [benefit mới]"
3. Urgency: "Có [limited-time offer]"
4. Close: "Anh/chị có muốn tìm hiểu thêm?"</t>
        </is>
      </c>
    </row>
    <row r="44">
      <c r="A44" s="509" t="n">
        <v>4</v>
      </c>
      <c r="B44" s="511" t="inlineStr">
        <is>
          <t>Closing Call - Decision Time</t>
        </is>
      </c>
      <c r="C44" s="511" t="inlineStr">
        <is>
          <t>"Anh/chị đã cân nhắc kỹ, đúng không? Em muốn chắc chắn..."</t>
        </is>
      </c>
      <c r="D44" s="511" t="inlineStr">
        <is>
          <t>1. Recap: "Anh/chị quan tâm [benefits]. Chúng tôi cung cấp [proof]"
2. Overcome final objections: Lắng nghe rồi giải quyết
3. Trial close: "Nếu tôi giải quyết [objection], anh/chị sẽ ghi danh?"
4. Final close: "Tuyệt vời! Để em sắp xếp cho anh/chị."</t>
        </is>
      </c>
    </row>
    <row r="45">
      <c r="A45" s="509" t="n">
        <v>5</v>
      </c>
      <c r="B45" s="511" t="inlineStr">
        <is>
          <t>Referral Request</t>
        </is>
      </c>
      <c r="C45" s="511" t="inlineStr">
        <is>
          <t>"Anh/chị rất hài lòng, phải không? Em muốn nhờ anh/chị..."</t>
        </is>
      </c>
      <c r="D45" s="511" t="inlineStr">
        <is>
          <t>1. Appreciation: "Cảm ơn anh/chị đã tin tưởng"
2. Ask: "Anh/chị có bạn nào có con cùng tuổi không?"
3. Incentivize: "Nếu bạn ghi danh, anh/chị sẽ nhận [reward]"
4. Clear ask: "Anh/chị có thể giới thiệu được bao nhiêu người?"</t>
        </is>
      </c>
    </row>
    <row r="48">
      <c r="A48" s="494" t="inlineStr">
        <is>
          <t>CHATBOT CONVERSATION FLOWS (5 Flows)</t>
        </is>
      </c>
    </row>
    <row r="50">
      <c r="A50" s="512" t="inlineStr">
        <is>
          <t>Flow #</t>
        </is>
      </c>
      <c r="B50" s="512" t="inlineStr">
        <is>
          <t>Trigger</t>
        </is>
      </c>
      <c r="C50" s="512" t="inlineStr">
        <is>
          <t>Bot Intro</t>
        </is>
      </c>
      <c r="D50" s="512" t="inlineStr">
        <is>
          <t>Main Q&amp;A</t>
        </is>
      </c>
      <c r="E50" s="512" t="inlineStr">
        <is>
          <t>CTA</t>
        </is>
      </c>
    </row>
    <row r="51">
      <c r="A51" s="509" t="n">
        <v>1</v>
      </c>
      <c r="B51" s="511" t="inlineStr">
        <is>
          <t>Website Visitor (Lần Đầu)</t>
        </is>
      </c>
      <c r="C51" s="511" t="inlineStr">
        <is>
          <t>"Chào! Mình là chatbot Việt Anh. Bạn đang tìm trường nào? (Mầm non / Tiểu học / THCS / THPT)"</t>
        </is>
      </c>
      <c r="D51" s="511" t="inlineStr">
        <is>
          <t>Q1: "Bạn có thắc mắc gì?" → A: "Học phí là bao nhiêu?" → Bot: "[Price info] + [payment options]"
Q2: "Có ưu đãi không?" → Bot: "[Current promos]"
Q3: "Cơ sở an toàn không?" → Bot: "[Safety features + photo]"</t>
        </is>
      </c>
      <c r="E51" s="511" t="inlineStr">
        <is>
          <t>"Bạn muốn tư vấn 1-1?" → Button: [Chat with advisor] / [Đặt lịch gọi] / [Xem Open Day]</t>
        </is>
      </c>
    </row>
    <row r="52">
      <c r="A52" s="509" t="n">
        <v>2</v>
      </c>
      <c r="B52" s="511" t="inlineStr">
        <is>
          <t>Warm Lead (Visitor Return)</t>
        </is>
      </c>
      <c r="C52" s="511" t="inlineStr">
        <is>
          <t>"Chào lại bạn! Bạn đã tìm hiểu về Việt Anh rồi. Có gì em có thể giúp thêm?"</t>
        </is>
      </c>
      <c r="D52" s="511" t="inlineStr">
        <is>
          <t>Q: "Học phí bao nhiêu?" → Bot: "[Recap + payment plans]"
Q: "Có học thử không?" → Bot: "[Trial program details]"
Q: "Bắt đầu khi nào?" → Bot: "[School calendar]"</t>
        </is>
      </c>
      <c r="E52" s="511" t="inlineStr">
        <is>
          <t>"Sẵn sàng ghi danh?" → [Book consultation] / [Enroll now]</t>
        </is>
      </c>
    </row>
    <row r="53">
      <c r="A53" s="509" t="n">
        <v>3</v>
      </c>
      <c r="B53" s="511" t="inlineStr">
        <is>
          <t>Open Day Interest</t>
        </is>
      </c>
      <c r="C53" s="511" t="inlineStr">
        <is>
          <t>"Mình nghe bạn quan tâm Open Day 20/4! Bạn muốn biết gì?"</t>
        </is>
      </c>
      <c r="D53" s="511" t="inlineStr">
        <is>
          <t>Q: "Open Day khi nào?" → A: "[Date, time, location]"
Q: "Cần chuẩn bị gì?" → A: "[Checklist + tips]"
Q: "Có vé không?" → A: "[Free registration link]"</t>
        </is>
      </c>
      <c r="E53" s="511" t="inlineStr">
        <is>
          <t>"Đã sẵn sàng đến?" → [Book ticket] / [Get reminder]</t>
        </is>
      </c>
    </row>
    <row r="54">
      <c r="A54" s="509" t="n">
        <v>4</v>
      </c>
      <c r="B54" s="511" t="inlineStr">
        <is>
          <t>Objection - Price</t>
        </is>
      </c>
      <c r="C54" s="511" t="inlineStr">
        <is>
          <t>"Mình hiểu giá cả là quan tâm. Bạn biết gì không..."</t>
        </is>
      </c>
      <c r="D54" s="511" t="inlineStr">
        <is>
          <t>Bot: "[Value proposition: quality teachers, facilities, results]"
Q: "Có gói bán phần thời gian không?" → A: "Có! Chi tiết: [link]"
Q: "Có học bổng không?" → A: "[Scholarship criteria]"</t>
        </is>
      </c>
      <c r="E54" s="511" t="inlineStr">
        <is>
          <t>"Muốn tìm hiểu thêm?" → [Talk to advisor] / [Compare prices] / [Free trial]</t>
        </is>
      </c>
    </row>
    <row r="55">
      <c r="A55" s="509" t="n">
        <v>5</v>
      </c>
      <c r="B55" s="511" t="inlineStr">
        <is>
          <t>Post-Enrollment (New Student)</t>
        </is>
      </c>
      <c r="C55" s="511" t="inlineStr">
        <is>
          <t>"Chúc mừng bạn ghi danh! Chuẩn bị cho ngày đầu tiên..."</t>
        </is>
      </c>
      <c r="D55" s="511" t="inlineStr">
        <is>
          <t>Q: "Ngày đầu tiên làm gì?" → A: "[First day itinerary]"
Q: "Cần chuẩn bị gì?" → A: "[Packing list]"
Q: "Có phụ huynh nào không?" → A: "[Parent group link]"</t>
        </is>
      </c>
      <c r="E55" s="511" t="inlineStr">
        <is>
          <t>"Có thắc mắc gì?" → [Chat with staff] / [Upcoming events] / [Parent portal]</t>
        </is>
      </c>
    </row>
  </sheetData>
  <mergeCells count="6">
    <mergeCell ref="A28:C28"/>
    <mergeCell ref="A1:D1"/>
    <mergeCell ref="A48:E48"/>
    <mergeCell ref="A3:D3"/>
    <mergeCell ref="A38:D38"/>
    <mergeCell ref="A18:C1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492" t="inlineStr">
        <is>
          <t>PHÂN TÍCH ĐỐI THỦ CẠNH TRANH (Competitor Analysis - 10 Schools)</t>
        </is>
      </c>
    </row>
    <row r="3">
      <c r="A3" s="506" t="inlineStr">
        <is>
          <t>Trường Đối Thủ</t>
        </is>
      </c>
      <c r="B3" s="506" t="inlineStr">
        <is>
          <t>Vị Trí</t>
        </is>
      </c>
      <c r="C3" s="506" t="inlineStr">
        <is>
          <t>Cấp Học</t>
        </is>
      </c>
      <c r="D3" s="506" t="inlineStr">
        <is>
          <t>Học Phí (VND/tháng)</t>
        </is>
      </c>
      <c r="E3" s="506" t="inlineStr">
        <is>
          <t>USP (Điểm Mạnh)</t>
        </is>
      </c>
      <c r="F3" s="506" t="inlineStr">
        <is>
          <t>Facebook Followers</t>
        </is>
      </c>
      <c r="G3" s="506" t="inlineStr">
        <is>
          <t>Instagram Followers</t>
        </is>
      </c>
      <c r="H3" s="506" t="inlineStr">
        <is>
          <t>Ad Strategy Observed</t>
        </is>
      </c>
      <c r="I3" s="506" t="inlineStr">
        <is>
          <t>Ưu Điểm So Với Chúng Ta</t>
        </is>
      </c>
      <c r="J3" s="506" t="inlineStr">
        <is>
          <t>Nhược Điểm - Cơ Hội Của Chúng Ta</t>
        </is>
      </c>
      <c r="K3" s="506" t="inlineStr">
        <is>
          <t>Our Advantage</t>
        </is>
      </c>
    </row>
    <row r="4">
      <c r="A4" s="511" t="inlineStr">
        <is>
          <t>Trường Quốc Tế Anh</t>
        </is>
      </c>
      <c r="B4" s="511" t="inlineStr">
        <is>
          <t>Q3, P.Hữu Thạnh</t>
        </is>
      </c>
      <c r="C4" s="511" t="inlineStr">
        <is>
          <t>MN, TH, THCS, THPT</t>
        </is>
      </c>
      <c r="D4" s="511" t="inlineStr">
        <is>
          <t>3-8M</t>
        </is>
      </c>
      <c r="E4" s="508" t="inlineStr">
        <is>
          <t>Chương trình quốc tế (IB), Cơ sở sang trọng</t>
        </is>
      </c>
      <c r="F4" s="511" t="n">
        <v>15000</v>
      </c>
      <c r="G4" s="511" t="n">
        <v>8500</v>
      </c>
      <c r="H4" s="511" t="inlineStr">
        <is>
          <t>High-end digital ads, Instagram focus, influencer collabs</t>
        </is>
      </c>
      <c r="I4" s="511" t="inlineStr">
        <is>
          <t>Brand prestige, international program, xây dựng image dài hạn</t>
        </is>
      </c>
      <c r="J4" s="511" t="inlineStr">
        <is>
          <t>Đắt quá, không linh hoạt, khó vào học. Chúng ta: dân chủ, hợp lý giá</t>
        </is>
      </c>
      <c r="K4" s="511" t="inlineStr">
        <is>
          <t>Giá cạnh tranh + chất lượng tốt</t>
        </is>
      </c>
    </row>
    <row r="5">
      <c r="A5" s="511" t="inlineStr">
        <is>
          <t>Trường Bình Minh</t>
        </is>
      </c>
      <c r="B5" s="511" t="inlineStr">
        <is>
          <t>Q5, Bình Tân</t>
        </is>
      </c>
      <c r="C5" s="511" t="inlineStr">
        <is>
          <t>MN, TH, THCS, THPT</t>
        </is>
      </c>
      <c r="D5" s="511" t="inlineStr">
        <is>
          <t>2-5M</t>
        </is>
      </c>
      <c r="E5" s="508" t="inlineStr">
        <is>
          <t>Gần dân cư, lớp nhỏ, cơ sở có lịch sử</t>
        </is>
      </c>
      <c r="F5" s="511" t="n">
        <v>8000</v>
      </c>
      <c r="G5" s="511" t="n">
        <v>3000</v>
      </c>
      <c r="H5" s="511" t="inlineStr">
        <is>
          <t>Minimal ads, focus on word-of-mouth, occasional email</t>
        </is>
      </c>
      <c r="I5" s="511" t="inlineStr">
        <is>
          <t>Cộng đồng cũ, lớp nhỏ 20 em</t>
        </is>
      </c>
      <c r="J5" s="511" t="inlineStr">
        <is>
          <t>Ít quảng cáo → khó tuyển trẻ mới. Chúng ta: digital marketing mạnh</t>
        </is>
      </c>
      <c r="K5" s="511" t="inlineStr">
        <is>
          <t>Digital presence + marketing strategy</t>
        </is>
      </c>
    </row>
    <row r="6">
      <c r="A6" s="511" t="inlineStr">
        <is>
          <t>Hệ Thống Giáo Dục ABC</t>
        </is>
      </c>
      <c r="B6" s="511" t="inlineStr">
        <is>
          <t>Q1, Q7</t>
        </is>
      </c>
      <c r="C6" s="511" t="inlineStr">
        <is>
          <t>MN, TH, THCS</t>
        </is>
      </c>
      <c r="D6" s="511" t="inlineStr">
        <is>
          <t>3-7M</t>
        </is>
      </c>
      <c r="E6" s="508" t="inlineStr">
        <is>
          <t>6 cơ sở, đa dạng chương trình, học bổng</t>
        </is>
      </c>
      <c r="F6" s="511" t="n">
        <v>25000</v>
      </c>
      <c r="G6" s="511" t="n">
        <v>12000</v>
      </c>
      <c r="H6" s="511" t="inlineStr">
        <is>
          <t>Heavy Meta ads, video campaigns, SEO content, affiliate</t>
        </is>
      </c>
      <c r="I6" s="511" t="inlineStr">
        <is>
          <t>Network 6 cơ sở, budget lớn, brand recognition</t>
        </is>
      </c>
      <c r="J6" s="511" t="inlineStr">
        <is>
          <t>Quá rộng = mất focus. Chúng ta: focus vào excellence, không giang tây</t>
        </is>
      </c>
      <c r="K6" s="511" t="inlineStr">
        <is>
          <t>Focused strategy + personalization</t>
        </is>
      </c>
    </row>
    <row r="7">
      <c r="A7" s="511" t="inlineStr">
        <is>
          <t>Trường Ngôi Sao</t>
        </is>
      </c>
      <c r="B7" s="511" t="inlineStr">
        <is>
          <t>GV, Gò Vấp</t>
        </is>
      </c>
      <c r="C7" s="511" t="inlineStr">
        <is>
          <t>MN, TH</t>
        </is>
      </c>
      <c r="D7" s="511" t="inlineStr">
        <is>
          <t>1.5-3.5M</t>
        </is>
      </c>
      <c r="E7" s="508" t="inlineStr">
        <is>
          <t>Giá rẻ nhất, cơ sở mới, địa điểm, khuyến mãi hay</t>
        </is>
      </c>
      <c r="F7" s="511" t="n">
        <v>5000</v>
      </c>
      <c r="G7" s="511" t="n">
        <v>1500</v>
      </c>
      <c r="H7" s="511" t="inlineStr">
        <is>
          <t>Price-focused ads, Zalo promotions, daily flash sales</t>
        </is>
      </c>
      <c r="I7" s="511" t="inlineStr">
        <is>
          <t>Giá rất cạnh tranh, học bổng hay, vị trí tốt</t>
        </is>
      </c>
      <c r="J7" s="511" t="inlineStr">
        <is>
          <t>Chất lượng thấp hơn, giáo viên ít kinh nghiệm, cơ sở nhỏ</t>
        </is>
      </c>
      <c r="K7" s="511" t="inlineStr">
        <is>
          <t>Premium quality despite similar price positioning</t>
        </is>
      </c>
    </row>
    <row r="8">
      <c r="A8" s="511" t="inlineStr">
        <is>
          <t>Canadian International School</t>
        </is>
      </c>
      <c r="B8" s="511" t="inlineStr">
        <is>
          <t>Thủ Đức</t>
        </is>
      </c>
      <c r="C8" s="511" t="inlineStr">
        <is>
          <t>MN-THPT</t>
        </is>
      </c>
      <c r="D8" s="511" t="inlineStr">
        <is>
          <t>5-12M</t>
        </is>
      </c>
      <c r="E8" s="508" t="inlineStr">
        <is>
          <t>Canadian curriculum, native teachers, cơ sở xịn</t>
        </is>
      </c>
      <c r="F8" s="511" t="n">
        <v>4000</v>
      </c>
      <c r="G8" s="511" t="n">
        <v>2500</v>
      </c>
      <c r="H8" s="511" t="inlineStr">
        <is>
          <t>Limited ads (rely on premium positioning), LinkedIn</t>
        </is>
      </c>
      <c r="I8" s="511" t="inlineStr">
        <is>
          <t>Brand prestige, curriculum, teacher quality</t>
        </is>
      </c>
      <c r="J8" s="511" t="inlineStr">
        <is>
          <t>Quá đắt, chỉ target giàu, ít tuyển. Chúng ta: accessible</t>
        </is>
      </c>
      <c r="K8" s="511" t="inlineStr">
        <is>
          <t>Accessible excellence</t>
        </is>
      </c>
    </row>
    <row r="9">
      <c r="A9" s="511" t="inlineStr">
        <is>
          <t>Trường Thứ Sáu</t>
        </is>
      </c>
      <c r="B9" s="511" t="inlineStr">
        <is>
          <t>Q7, Q12</t>
        </is>
      </c>
      <c r="C9" s="511" t="inlineStr">
        <is>
          <t>MN, TH, THCS, THPT</t>
        </is>
      </c>
      <c r="D9" s="511" t="inlineStr">
        <is>
          <t>2-5M</t>
        </is>
      </c>
      <c r="E9" s="508" t="inlineStr">
        <is>
          <t>Chương trình Montessori, phát triển toàn diện, ngoại khóa</t>
        </is>
      </c>
      <c r="F9" s="511" t="n">
        <v>12000</v>
      </c>
      <c r="G9" s="511" t="n">
        <v>6000</v>
      </c>
      <c r="H9" s="511" t="inlineStr">
        <is>
          <t>Educational content marketing, parent testimonials, webinars</t>
        </is>
      </c>
      <c r="I9" s="511" t="inlineStr">
        <is>
          <t>Strong educational positioning, parent community</t>
        </is>
      </c>
      <c r="J9" s="511" t="inlineStr">
        <is>
          <t>Ít ads → organic reach chậm. Chúng ta: aggressive growth marketing</t>
        </is>
      </c>
      <c r="K9" s="511" t="inlineStr">
        <is>
          <t>Balanced education + growth marketing</t>
        </is>
      </c>
    </row>
    <row r="10">
      <c r="A10" s="511" t="inlineStr">
        <is>
          <t>Hệ Thống Oxford</t>
        </is>
      </c>
      <c r="B10" s="511" t="inlineStr">
        <is>
          <t>Q1, Q2, BV</t>
        </is>
      </c>
      <c r="C10" s="511" t="inlineStr">
        <is>
          <t>MN, TH, THCS</t>
        </is>
      </c>
      <c r="D10" s="511" t="inlineStr">
        <is>
          <t>2.5-6M</t>
        </is>
      </c>
      <c r="E10" s="508" t="inlineStr">
        <is>
          <t>Chuỗi oxford, tiếng Anh intensive, learning support</t>
        </is>
      </c>
      <c r="F10" s="511" t="n">
        <v>18000</v>
      </c>
      <c r="G10" s="511" t="n">
        <v>9000</v>
      </c>
      <c r="H10" s="511" t="inlineStr">
        <is>
          <t>Consistent brand ads, heavy Google Search, email nurture</t>
        </is>
      </c>
      <c r="I10" s="511" t="inlineStr">
        <is>
          <t>Network effect, brand recognition, systems/procedures</t>
        </is>
      </c>
      <c r="J10" s="511" t="inlineStr">
        <is>
          <t>Ít personalized. Chúng ta: bố mẹ experience cá nhân hóa</t>
        </is>
      </c>
      <c r="K10" s="511" t="inlineStr">
        <is>
          <t>Personal touch + system excellence</t>
        </is>
      </c>
    </row>
    <row r="11">
      <c r="A11" s="511" t="inlineStr">
        <is>
          <t>Trường Sunshine</t>
        </is>
      </c>
      <c r="B11" s="511" t="inlineStr">
        <is>
          <t>PH, Bình Thạnh</t>
        </is>
      </c>
      <c r="C11" s="511" t="inlineStr">
        <is>
          <t>MN, TH</t>
        </is>
      </c>
      <c r="D11" s="511" t="inlineStr">
        <is>
          <t>2-4.5M</t>
        </is>
      </c>
      <c r="E11" s="508" t="inlineStr">
        <is>
          <t>Song ngữ từ sớm, thân thiện, cơ sở mới</t>
        </is>
      </c>
      <c r="F11" s="511" t="n">
        <v>6000</v>
      </c>
      <c r="G11" s="511" t="n">
        <v>3500</v>
      </c>
      <c r="H11" s="511" t="inlineStr">
        <is>
          <t>Instagram reels, TikTok organic, parent referral programs</t>
        </is>
      </c>
      <c r="I11" s="511" t="inlineStr">
        <is>
          <t>Strong social presence, young target audience appeal</t>
        </is>
      </c>
      <c r="J11" s="511" t="inlineStr">
        <is>
          <t>Chỉ MN+TH, không có THCS/THPT. Chúng ta: full spectrum</t>
        </is>
      </c>
      <c r="K11" s="511" t="inlineStr">
        <is>
          <t>Comprehensive education path K-12</t>
        </is>
      </c>
    </row>
    <row r="12">
      <c r="A12" s="511" t="inlineStr">
        <is>
          <t>Trường Tương Lai</t>
        </is>
      </c>
      <c r="B12" s="511" t="inlineStr">
        <is>
          <t>Q10, NQ</t>
        </is>
      </c>
      <c r="C12" s="511" t="inlineStr">
        <is>
          <t>MN, TH, THCS</t>
        </is>
      </c>
      <c r="D12" s="511" t="inlineStr">
        <is>
          <t>1.8-4M</t>
        </is>
      </c>
      <c r="E12" s="508" t="inlineStr">
        <is>
          <t>21st century skills, maker space, STEM focus</t>
        </is>
      </c>
      <c r="F12" s="511" t="n">
        <v>4500</v>
      </c>
      <c r="G12" s="511" t="n">
        <v>2000</v>
      </c>
      <c r="H12" s="511" t="inlineStr">
        <is>
          <t>Limited ads, mostly organic growth + parent networks</t>
        </is>
      </c>
      <c r="I12" s="511" t="inlineStr">
        <is>
          <t>Strong STEM positioning, modern facilities</t>
        </is>
      </c>
      <c r="J12" s="511" t="inlineStr">
        <is>
          <t>Ít marketing = slow growth. Chúng ta: growth-oriented</t>
        </is>
      </c>
      <c r="K12" s="511" t="inlineStr">
        <is>
          <t>Structured growth + innovation</t>
        </is>
      </c>
    </row>
    <row r="13">
      <c r="A13" s="511" t="inlineStr">
        <is>
          <t>Trường Sáng Tạo</t>
        </is>
      </c>
      <c r="B13" s="511" t="inlineStr">
        <is>
          <t>Tân Bình</t>
        </is>
      </c>
      <c r="C13" s="511" t="inlineStr">
        <is>
          <t>MN, TH</t>
        </is>
      </c>
      <c r="D13" s="511" t="inlineStr">
        <is>
          <t>2-3.8M</t>
        </is>
      </c>
      <c r="E13" s="508" t="inlineStr">
        <is>
          <t>Creative approach, arts focus, flexible learning</t>
        </is>
      </c>
      <c r="F13" s="511" t="n">
        <v>3500</v>
      </c>
      <c r="G13" s="511" t="n">
        <v>1800</v>
      </c>
      <c r="H13" s="511" t="inlineStr">
        <is>
          <t>Minimal paid ads, Facebook community, word-of-mouth</t>
        </is>
      </c>
      <c r="I13" s="511" t="inlineStr">
        <is>
          <t>Niche positioning (creative/arts), strong community</t>
        </is>
      </c>
      <c r="J13" s="511" t="inlineStr">
        <is>
          <t>Quá niche. Chúng ta: balanced education appeal</t>
        </is>
      </c>
      <c r="K13" s="511" t="inlineStr">
        <is>
          <t>Inclusive excellence (not just niche)</t>
        </is>
      </c>
    </row>
    <row r="17">
      <c r="A17" s="494" t="inlineStr">
        <is>
          <t>BẢNG ĐỊNH VỊ CẠNH TRANH (Competitive Positioning Matrix)</t>
        </is>
      </c>
    </row>
    <row r="19">
      <c r="A19" s="513" t="inlineStr">
        <is>
          <t>Price vs Quality Positioning:</t>
        </is>
      </c>
      <c r="B19" s="514" t="inlineStr"/>
    </row>
    <row r="20">
      <c r="A20" s="513" t="inlineStr"/>
      <c r="B20" s="514" t="inlineStr"/>
    </row>
    <row r="21">
      <c r="A21" s="513" t="inlineStr">
        <is>
          <t>High Price / High Quality:</t>
        </is>
      </c>
      <c r="B21" s="514" t="inlineStr">
        <is>
          <t>Trường Quốc Tế Anh, Canadian International School</t>
        </is>
      </c>
    </row>
    <row r="22">
      <c r="A22" s="513" t="inlineStr">
        <is>
          <t>High Price / Medium Quality:</t>
        </is>
      </c>
      <c r="B22" s="514" t="inlineStr">
        <is>
          <t>Hệ Thống Giáo Dục ABC (vì quá rộng)</t>
        </is>
      </c>
    </row>
    <row r="23">
      <c r="A23" s="513" t="inlineStr">
        <is>
          <t>Medium Price / High Quality:</t>
        </is>
      </c>
      <c r="B23" s="514" t="inlineStr">
        <is>
          <t>✅ VIỆT ANH (TARGET)</t>
        </is>
      </c>
    </row>
    <row r="24">
      <c r="A24" s="513" t="inlineStr">
        <is>
          <t>Medium Price / Medium Quality:</t>
        </is>
      </c>
      <c r="B24" s="514" t="inlineStr">
        <is>
          <t>Trường Bình Minh, Hệ Thống Oxford, Trường Thứ Sáu</t>
        </is>
      </c>
    </row>
    <row r="25">
      <c r="A25" s="513" t="inlineStr">
        <is>
          <t>Low Price / Medium Quality:</t>
        </is>
      </c>
      <c r="B25" s="514" t="inlineStr">
        <is>
          <t>Trường Ngôi Sao, Trường Tương Lai</t>
        </is>
      </c>
    </row>
    <row r="26">
      <c r="A26" s="513" t="inlineStr">
        <is>
          <t>Low Price / Low Quality:</t>
        </is>
      </c>
      <c r="B26" s="514" t="inlineStr">
        <is>
          <t>(Không quan trọng)</t>
        </is>
      </c>
    </row>
    <row r="27">
      <c r="A27" s="513" t="inlineStr"/>
      <c r="B27" s="514" t="inlineStr"/>
    </row>
    <row r="28">
      <c r="A28" s="513" t="inlineStr">
        <is>
          <t>Our Competitive Advantage (Việt Anh):</t>
        </is>
      </c>
      <c r="B28" s="514" t="inlineStr"/>
    </row>
    <row r="29">
      <c r="A29" s="515" t="inlineStr">
        <is>
          <t>✅ Premium quality education</t>
        </is>
      </c>
      <c r="B29" s="514" t="inlineStr">
        <is>
          <t>+ Giáo viên giỏi, cơ sở hiện đại, chương trình tốt</t>
        </is>
      </c>
    </row>
    <row r="30">
      <c r="A30" s="515" t="inlineStr">
        <is>
          <t>✅ Reasonable price</t>
        </is>
      </c>
      <c r="B30" s="514" t="inlineStr">
        <is>
          <t>+ Linh hoạt thanh toán, học bổng, không quá đắt</t>
        </is>
      </c>
    </row>
    <row r="31">
      <c r="A31" s="515" t="inlineStr">
        <is>
          <t>✅ Multiple locations</t>
        </is>
      </c>
      <c r="B31" s="514" t="inlineStr">
        <is>
          <t>+ 6 cơ sở, accessibility cao</t>
        </is>
      </c>
    </row>
    <row r="32">
      <c r="A32" s="515" t="inlineStr">
        <is>
          <t>✅ Integrated K-12</t>
        </is>
      </c>
      <c r="B32" s="514" t="inlineStr">
        <is>
          <t>+ Lớp MN đến THPT, learner journey liền mạch</t>
        </is>
      </c>
    </row>
    <row r="33">
      <c r="A33" s="515" t="inlineStr">
        <is>
          <t>✅ Growth marketing</t>
        </is>
      </c>
      <c r="B33" s="514" t="inlineStr">
        <is>
          <t>+ Digital ads, SEO, webinars, content – others do less</t>
        </is>
      </c>
    </row>
    <row r="34">
      <c r="A34" s="515" t="inlineStr">
        <is>
          <t>✅ Customer experience</t>
        </is>
      </c>
      <c r="B34" s="514" t="inlineStr">
        <is>
          <t>+ Consultants, chatbots, webinars, follow-up</t>
        </is>
      </c>
    </row>
    <row r="35">
      <c r="A35" s="513" t="inlineStr"/>
      <c r="B35" s="514" t="inlineStr"/>
    </row>
    <row r="36">
      <c r="A36" s="513" t="inlineStr">
        <is>
          <t>Threats to Monitor:</t>
        </is>
      </c>
      <c r="B36" s="514" t="inlineStr"/>
    </row>
    <row r="37">
      <c r="A37" s="515" t="inlineStr">
        <is>
          <t>⚠️ Premium schools</t>
        </is>
      </c>
      <c r="B37" s="514" t="inlineStr">
        <is>
          <t>(Quốc Tế, Canadian) – từ từ giảm giá</t>
        </is>
      </c>
    </row>
    <row r="38">
      <c r="A38" s="515" t="inlineStr">
        <is>
          <t>⚠️ Cheap competitors</t>
        </is>
      </c>
      <c r="B38" s="514" t="inlineStr">
        <is>
          <t>(Ngôi Sao) – giá cạnh tranh quá, quality compromise</t>
        </is>
      </c>
    </row>
    <row r="39">
      <c r="A39" s="515" t="inlineStr">
        <is>
          <t>⚠️ Large networks</t>
        </is>
      </c>
      <c r="B39" s="514" t="inlineStr">
        <is>
          <t>(ABC, Oxford) – budget lớn, brand recognition</t>
        </is>
      </c>
    </row>
    <row r="40">
      <c r="A40" s="515" t="inlineStr">
        <is>
          <t>⚠️ Market saturation</t>
        </is>
      </c>
      <c r="B40" s="514" t="inlineStr">
        <is>
          <t>(Nhiều trường mới mở) – differentiate or lose</t>
        </is>
      </c>
    </row>
  </sheetData>
  <mergeCells count="2">
    <mergeCell ref="A17:C17"/>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2026-03-27T01:37:34Z</dcterms:created>
  <dcterms:modified xmlns:dcterms="http://purl.org/dc/terms/" xmlns:xsi="http://www.w3.org/2001/XMLSchema-instance" xsi:type="dcterms:W3CDTF">2026-03-27T08:39:19Z</dcterms:modified>
  <cp:revision>0</cp:revision>
</cp:coreProperties>
</file>