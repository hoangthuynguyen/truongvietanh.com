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24.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4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 Chân Dung KH" sheetId="1" state="visible" r:id="rId3"/>
    <sheet name="0. Dashboard" sheetId="2" state="visible" r:id="rId4"/>
    <sheet name="1. Input" sheetId="3" state="visible" r:id="rId5"/>
    <sheet name="2. Paid Media" sheetId="4" state="visible" r:id="rId6"/>
    <sheet name="3. Master Table" sheetId="5" state="visible" r:id="rId7"/>
    <sheet name="4. Funnel" sheetId="6" state="visible" r:id="rId8"/>
    <sheet name="5. Google Ads Chi Tiết" sheetId="7" state="visible" r:id="rId9"/>
    <sheet name="6. Meta Ads Chi Tiết" sheetId="8" state="visible" r:id="rId10"/>
    <sheet name="7. TikTok Ads Chi Tiết" sheetId="9" state="visible" r:id="rId11"/>
    <sheet name="8. GoHighLevel Setup" sheetId="10" state="visible" r:id="rId12"/>
    <sheet name="9. GTM Tracking" sheetId="11" state="visible" r:id="rId13"/>
    <sheet name="10. Lịch Công Việc Marketer" sheetId="12" state="visible" r:id="rId14"/>
    <sheet name="11. Timeline" sheetId="13" state="visible" r:id="rId15"/>
    <sheet name="12. Danh bạ" sheetId="14" state="visible" r:id="rId16"/>
    <sheet name="13. Zalo Ads + OA" sheetId="15" state="visible" r:id="rId17"/>
    <sheet name="14. Weekly Battleplan" sheetId="16" state="visible" r:id="rId18"/>
    <sheet name="A. KPI Weekly Tracker" sheetId="17" state="visible" r:id="rId19"/>
    <sheet name="B. Todo Daily" sheetId="18" state="visible" r:id="rId20"/>
    <sheet name="C. Todo Weekly" sheetId="19" state="visible" r:id="rId21"/>
    <sheet name="D. Todo Monthly" sheetId="20" state="visible" r:id="rId22"/>
    <sheet name="E. Campaign Tracker" sheetId="21" state="visible" r:id="rId23"/>
    <sheet name="F. Meta Ads Plan" sheetId="22" state="visible" r:id="rId24"/>
    <sheet name="G. Google Ads Plan" sheetId="23" state="visible" r:id="rId25"/>
    <sheet name="H. Birch + GHL Integration" sheetId="24" state="visible" r:id="rId26"/>
    <sheet name="J. Webinar Chi Tiết" sheetId="25" state="visible" r:id="rId27"/>
    <sheet name="K. Social Media Calendar" sheetId="26" state="visible" r:id="rId28"/>
    <sheet name="L. Analytics &amp; Remarketing" sheetId="27" state="visible" r:id="rId29"/>
    <sheet name="M. Video Marketing" sheetId="28" state="visible" r:id="rId30"/>
    <sheet name="N. Email Marketing" sheetId="29" state="visible" r:id="rId31"/>
    <sheet name="O. Nuôi Kênh Social Media" sheetId="30" state="visible" r:id="rId32"/>
    <sheet name="P. Setup &amp; Đồng Bộ" sheetId="31" state="visible" r:id="rId33"/>
    <sheet name="Q. Nhân Sự &amp; Phân Công" sheetId="32" state="visible" r:id="rId34"/>
    <sheet name="R. Mẫu Nội Dung &amp; Scripts" sheetId="33" state="visible" r:id="rId35"/>
    <sheet name="S. Đối Thủ Cạnh Tranh" sheetId="34" state="visible" r:id="rId36"/>
    <sheet name="T. Funnel 8 Tầng" sheetId="35" state="visible" r:id="rId37"/>
    <sheet name="U. SLA Tuyển Sinh" sheetId="36" state="visible" r:id="rId38"/>
    <sheet name="V. SOP School Tour" sheetId="37" state="visible" r:id="rId39"/>
    <sheet name="W. Budget Governance" sheetId="38" state="visible" r:id="rId40"/>
    <sheet name="X. Dashboard 12 Số" sheetId="39" state="visible" r:id="rId41"/>
    <sheet name="Y. 20 Quyết Định 72h" sheetId="40" state="visible" r:id="rId42"/>
    <sheet name="Z. Lost Reasons &amp; QA" sheetId="41" state="visible" r:id="rId43"/>
    <sheet name="AA. RACI Matrix" sheetId="42" state="visible" r:id="rId4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<sst xmlns="http://schemas.openxmlformats.org/spreadsheetml/2006/main" count="17115" uniqueCount="10231">
  <si>
    <t xml:space="preserve">CHÂN DUNG KHÁCH HÀNG (PERSONA) – THEO SẢN PHẨM VÀ ĐỊA ĐIỂM</t>
  </si>
  <si>
    <t xml:space="preserve">Phân tích chi tiết đối tượng phụ huynh mục tiêu, nỗi đau, insight và messaging phù hợp cho từng cấp học và từng địa điểm</t>
  </si>
  <si>
    <t xml:space="preserve">A. PERSONA THEO CẤP HỌC</t>
  </si>
  <si>
    <t xml:space="preserve">Cấp học</t>
  </si>
  <si>
    <t xml:space="preserve">Tên Persona</t>
  </si>
  <si>
    <t xml:space="preserve">Tuổi</t>
  </si>
  <si>
    <t xml:space="preserve">Giới tính</t>
  </si>
  <si>
    <t xml:space="preserve">Nghề nghiệp</t>
  </si>
  <si>
    <t xml:space="preserve">Thu nhập/tháng</t>
  </si>
  <si>
    <t xml:space="preserve">Hành vi Online</t>
  </si>
  <si>
    <t xml:space="preserve">Kênh tiếp cận chính</t>
  </si>
  <si>
    <t xml:space="preserve">Nỗi đau #1</t>
  </si>
  <si>
    <t xml:space="preserve">Nỗi đau #2</t>
  </si>
  <si>
    <t xml:space="preserve">Nỗi đau #3</t>
  </si>
  <si>
    <t xml:space="preserve">Insight mua hàng</t>
  </si>
  <si>
    <t xml:space="preserve">Messaging chính</t>
  </si>
  <si>
    <t xml:space="preserve">CTA hiệu quả</t>
  </si>
  <si>
    <t xml:space="preserve">Objection thường gặp</t>
  </si>
  <si>
    <t xml:space="preserve">Cách xử lý Objection</t>
  </si>
  <si>
    <t xml:space="preserve">MN (Mầm non)</t>
  </si>
  <si>
    <t xml:space="preserve">Chị Lan – Mẹ bỉm sữa</t>
  </si>
  <si>
    <t xml:space="preserve">26-35</t>
  </si>
  <si>
    <t xml:space="preserve">Nữ 85%</t>
  </si>
  <si>
    <t xml:space="preserve">Nhân viên VP, kinh doanh nhỏ</t>
  </si>
  <si>
    <t xml:space="preserve">15-30 triệu</t>
  </si>
  <si>
    <t xml:space="preserve">Facebook 3h/ngày, Zalo, TikTok, group MN</t>
  </si>
  <si>
    <t xml:space="preserve">Meta Ads, Zalo OA, TikTok</t>
  </si>
  <si>
    <t xml:space="preserve">Sợ con bị bắt nạt / không an toàn</t>
  </si>
  <si>
    <t xml:space="preserve">Thiếu thời gian đưa đón, cần trường gần nhà</t>
  </si>
  <si>
    <t xml:space="preserve">Lo giáo viên không tận tâm, thay đổi liên tục</t>
  </si>
  <si>
    <t xml:space="preserve">Tin review PH khác &gt; quảng cáo; Quyết định nhanh nếu tour ấn tượng</t>
  </si>
  <si>
    <t xml:space="preserve">Môi trường an toàn, camera 24/7, GV tận tâm, gần nhà</t>
  </si>
  <si>
    <t xml:space="preserve">Đăng ký tham quan trường MIỄN PHÍ</t>
  </si>
  <si>
    <t xml:space="preserve">Học phí cao hơn trường khác</t>
  </si>
  <si>
    <t xml:space="preserve">So sánh giá trị: ăn sạch, GV/trẻ tỷ lệ thấp, camera, ngoại khóa</t>
  </si>
  <si>
    <t xml:space="preserve">Anh Tuấn – Ba trẻ quan tâm GD</t>
  </si>
  <si>
    <t xml:space="preserve">30-40</t>
  </si>
  <si>
    <t xml:space="preserve">Nam 15%</t>
  </si>
  <si>
    <t xml:space="preserve">Quản lý, kỹ sư, CNTT</t>
  </si>
  <si>
    <t xml:space="preserve">25-50 triệu</t>
  </si>
  <si>
    <t xml:space="preserve">Google Search, YouTube review</t>
  </si>
  <si>
    <t xml:space="preserve">Google Ads, YouTube</t>
  </si>
  <si>
    <t xml:space="preserve">Muốn con phát triển toàn diện sớm</t>
  </si>
  <si>
    <t xml:space="preserve">Lo trường không có chương trình song ngữ tốt</t>
  </si>
  <si>
    <t xml:space="preserve">Không biết trường nào uy tín gần nhà</t>
  </si>
  <si>
    <t xml:space="preserve">So sánh kỹ trên Google trước khi tour</t>
  </si>
  <si>
    <t xml:space="preserve">Song ngữ từ 3 tuổi, chương trình STEAM</t>
  </si>
  <si>
    <t xml:space="preserve">Xem chi tiết chương trình học</t>
  </si>
  <si>
    <t xml:space="preserve">Muốn chờ vợ quyết định</t>
  </si>
  <si>
    <t xml:space="preserve">Mời cả 2 PH cùng tour, tặng ưu đãi</t>
  </si>
  <si>
    <t xml:space="preserve">TH (Tiểu học)</t>
  </si>
  <si>
    <t xml:space="preserve">Chị Mai – PH lớp 1 lo lắng</t>
  </si>
  <si>
    <t xml:space="preserve">30-42</t>
  </si>
  <si>
    <t xml:space="preserve">Nữ 75%</t>
  </si>
  <si>
    <t xml:space="preserve">Nhân viên, giáo viên, kinh doanh</t>
  </si>
  <si>
    <t xml:space="preserve">20-40 triệu</t>
  </si>
  <si>
    <t xml:space="preserve">Facebook, Zalo group, tìm Google</t>
  </si>
  <si>
    <t xml:space="preserve">Meta Ads, Google Search, Zalo</t>
  </si>
  <si>
    <t xml:space="preserve">Sợ con không theo kịp chương trình</t>
  </si>
  <si>
    <t xml:space="preserve">Lo trường tư "nhẹ" hơn trường công</t>
  </si>
  <si>
    <t xml:space="preserve">Áp lực tiếng Anh – con chưa có nền tảng</t>
  </si>
  <si>
    <t xml:space="preserve">Tham khảo 3-5 trường trước khi chọn; Tour 2 lần</t>
  </si>
  <si>
    <t xml:space="preserve">Lộ trình tiếng Anh rõ ràng, sĩ số nhỏ 25-30, GV theo sát</t>
  </si>
  <si>
    <t xml:space="preserve">Đặt lịch tham quan + tư vấn 1-1</t>
  </si>
  <si>
    <t xml:space="preserve">Trường công miễn phí mà cũng tốt</t>
  </si>
  <si>
    <t xml:space="preserve">Sĩ số 50 vs 25, không ngoại khóa, GV không theo sát</t>
  </si>
  <si>
    <t xml:space="preserve">Anh Hùng – PH chuyển con từ công sang tư</t>
  </si>
  <si>
    <t xml:space="preserve">35-45</t>
  </si>
  <si>
    <t xml:space="preserve">Nam 25%</t>
  </si>
  <si>
    <t xml:space="preserve">Chủ DN nhỏ, quản lý</t>
  </si>
  <si>
    <t xml:space="preserve">30-60 triệu</t>
  </si>
  <si>
    <t xml:space="preserve">Google, Facebook, hỏi bạn bè</t>
  </si>
  <si>
    <t xml:space="preserve">Google Ads, Remarketing</t>
  </si>
  <si>
    <t xml:space="preserve">Con đang học công nhưng không phát triển</t>
  </si>
  <si>
    <t xml:space="preserve">Muốn môi trường tốt hơn, ít bạo lực</t>
  </si>
  <si>
    <t xml:space="preserve">Lo con không thích nghi khi chuyển</t>
  </si>
  <si>
    <t xml:space="preserve">Quyết định nhanh khi thấy cơ sở vật chất tốt</t>
  </si>
  <si>
    <t xml:space="preserve">Chuyển cấp linh hoạt, hỗ trợ hòa nhập, CSVC hiện đại</t>
  </si>
  <si>
    <t xml:space="preserve">Đăng ký chuyển trường – Hỗ trợ hồ sơ nhanh</t>
  </si>
  <si>
    <t xml:space="preserve">Con đã quen trường cũ</t>
  </si>
  <si>
    <t xml:space="preserve">Hỗ trợ hòa nhập 2 tuần, buddy system</t>
  </si>
  <si>
    <t xml:space="preserve">THCS (Cấp 2)</t>
  </si>
  <si>
    <t xml:space="preserve">Chị Hoa – PH lớp 6 giai đoạn bản lề</t>
  </si>
  <si>
    <t xml:space="preserve">35-48</t>
  </si>
  <si>
    <t xml:space="preserve">Nữ 65%</t>
  </si>
  <si>
    <t xml:space="preserve">Nhân viên, công chức, kinh doanh</t>
  </si>
  <si>
    <t xml:space="preserve">Facebook, Google, Webinar, Forum</t>
  </si>
  <si>
    <t xml:space="preserve">Meta Ads, Google Ads, Webinar</t>
  </si>
  <si>
    <t xml:space="preserve">Sợ con sa sút vì giai đoạn dậy thì</t>
  </si>
  <si>
    <t xml:space="preserve">Lo trường không theo sát tâm lý HS</t>
  </si>
  <si>
    <t xml:space="preserve">Áp lực kết quả thi cuối cấp</t>
  </si>
  <si>
    <t xml:space="preserve">Tham gia webinar trước khi tour; Cần dữ liệu đầu ra</t>
  </si>
  <si>
    <t xml:space="preserve">Theo sát HS giai đoạn bản lề, GV chủ nhiệm tâm huyết</t>
  </si>
  <si>
    <t xml:space="preserve">Đăng ký webinar: Lộ trình con tôi sau lớp 5</t>
  </si>
  <si>
    <t xml:space="preserve">Học phí THCS cao hơn TH nhiều</t>
  </si>
  <si>
    <t xml:space="preserve">ROI dài hạn: nền tảng cho lớp 10, đại học</t>
  </si>
  <si>
    <t xml:space="preserve">Anh Minh – PH muốn con có lộ trình rõ</t>
  </si>
  <si>
    <t xml:space="preserve">38-50</t>
  </si>
  <si>
    <t xml:space="preserve">Nam 35%</t>
  </si>
  <si>
    <t xml:space="preserve">Quản lý, chuyên gia, DN</t>
  </si>
  <si>
    <t xml:space="preserve">40-80 triệu</t>
  </si>
  <si>
    <t xml:space="preserve">Google Search, YouTube, LinkedIn</t>
  </si>
  <si>
    <t xml:space="preserve">Google Ads, YouTube, Webinar</t>
  </si>
  <si>
    <t xml:space="preserve">Muốn con có định hướng nghề nghiệp sớm</t>
  </si>
  <si>
    <t xml:space="preserve">Lo trường chỉ dạy lý thuyết, thiếu thực hành</t>
  </si>
  <si>
    <t xml:space="preserve">Muốn chương trình quốc tế/song ngữ chuẩn</t>
  </si>
  <si>
    <t xml:space="preserve">So sánh đầu ra, tỷ lệ đỗ THPT top, chương trình quốc tế</t>
  </si>
  <si>
    <t xml:space="preserve">Lộ trình 6→12 rõ ràng, chương trình Cambridge/IB option</t>
  </si>
  <si>
    <t xml:space="preserve">Xem lộ trình đào tạo 7 năm</t>
  </si>
  <si>
    <t xml:space="preserve">Trường xa nhà</t>
  </si>
  <si>
    <t xml:space="preserve">Xe đưa đón, kế hoạch bán trú</t>
  </si>
  <si>
    <t xml:space="preserve">THPT (Cấp 3)</t>
  </si>
  <si>
    <t xml:space="preserve">Chị Thảo – PH lớp 10 áp lực thi</t>
  </si>
  <si>
    <t xml:space="preserve">38-52</t>
  </si>
  <si>
    <t xml:space="preserve">Nữ 60%</t>
  </si>
  <si>
    <t xml:space="preserve">Facebook, Google, Webinar, tìm học bổng</t>
  </si>
  <si>
    <t xml:space="preserve">Google Ads, Meta Ads, Webinar</t>
  </si>
  <si>
    <t xml:space="preserve">Lo con không đỗ trường công top</t>
  </si>
  <si>
    <t xml:space="preserve">Áp lực tài chính: học phí THPT tư cao</t>
  </si>
  <si>
    <t xml:space="preserve">Lo con không vào được đại học tốt</t>
  </si>
  <si>
    <t xml:space="preserve">Quyết định theo học bổng + đầu ra đại học</t>
  </si>
  <si>
    <t xml:space="preserve">Học bổng lên đến 100%, đầu ra ĐH top, tỷ lệ đỗ ĐH 95%+</t>
  </si>
  <si>
    <t xml:space="preserve">Đăng ký thi học bổng lớp 10</t>
  </si>
  <si>
    <t xml:space="preserve">Trường tư chất lượng không bằng chuyên</t>
  </si>
  <si>
    <t xml:space="preserve">Data đầu ra: % ĐH top, học bổng du học, IELTS</t>
  </si>
  <si>
    <t xml:space="preserve">Anh Đức – PH chuyển trường lớp 10-11</t>
  </si>
  <si>
    <t xml:space="preserve">40-55</t>
  </si>
  <si>
    <t xml:space="preserve">Nam 40%</t>
  </si>
  <si>
    <t xml:space="preserve">Chủ DN, quản lý cấp cao</t>
  </si>
  <si>
    <t xml:space="preserve">50-100+ triệu</t>
  </si>
  <si>
    <t xml:space="preserve">Google Search, YouTube, referral</t>
  </si>
  <si>
    <t xml:space="preserve">Con đang học trường không phù hợp</t>
  </si>
  <si>
    <t xml:space="preserve">Muốn môi trường quốc tế + du học pathway</t>
  </si>
  <si>
    <t xml:space="preserve">Cần chuyển nhanh, ít gián đoạn</t>
  </si>
  <si>
    <t xml:space="preserve">Quyết định rất nhanh khi thấy phù hợp</t>
  </si>
  <si>
    <t xml:space="preserve">Chuyển trường linh hoạt, nhận hồ sơ quanh năm, pathway du học</t>
  </si>
  <si>
    <t xml:space="preserve">Liên hệ tư vấn chuyển trường 24h</t>
  </si>
  <si>
    <t xml:space="preserve">Sợ con mất bạn bè</t>
  </si>
  <si>
    <t xml:space="preserve">Chương trình hòa nhập, buddy system, câu lạc bộ</t>
  </si>
  <si>
    <t xml:space="preserve">B. NỖI ĐAU KHÁCH HÀNG THEO ĐỊA ĐIỂM</t>
  </si>
  <si>
    <t xml:space="preserve">Địa điểm</t>
  </si>
  <si>
    <t xml:space="preserve">Tên cũ (trước sáp nhập)</t>
  </si>
  <si>
    <t xml:space="preserve">Tên mới (hiện tại)</t>
  </si>
  <si>
    <t xml:space="preserve">Đặc điểm PH khu vực</t>
  </si>
  <si>
    <t xml:space="preserve">Nỗi đau đặc thù #1</t>
  </si>
  <si>
    <t xml:space="preserve">Nỗi đau đặc thù #2</t>
  </si>
  <si>
    <t xml:space="preserve">Nỗi đau đặc thù #3</t>
  </si>
  <si>
    <t xml:space="preserve">Messaging phù hợp</t>
  </si>
  <si>
    <t xml:space="preserve">Kênh ưu tiên</t>
  </si>
  <si>
    <t xml:space="preserve">Đối thủ chính</t>
  </si>
  <si>
    <t xml:space="preserve">Lợi thế VA tại đây</t>
  </si>
  <si>
    <t xml:space="preserve">MN VA Gò Vấp</t>
  </si>
  <si>
    <t xml:space="preserve">Q. Gò Vấp, TP.HCM</t>
  </si>
  <si>
    <t xml:space="preserve">MN</t>
  </si>
  <si>
    <t xml:space="preserve">Thu nhập trung bình-khá, đông dân, nhiều gia đình trẻ</t>
  </si>
  <si>
    <t xml:space="preserve">Trường MN quá tải, thiếu chỗ gửi an toàn</t>
  </si>
  <si>
    <t xml:space="preserve">Giao thông kẹt, cần trường gần nhà</t>
  </si>
  <si>
    <t xml:space="preserve">Lo bạo lực, thiếu camera giám sát</t>
  </si>
  <si>
    <t xml:space="preserve">An toàn #1, gần nhà, camera 24/7</t>
  </si>
  <si>
    <t xml:space="preserve">Meta Ads, Zalo OA</t>
  </si>
  <si>
    <t xml:space="preserve">MN Sài Gòn, MN Sao Mai</t>
  </si>
  <si>
    <t xml:space="preserve">Flagship, CSVC mới, GV ổn định</t>
  </si>
  <si>
    <t xml:space="preserve">MN Nhân Lễ</t>
  </si>
  <si>
    <t xml:space="preserve">H. Cần Giuộc, Long An</t>
  </si>
  <si>
    <t xml:space="preserve">TX. Cần Giuộc, Tây Ninh</t>
  </si>
  <si>
    <t xml:space="preserve">Thu nhập trung bình, vùng KDC mới, ít lựa chọn</t>
  </si>
  <si>
    <t xml:space="preserve">Rất ít trường tư chất lượng trong KDC</t>
  </si>
  <si>
    <t xml:space="preserve">PH làm ở KCN, cần trường bán trú tốt</t>
  </si>
  <si>
    <t xml:space="preserve">Lo con thiếu ngoại ngữ vùng tỉnh</t>
  </si>
  <si>
    <t xml:space="preserve">Trường chuẩn quốc tế ngay KDC, bán trú chu đáo</t>
  </si>
  <si>
    <t xml:space="preserve">Zalo OA, Facebook local</t>
  </si>
  <si>
    <t xml:space="preserve">MN công lập địa phương</t>
  </si>
  <si>
    <t xml:space="preserve">Duy nhất trường tư chất lượng trong KDC</t>
  </si>
  <si>
    <t xml:space="preserve">MN Thái Sơn</t>
  </si>
  <si>
    <t xml:space="preserve">MN+TH</t>
  </si>
  <si>
    <t xml:space="preserve">PH KDC Thái Sơn, thu nhập khá, mới về định cư</t>
  </si>
  <si>
    <t xml:space="preserve">Thiếu trường tốt gần KDC mới</t>
  </si>
  <si>
    <t xml:space="preserve">Muốn con có bạn bè trong khu</t>
  </si>
  <si>
    <t xml:space="preserve">Lo chất lượng GD vùng mới phát triển</t>
  </si>
  <si>
    <t xml:space="preserve">Ngay trong KDC, không cần đưa đón xa</t>
  </si>
  <si>
    <t xml:space="preserve">Zalo OA, Facebook group KDC</t>
  </si>
  <si>
    <t xml:space="preserve">MN công, MN tư nhỏ lẻ</t>
  </si>
  <si>
    <t xml:space="preserve">Nằm ngay trong KDC, liên cấp MN+TH</t>
  </si>
  <si>
    <t xml:space="preserve">MN Mekong Xanh</t>
  </si>
  <si>
    <t xml:space="preserve">TP. Rạch Giá, Kiên Giang</t>
  </si>
  <si>
    <t xml:space="preserve">TP. Rạch Giá, An Giang</t>
  </si>
  <si>
    <t xml:space="preserve">PH KĐT mới, thu nhập khá, nhiều công chức/DN</t>
  </si>
  <si>
    <t xml:space="preserve">Ít lựa chọn trường tư trong KĐT</t>
  </si>
  <si>
    <t xml:space="preserve">Muốn chương trình song ngữ mà vùng tỉnh không có</t>
  </si>
  <si>
    <t xml:space="preserve">Lo con thua thiệt so với TP.HCM</t>
  </si>
  <si>
    <t xml:space="preserve">Song ngữ chuẩn TP.HCM ngay tại tỉnh</t>
  </si>
  <si>
    <t xml:space="preserve">Zalo OA, Facebook local, Google local</t>
  </si>
  <si>
    <t xml:space="preserve">Trường công lập, TT Anh ngữ</t>
  </si>
  <si>
    <t xml:space="preserve">Chuẩn TP.HCM, liên cấp, KĐT cao cấp</t>
  </si>
  <si>
    <t xml:space="preserve">TH VA Gò Vấp</t>
  </si>
  <si>
    <t xml:space="preserve">TH</t>
  </si>
  <si>
    <t xml:space="preserve">PH trung lưu-khá, so sánh kỹ nhiều trường</t>
  </si>
  <si>
    <t xml:space="preserve">Quá nhiều lựa chọn, không biết trường nào tốt</t>
  </si>
  <si>
    <t xml:space="preserve">Lo tiếng Anh không đủ mạnh so với international school</t>
  </si>
  <si>
    <t xml:space="preserve">Sĩ số lớp quá đông ở trường công</t>
  </si>
  <si>
    <t xml:space="preserve">Sĩ số 25, lộ trình tiếng Anh có chứng chỉ, GV 1-1</t>
  </si>
  <si>
    <t xml:space="preserve">Meta Ads, Google Search</t>
  </si>
  <si>
    <t xml:space="preserve">TH Việt Úc, TH iSchool, TH FPT</t>
  </si>
  <si>
    <t xml:space="preserve">Học phí hợp lý hơn international, vẫn song ngữ chuẩn</t>
  </si>
  <si>
    <t xml:space="preserve">TH VA Bình Tân</t>
  </si>
  <si>
    <t xml:space="preserve">Q. Bình Tân, TP.HCM</t>
  </si>
  <si>
    <t xml:space="preserve">PH thu nhập trung bình, khu đông dân, công nhân + KD nhỏ</t>
  </si>
  <si>
    <t xml:space="preserve">Rất ít trường tư chất lượng khu vực Bình Tân</t>
  </si>
  <si>
    <t xml:space="preserve">Lo an ninh khu vực, muốn trường khép kín</t>
  </si>
  <si>
    <t xml:space="preserve">Giá phải hợp lý với thu nhập</t>
  </si>
  <si>
    <t xml:space="preserve">An toàn, khép kín, học phí phù hợp, bán trú tốt</t>
  </si>
  <si>
    <t xml:space="preserve">Meta Ads, Zalo local</t>
  </si>
  <si>
    <t xml:space="preserve">TH Bình Tân, TH Phước Kiểng</t>
  </si>
  <si>
    <t xml:space="preserve">Duy nhất trường tư song ngữ quy mô tại BT</t>
  </si>
  <si>
    <t xml:space="preserve">TH Thái Sơn</t>
  </si>
  <si>
    <t xml:space="preserve">PH KDC Thái Sơn, muốn con học tại chỗ</t>
  </si>
  <si>
    <t xml:space="preserve">Phải đi xa để học trường tốt</t>
  </si>
  <si>
    <t xml:space="preserve">Lo con mệt vì di chuyển hàng ngày</t>
  </si>
  <si>
    <t xml:space="preserve">Chương trình tỉnh yếu hơn TP</t>
  </si>
  <si>
    <t xml:space="preserve">Chuẩn TP.HCM ngay KDC, không cần đi xa</t>
  </si>
  <si>
    <t xml:space="preserve">Zalo, Facebook local</t>
  </si>
  <si>
    <t xml:space="preserve">TH công lập xã</t>
  </si>
  <si>
    <t xml:space="preserve">Liên cấp, ngay trong KDC</t>
  </si>
  <si>
    <t xml:space="preserve">TH Mekong Xanh</t>
  </si>
  <si>
    <t xml:space="preserve">PH KĐT, muốn con có nền tảng tốt</t>
  </si>
  <si>
    <t xml:space="preserve">Không có trường tư song ngữ tại TP Rạch Giá</t>
  </si>
  <si>
    <t xml:space="preserve">Muốn con thi vào trường tốt sau này</t>
  </si>
  <si>
    <t xml:space="preserve">Lo GV giỏi không về tỉnh dạy</t>
  </si>
  <si>
    <t xml:space="preserve">GV từ TP.HCM, chương trình chuẩn quốc gia + song ngữ</t>
  </si>
  <si>
    <t xml:space="preserve">Zalo, Facebook, Google local</t>
  </si>
  <si>
    <t xml:space="preserve">TH công, TT Anh ngữ</t>
  </si>
  <si>
    <t xml:space="preserve">Duy nhất TH tư song ngữ quy mô</t>
  </si>
  <si>
    <t xml:space="preserve">THCS VA Gò Vấp</t>
  </si>
  <si>
    <t xml:space="preserve">THCS</t>
  </si>
  <si>
    <t xml:space="preserve">PH lo lắng giai đoạn dậy thì, cần theo sát</t>
  </si>
  <si>
    <t xml:space="preserve">Trường công THCS sĩ số 45-50, GV không theo sát</t>
  </si>
  <si>
    <t xml:space="preserve">Lo con sa sút vì bạn bè tiêu cực</t>
  </si>
  <si>
    <t xml:space="preserve">Áp lực thi THPT cạnh tranh</t>
  </si>
  <si>
    <t xml:space="preserve">Sĩ số nhỏ, GV chủ nhiệm theo sát, lộ trình 6→12</t>
  </si>
  <si>
    <t xml:space="preserve">Google Ads, Meta, Webinar</t>
  </si>
  <si>
    <t xml:space="preserve">THCS Việt Úc, THCS iSchool</t>
  </si>
  <si>
    <t xml:space="preserve">Liên cấp THCS-THPT, không cần thi chuyển</t>
  </si>
  <si>
    <t xml:space="preserve">THPT VA Gò Vấp</t>
  </si>
  <si>
    <t xml:space="preserve">THPT</t>
  </si>
  <si>
    <t xml:space="preserve">PH áp lực thi lớp 10, tìm giải pháp B nếu rớt công</t>
  </si>
  <si>
    <t xml:space="preserve">Con không đỗ trường công top → hoang mang</t>
  </si>
  <si>
    <t xml:space="preserve">Học phí THPT tư cao, lo tài chính</t>
  </si>
  <si>
    <t xml:space="preserve">Lo đầu ra đại học không tốt bằng trường chuyên</t>
  </si>
  <si>
    <t xml:space="preserve">Học bổng 100%, đầu ra ĐH 95%+, pathway du học</t>
  </si>
  <si>
    <t xml:space="preserve">THPT Nguyễn Khuyến, THPT Trương Vĩnh Ký</t>
  </si>
  <si>
    <t xml:space="preserve">Học bổng lớn, lộ trình đa dạng, tỷ lệ ĐH cao</t>
  </si>
  <si>
    <t xml:space="preserve">C. HÀNH TRÌNH KHÁCH HÀNG (CUSTOMER JOURNEY) THEO CẤP</t>
  </si>
  <si>
    <t xml:space="preserve">Giai đoạn</t>
  </si>
  <si>
    <t xml:space="preserve">Awareness</t>
  </si>
  <si>
    <t xml:space="preserve">Consideration</t>
  </si>
  <si>
    <t xml:space="preserve">Decision</t>
  </si>
  <si>
    <t xml:space="preserve">Tour/Visit</t>
  </si>
  <si>
    <t xml:space="preserve">Enrollment</t>
  </si>
  <si>
    <t xml:space="preserve">Advocacy</t>
  </si>
  <si>
    <t xml:space="preserve">Thấy ads FB/TikTok → nghe PH review → tìm Google</t>
  </si>
  <si>
    <t xml:space="preserve">So sánh 2-3 trường → đọc review → hỏi group</t>
  </si>
  <si>
    <t xml:space="preserve">Gọi hotline / Zalo → Hỏi học phí → Book tour</t>
  </si>
  <si>
    <t xml:space="preserve">Tour campus → gặp GV → xem phòng học → lunch trial</t>
  </si>
  <si>
    <t xml:space="preserve">Nộp hồ sơ → đóng cọc → nhận thông báo</t>
  </si>
  <si>
    <t xml:space="preserve">Review Google → giới thiệu bạn → share FB</t>
  </si>
  <si>
    <t xml:space="preserve">Tìm Google "trường TH song ngữ" → thấy ads Meta</t>
  </si>
  <si>
    <t xml:space="preserve">So sánh 3-5 trường → tour 2 lần → hỏi PH hiện tại</t>
  </si>
  <si>
    <t xml:space="preserve">Webinar/Open Day → tư vấn 1-1 → nhận ưu đãi</t>
  </si>
  <si>
    <t xml:space="preserve">Tour chi tiết → ngồi lớp thử → gặp GV chủ nhiệm</t>
  </si>
  <si>
    <t xml:space="preserve">Thi đầu vào (nếu có) → nộp hồ sơ → đóng phí</t>
  </si>
  <si>
    <t xml:space="preserve">Review → referral program → PH ambassador</t>
  </si>
  <si>
    <t xml:space="preserve">Webinar "chuyển cấp" → Google "THCS tốt GV" → FB ads</t>
  </si>
  <si>
    <t xml:space="preserve">So sánh đầu ra → xem chương trình → hỏi alumni PH</t>
  </si>
  <si>
    <t xml:space="preserve">Tư vấn riêng → xem lộ trình 6→12 → học bổng</t>
  </si>
  <si>
    <t xml:space="preserve">Tour + ngồi lớp + gặp HS hiện tại + GV chủ nhiệm</t>
  </si>
  <si>
    <t xml:space="preserve">Nộp hồ sơ → phỏng vấn → đóng cọc</t>
  </si>
  <si>
    <t xml:space="preserve">PH chia sẻ experience → alumni success story</t>
  </si>
  <si>
    <t xml:space="preserve">Google "tuyển sinh lớp 10" → Webinar → FB/TikTok</t>
  </si>
  <si>
    <t xml:space="preserve">So sánh vs công → check đầu ra ĐH → học bổng</t>
  </si>
  <si>
    <t xml:space="preserve">Thi học bổng → tư vấn chuyên sâu → financial plan</t>
  </si>
  <si>
    <t xml:space="preserve">Tour VIP → gặp BGH → xem lab/thư viện/CLB</t>
  </si>
  <si>
    <t xml:space="preserve">Thi tuyển/xét tuyển → nhận kết quả → enrollment</t>
  </si>
  <si>
    <t xml:space="preserve">Đầu ra ĐH → alumni network → PH referral</t>
  </si>
  <si>
    <t xml:space="preserve">HÀNH TRÌNH QUYẾT ĐỊNH CỦA PHỤ HUYNH — CUSTOMER JOURNEY MAP</t>
  </si>
  <si>
    <t xml:space="preserve">Cấp Học</t>
  </si>
  <si>
    <t xml:space="preserve">Giai Đoạn</t>
  </si>
  <si>
    <t xml:space="preserve">Trigger/Channels</t>
  </si>
  <si>
    <t xml:space="preserve">Content Cần</t>
  </si>
  <si>
    <t xml:space="preserve">Funnel Page</t>
  </si>
  <si>
    <t xml:space="preserve">Ads Hiện</t>
  </si>
  <si>
    <t xml:space="preserve">CRM Action</t>
  </si>
  <si>
    <t xml:space="preserve">KPI</t>
  </si>
  <si>
    <t xml:space="preserve">Nhận Thức</t>
  </si>
  <si>
    <t xml:space="preserve">Search "trường MN tốt", FB feed, Referral</t>
  </si>
  <si>
    <t xml:space="preserve">Blog: Chọn trường như thế nào</t>
  </si>
  <si>
    <t xml:space="preserve">forms.truongvietanh.com/awareness-mn</t>
  </si>
  <si>
    <t xml:space="preserve">Search Ads (KW: trường MN)</t>
  </si>
  <si>
    <t xml:space="preserve">Tag: Awareness</t>
  </si>
  <si>
    <t xml:space="preserve">CTR 2%</t>
  </si>
  <si>
    <t xml:space="preserve">Tìm Hiểu</t>
  </si>
  <si>
    <t xml:space="preserve">Visit website, compare 3 trường</t>
  </si>
  <si>
    <t xml:space="preserve">So sánh, review, chứng chỉ</t>
  </si>
  <si>
    <t xml:space="preserve">forms.truongvietanh.com/consideration-mn</t>
  </si>
  <si>
    <t xml:space="preserve">Remarketing display ads</t>
  </si>
  <si>
    <t xml:space="preserve">Tag: Consideration</t>
  </si>
  <si>
    <t xml:space="preserve">Time on site 3+min</t>
  </si>
  <si>
    <t xml:space="preserve">Tham Quan</t>
  </si>
  <si>
    <t xml:space="preserve">Đăng ký tour, gặp hiệu trưởng</t>
  </si>
  <si>
    <t xml:space="preserve">Virtual tour, bảng giá, Q&amp;A</t>
  </si>
  <si>
    <t xml:space="preserve">forms.truongvietanh.com/tour-mn</t>
  </si>
  <si>
    <t xml:space="preserve">Zalo OA message</t>
  </si>
  <si>
    <t xml:space="preserve">Event: Tour scheduled</t>
  </si>
  <si>
    <t xml:space="preserve">Attendance 85%</t>
  </si>
  <si>
    <t xml:space="preserve">Quyết Định</t>
  </si>
  <si>
    <t xml:space="preserve">Gặp phụ huynh khác, quyết định</t>
  </si>
  <si>
    <t xml:space="preserve">Hồ sơ ghi danh, học phí</t>
  </si>
  <si>
    <t xml:space="preserve">forms.truongvietanh.com/enroll-mn</t>
  </si>
  <si>
    <t xml:space="preserve">Conversion ads</t>
  </si>
  <si>
    <t xml:space="preserve">Create: Lead in CRM</t>
  </si>
  <si>
    <t xml:space="preserve">Conversion 15%</t>
  </si>
  <si>
    <t xml:space="preserve">Referral</t>
  </si>
  <si>
    <t xml:space="preserve">Khuyên bạn bè, review</t>
  </si>
  <si>
    <t xml:space="preserve">Referral program info, incentive</t>
  </si>
  <si>
    <t xml:space="preserve">forms.truongvietanh.com/refer-mn</t>
  </si>
  <si>
    <t xml:space="preserve">None</t>
  </si>
  <si>
    <t xml:space="preserve">Tag: Enrolled + Referrer</t>
  </si>
  <si>
    <t xml:space="preserve">Referral rate 10%</t>
  </si>
  <si>
    <t xml:space="preserve">Google search, Facebook, TikTok</t>
  </si>
  <si>
    <t xml:space="preserve">Blog: Tại sao TH quốc tế</t>
  </si>
  <si>
    <t xml:space="preserve">forms.truongvietanh.com/awareness-th</t>
  </si>
  <si>
    <t xml:space="preserve">Video ads + Search ads</t>
  </si>
  <si>
    <t xml:space="preserve">Video views 5k+</t>
  </si>
  <si>
    <t xml:space="preserve">Video review, website</t>
  </si>
  <si>
    <t xml:space="preserve">Chương trình giáo dục, giáo viên</t>
  </si>
  <si>
    <t xml:space="preserve">forms.truongvietanh.com/consideration-th</t>
  </si>
  <si>
    <t xml:space="preserve">Story ads, carousel ads</t>
  </si>
  <si>
    <t xml:space="preserve">Engagement 5%</t>
  </si>
  <si>
    <t xml:space="preserve">Lớp học trực tiếp, gặp cô</t>
  </si>
  <si>
    <t xml:space="preserve">Lịch học, hoạt động ngoài giờ</t>
  </si>
  <si>
    <t xml:space="preserve">forms.truongvietanh.com/tour-th</t>
  </si>
  <si>
    <t xml:space="preserve">Zalo + Email reminder</t>
  </si>
  <si>
    <t xml:space="preserve">Tour completed 90%</t>
  </si>
  <si>
    <t xml:space="preserve">Lần 2-3 liên hệ, tư vấn</t>
  </si>
  <si>
    <t xml:space="preserve">Học phí, hỗ trợ, timing</t>
  </si>
  <si>
    <t xml:space="preserve">forms.truongvietanh.com/enroll-th</t>
  </si>
  <si>
    <t xml:space="preserve">Lead magnet ads</t>
  </si>
  <si>
    <t xml:space="preserve">Create: Lead</t>
  </si>
  <si>
    <t xml:space="preserve">Conversion 20%</t>
  </si>
  <si>
    <t xml:space="preserve">Đã ghi danh, khuyên bạn</t>
  </si>
  <si>
    <t xml:space="preserve">Success story, student life</t>
  </si>
  <si>
    <t xml:space="preserve">forms.truongvietanh.com/refer-th</t>
  </si>
  <si>
    <t xml:space="preserve">Social proof ads</t>
  </si>
  <si>
    <t xml:space="preserve">Tag: Referrer</t>
  </si>
  <si>
    <t xml:space="preserve">Referral 12%</t>
  </si>
  <si>
    <t xml:space="preserve">Search "THCS tốt", YouTube</t>
  </si>
  <si>
    <t xml:space="preserve">Success stories, award-winning</t>
  </si>
  <si>
    <t xml:space="preserve">forms.truongvietanh.com/awareness-thcs</t>
  </si>
  <si>
    <t xml:space="preserve">YouTube ads + Search ads</t>
  </si>
  <si>
    <t xml:space="preserve">YouTube views 8k+</t>
  </si>
  <si>
    <t xml:space="preserve">Website explore, blog reading</t>
  </si>
  <si>
    <t xml:space="preserve">Chương trình THCS, tiếng Anh</t>
  </si>
  <si>
    <t xml:space="preserve">forms.truongvietanh.com/consideration-thcs</t>
  </si>
  <si>
    <t xml:space="preserve">Retargeting ads, carousel</t>
  </si>
  <si>
    <t xml:space="preserve">Pages/session 3+</t>
  </si>
  <si>
    <t xml:space="preserve">Đăng ký tour, tham dự</t>
  </si>
  <si>
    <t xml:space="preserve">Cơ sở vật chất, lab, thư viện</t>
  </si>
  <si>
    <t xml:space="preserve">forms.truongvietanh.com/tour-thcs</t>
  </si>
  <si>
    <t xml:space="preserve">Zalo + SMS reminder</t>
  </si>
  <si>
    <t xml:space="preserve">Event: Tour done</t>
  </si>
  <si>
    <t xml:space="preserve">Attendance 88%</t>
  </si>
  <si>
    <t xml:space="preserve">Gặp trực tiếp, tư vấn chi tiết</t>
  </si>
  <si>
    <t xml:space="preserve">Hồ sơ + hỗ trợ tài chính</t>
  </si>
  <si>
    <t xml:space="preserve">forms.truongvietanh.com/enroll-thcs</t>
  </si>
  <si>
    <t xml:space="preserve">Conversion optimized ads</t>
  </si>
  <si>
    <t xml:space="preserve">Conversion 18%</t>
  </si>
  <si>
    <t xml:space="preserve">Phụ huynh + học sinh tuyên truyền</t>
  </si>
  <si>
    <t xml:space="preserve">Student testimonial, event</t>
  </si>
  <si>
    <t xml:space="preserve">forms.truongvietanh.com/refer-thcs</t>
  </si>
  <si>
    <t xml:space="preserve">UGC ads</t>
  </si>
  <si>
    <t xml:space="preserve">Referral 15%</t>
  </si>
  <si>
    <t xml:space="preserve">Search "THPT du học", Instagram</t>
  </si>
  <si>
    <t xml:space="preserve">News, award, international program</t>
  </si>
  <si>
    <t xml:space="preserve">forms.truongvietanh.com/awareness-thpt</t>
  </si>
  <si>
    <t xml:space="preserve">Instagram ads + Google ads</t>
  </si>
  <si>
    <t xml:space="preserve">Reach 10k+</t>
  </si>
  <si>
    <t xml:space="preserve">Webinar, whitepaper download</t>
  </si>
  <si>
    <t xml:space="preserve">Du học guide, course structure</t>
  </si>
  <si>
    <t xml:space="preserve">forms.truongvietanh.com/consideration-thpt</t>
  </si>
  <si>
    <t xml:space="preserve">Lead magnet ads, webinar promo</t>
  </si>
  <si>
    <t xml:space="preserve">Webinar signup 200+</t>
  </si>
  <si>
    <t xml:space="preserve">Tour + Webinar, gặp alumni</t>
  </si>
  <si>
    <t xml:space="preserve">Lộ trình học tập, scholarship</t>
  </si>
  <si>
    <t xml:space="preserve">forms.truongvietanh.com/tour-thpt</t>
  </si>
  <si>
    <t xml:space="preserve">Email sequence</t>
  </si>
  <si>
    <t xml:space="preserve">Event: Webinar + Tour</t>
  </si>
  <si>
    <t xml:space="preserve">Final discussion, hỗ trợ visa</t>
  </si>
  <si>
    <t xml:space="preserve">Học phí, visa support, timeline</t>
  </si>
  <si>
    <t xml:space="preserve">forms.truongvietanh.com/enroll-thpt</t>
  </si>
  <si>
    <t xml:space="preserve">Retargeting + conversion ads</t>
  </si>
  <si>
    <t xml:space="preserve">Conversion 22%</t>
  </si>
  <si>
    <t xml:space="preserve">Alumni network, success promotion</t>
  </si>
  <si>
    <t xml:space="preserve">Alumni story, university acceptance</t>
  </si>
  <si>
    <t xml:space="preserve">forms.truongvietanh.com/refer-thpt</t>
  </si>
  <si>
    <t xml:space="preserve">LinkedIn + Instagram ads</t>
  </si>
  <si>
    <t xml:space="preserve">Referral 18%</t>
  </si>
  <si>
    <t xml:space="preserve">🎯 DASHBOARD ĐIỀU HÀNH – KẾ HOẠCH TUYỂN SINH VIỆT ANH 2026</t>
  </si>
  <si>
    <t xml:space="preserve">Giai đoạn: 26/03/2026 – 30/09/2026  |  Tổng ngân sách: 13 tỷ đồng  |  Mục tiêu: 1,300 học sinh</t>
  </si>
  <si>
    <t xml:space="preserve">📊 KPI TỔNG QUAN (tự động liên kết từ các sheet)</t>
  </si>
  <si>
    <t xml:space="preserve">Chỉ số</t>
  </si>
  <si>
    <t xml:space="preserve">Mục tiêu</t>
  </si>
  <si>
    <t xml:space="preserve">Thực tế MTD</t>
  </si>
  <si>
    <t xml:space="preserve">Vs Target</t>
  </si>
  <si>
    <t xml:space="preserve">Trạng thái</t>
  </si>
  <si>
    <t xml:space="preserve">Nguồn dữ liệu</t>
  </si>
  <si>
    <t xml:space="preserve">Sheet liên kết</t>
  </si>
  <si>
    <t xml:space="preserve">🏫 Nhập học tích lũy</t>
  </si>
  <si>
    <t xml:space="preserve">→ Nhập tay</t>
  </si>
  <si>
    <t xml:space="preserve">1. Input</t>
  </si>
  <si>
    <t xml:space="preserve">Nhập tay từ CRM</t>
  </si>
  <si>
    <t xml:space="preserve">🎯 School Tour tích lũy</t>
  </si>
  <si>
    <t xml:space="preserve">4. Funnel</t>
  </si>
  <si>
    <t xml:space="preserve">Nhập tay từ GHL</t>
  </si>
  <si>
    <t xml:space="preserve">📥 Leads tích lũy</t>
  </si>
  <si>
    <t xml:space="preserve">💰 Chi phí Paid Media</t>
  </si>
  <si>
    <t xml:space="preserve">2. Paid Media</t>
  </si>
  <si>
    <t xml:space="preserve">Birch / Ads Manager</t>
  </si>
  <si>
    <t xml:space="preserve">📊 CPL trung bình</t>
  </si>
  <si>
    <t xml:space="preserve">14. Weekly Battleplan</t>
  </si>
  <si>
    <t xml:space="preserve">Nhập tay tuần</t>
  </si>
  <si>
    <t xml:space="preserve">🏃 Lead→Tour rate</t>
  </si>
  <si>
    <t xml:space="preserve">Tính từ GHL</t>
  </si>
  <si>
    <t xml:space="preserve">✅ Tour→Nhập học rate</t>
  </si>
  <si>
    <t xml:space="preserve">⚡ Response &lt;5 min</t>
  </si>
  <si>
    <t xml:space="preserve">💰 NGÂN SÁCH PAID MEDIA THEO KÊNH (liên kết 2. Paid Media)</t>
  </si>
  <si>
    <t xml:space="preserve">Kênh</t>
  </si>
  <si>
    <t xml:space="preserve">% Mix</t>
  </si>
  <si>
    <t xml:space="preserve">Ngân sách</t>
  </si>
  <si>
    <t xml:space="preserve">Vai trò</t>
  </si>
  <si>
    <t xml:space="preserve">CPL Mục tiêu</t>
  </si>
  <si>
    <t xml:space="preserve">Quản lý</t>
  </si>
  <si>
    <t xml:space="preserve">Ghi chú</t>
  </si>
  <si>
    <t xml:space="preserve">Meta / Facebook + Instagram</t>
  </si>
  <si>
    <t xml:space="preserve">Demand + lead local</t>
  </si>
  <si>
    <t xml:space="preserve">Birch + GHL</t>
  </si>
  <si>
    <t xml:space="preserve">Kênh chủ lực</t>
  </si>
  <si>
    <t xml:space="preserve">Google Search</t>
  </si>
  <si>
    <t xml:space="preserve">Intent-based</t>
  </si>
  <si>
    <t xml:space="preserve">Birch</t>
  </si>
  <si>
    <t xml:space="preserve">THCS/THPT</t>
  </si>
  <si>
    <t xml:space="preserve">Google Display / YouTube</t>
  </si>
  <si>
    <t xml:space="preserve">Phủ + video</t>
  </si>
  <si>
    <t xml:space="preserve">N/A</t>
  </si>
  <si>
    <t xml:space="preserve">Testimonial</t>
  </si>
  <si>
    <t xml:space="preserve">TikTok Ads</t>
  </si>
  <si>
    <t xml:space="preserve">Video social proof</t>
  </si>
  <si>
    <t xml:space="preserve">100 video</t>
  </si>
  <si>
    <t xml:space="preserve">Zalo Ads + OA</t>
  </si>
  <si>
    <t xml:space="preserve">Nurture local</t>
  </si>
  <si>
    <t xml:space="preserve">GHL</t>
  </si>
  <si>
    <t xml:space="preserve">K12 local</t>
  </si>
  <si>
    <t xml:space="preserve">Webinar Ads</t>
  </si>
  <si>
    <t xml:space="preserve">Webinar lộ trình</t>
  </si>
  <si>
    <t xml:space="preserve">Meta + GHL</t>
  </si>
  <si>
    <t xml:space="preserve">Remarketing đa nền tảng</t>
  </si>
  <si>
    <t xml:space="preserve">Đuổi lại khách</t>
  </si>
  <si>
    <t xml:space="preserve">12%</t>
  </si>
  <si>
    <t xml:space="preserve">Local SEO / GMB</t>
  </si>
  <si>
    <t xml:space="preserve">Local presence</t>
  </si>
  <si>
    <t xml:space="preserve">Manual + GHL</t>
  </si>
  <si>
    <t xml:space="preserve">8 địa điểm</t>
  </si>
  <si>
    <t xml:space="preserve">TỔNG PAID MEDIA</t>
  </si>
  <si>
    <t xml:space="preserve">🏫 PHÂN BỔ THEO CƠ SỞ (liên kết 3. Master Table)</t>
  </si>
  <si>
    <t xml:space="preserve">Cơ sở</t>
  </si>
  <si>
    <t xml:space="preserve">Cấp</t>
  </si>
  <si>
    <t xml:space="preserve">HS Mục tiêu</t>
  </si>
  <si>
    <t xml:space="preserve">CAC</t>
  </si>
  <si>
    <t xml:space="preserve">Meta (đ)</t>
  </si>
  <si>
    <t xml:space="preserve">G.Search (đ)</t>
  </si>
  <si>
    <t xml:space="preserve">TikTok (đ)</t>
  </si>
  <si>
    <t xml:space="preserve">Zalo (đ)</t>
  </si>
  <si>
    <t xml:space="preserve">Brand hệ thống</t>
  </si>
  <si>
    <t xml:space="preserve">Chung</t>
  </si>
  <si>
    <t xml:space="preserve">🗂️ NAVIGATOR – DANH SÁCH CÁC SHEET (Click để xem)</t>
  </si>
  <si>
    <t xml:space="preserve">#</t>
  </si>
  <si>
    <t xml:space="preserve">Tên Sheet</t>
  </si>
  <si>
    <t xml:space="preserve">Mô tả</t>
  </si>
  <si>
    <t xml:space="preserve">Dùng cho</t>
  </si>
  <si>
    <t xml:space="preserve">Cập nhật</t>
  </si>
  <si>
    <t xml:space="preserve">Tần suất</t>
  </si>
  <si>
    <t xml:space="preserve">Liên kết đến</t>
  </si>
  <si>
    <t xml:space="preserve">1</t>
  </si>
  <si>
    <t xml:space="preserve">Thông số đầu vào toàn kế hoạch</t>
  </si>
  <si>
    <t xml:space="preserve">Ban điều hành</t>
  </si>
  <si>
    <t xml:space="preserve">26/03</t>
  </si>
  <si>
    <t xml:space="preserve">Đầu mùa</t>
  </si>
  <si>
    <t xml:space="preserve">Master Table, Funnel</t>
  </si>
  <si>
    <t xml:space="preserve">2</t>
  </si>
  <si>
    <t xml:space="preserve">Mix kênh, ngân sách, KPI mỗi kênh</t>
  </si>
  <si>
    <t xml:space="preserve">Marketing Lead</t>
  </si>
  <si>
    <t xml:space="preserve">Hàng tháng</t>
  </si>
  <si>
    <t xml:space="preserve">Tháng</t>
  </si>
  <si>
    <t xml:space="preserve">Master Table</t>
  </si>
  <si>
    <t xml:space="preserve">3</t>
  </si>
  <si>
    <t xml:space="preserve">3. Master Table</t>
  </si>
  <si>
    <t xml:space="preserve">Phân bổ NS theo từng cơ sở</t>
  </si>
  <si>
    <t xml:space="preserve">Tất cả</t>
  </si>
  <si>
    <t xml:space="preserve">Paid Media, Funnel</t>
  </si>
  <si>
    <t xml:space="preserve">4</t>
  </si>
  <si>
    <t xml:space="preserve">Funnel chuyển đổi &amp; KPI</t>
  </si>
  <si>
    <t xml:space="preserve">Tuần</t>
  </si>
  <si>
    <t xml:space="preserve">Dashboard, Battleplan</t>
  </si>
  <si>
    <t xml:space="preserve">5</t>
  </si>
  <si>
    <t xml:space="preserve">5. Google Ads Chi Tiết</t>
  </si>
  <si>
    <t xml:space="preserve">Campaign, KW, RSA, Birch setup</t>
  </si>
  <si>
    <t xml:space="preserve">Perf. Marketing</t>
  </si>
  <si>
    <t xml:space="preserve">KPI Weekly</t>
  </si>
  <si>
    <t xml:space="preserve">6</t>
  </si>
  <si>
    <t xml:space="preserve">6. Meta Ads Chi Tiết</t>
  </si>
  <si>
    <t xml:space="preserve">Campaign, Audience, Creative, Pixel</t>
  </si>
  <si>
    <t xml:space="preserve">7</t>
  </si>
  <si>
    <t xml:space="preserve">7. TikTok Ads Chi Tiết</t>
  </si>
  <si>
    <t xml:space="preserve">100 video, campaign, GTM</t>
  </si>
  <si>
    <t xml:space="preserve">Content + Perf.</t>
  </si>
  <si>
    <t xml:space="preserve">8</t>
  </si>
  <si>
    <t xml:space="preserve">8. GoHighLevel Setup</t>
  </si>
  <si>
    <t xml:space="preserve">CRM, Pipeline, Automation, Zalo</t>
  </si>
  <si>
    <t xml:space="preserve">CRM + Sales</t>
  </si>
  <si>
    <t xml:space="preserve">Ngày 1</t>
  </si>
  <si>
    <t xml:space="preserve">Setup</t>
  </si>
  <si>
    <t xml:space="preserve">Admissions KPI</t>
  </si>
  <si>
    <t xml:space="preserve">9</t>
  </si>
  <si>
    <t xml:space="preserve">9. GTM Tracking</t>
  </si>
  <si>
    <t xml:space="preserve">Tag, trigger, conversion setup</t>
  </si>
  <si>
    <t xml:space="preserve">Tech/Dev</t>
  </si>
  <si>
    <t xml:space="preserve">Pixel, GA4</t>
  </si>
  <si>
    <t xml:space="preserve">10</t>
  </si>
  <si>
    <t xml:space="preserve">10. Lịch Công Việc</t>
  </si>
  <si>
    <t xml:space="preserve">Checklist ngày/tuần/tháng marketer</t>
  </si>
  <si>
    <t xml:space="preserve">Marketing</t>
  </si>
  <si>
    <t xml:space="preserve">Hàng ngày</t>
  </si>
  <si>
    <t xml:space="preserve">Daily</t>
  </si>
  <si>
    <t xml:space="preserve">Battleplan, Todo</t>
  </si>
  <si>
    <t xml:space="preserve">11</t>
  </si>
  <si>
    <t xml:space="preserve">11. Timeline</t>
  </si>
  <si>
    <t xml:space="preserve">Lịch giải ngân 7 tháng</t>
  </si>
  <si>
    <t xml:space="preserve">Dashboard</t>
  </si>
  <si>
    <t xml:space="preserve">12</t>
  </si>
  <si>
    <t xml:space="preserve">12. Danh bạ</t>
  </si>
  <si>
    <t xml:space="preserve">Hotline và địa chỉ từng cơ sở</t>
  </si>
  <si>
    <t xml:space="preserve">Tĩnh</t>
  </si>
  <si>
    <t xml:space="preserve">-</t>
  </si>
  <si>
    <t xml:space="preserve">13</t>
  </si>
  <si>
    <t xml:space="preserve">13. Zalo Ads + OA</t>
  </si>
  <si>
    <t xml:space="preserve">Kế hoạch Zalo, automation, nuture</t>
  </si>
  <si>
    <t xml:space="preserve">Marketing + CRM</t>
  </si>
  <si>
    <t xml:space="preserve">GHL Setup</t>
  </si>
  <si>
    <t xml:space="preserve">14</t>
  </si>
  <si>
    <t xml:space="preserve">Tác chiến 28 tuần, 3 đội</t>
  </si>
  <si>
    <t xml:space="preserve">Todo List</t>
  </si>
  <si>
    <t xml:space="preserve">A</t>
  </si>
  <si>
    <t xml:space="preserve">A. KPI Weekly Tracker</t>
  </si>
  <si>
    <t xml:space="preserve">Dashboard KPI tuần cho 3 đội</t>
  </si>
  <si>
    <t xml:space="preserve">Điều hành</t>
  </si>
  <si>
    <t xml:space="preserve">B</t>
  </si>
  <si>
    <t xml:space="preserve">B. Todo Daily</t>
  </si>
  <si>
    <t xml:space="preserve">Việc hàng ngày theo campaign/kênh</t>
  </si>
  <si>
    <t xml:space="preserve">Ngày</t>
  </si>
  <si>
    <t xml:space="preserve">Battleplan</t>
  </si>
  <si>
    <t xml:space="preserve">C</t>
  </si>
  <si>
    <t xml:space="preserve">B. Todo Weekly</t>
  </si>
  <si>
    <t xml:space="preserve">Checklist hàng tuần đủ 3 đội</t>
  </si>
  <si>
    <t xml:space="preserve">Marketing + Sales</t>
  </si>
  <si>
    <t xml:space="preserve">D</t>
  </si>
  <si>
    <t xml:space="preserve">C. Todo Monthly</t>
  </si>
  <si>
    <t xml:space="preserve">Checklist hàng tháng + review</t>
  </si>
  <si>
    <t xml:space="preserve">Management</t>
  </si>
  <si>
    <t xml:space="preserve">Timeline</t>
  </si>
  <si>
    <t xml:space="preserve">E</t>
  </si>
  <si>
    <t xml:space="preserve">D. Campaign Tracker</t>
  </si>
  <si>
    <t xml:space="preserve">Theo dõi từng campaign theo tuần</t>
  </si>
  <si>
    <t xml:space="preserve">F</t>
  </si>
  <si>
    <t xml:space="preserve">E. Meta Ads Plan</t>
  </si>
  <si>
    <t xml:space="preserve">Kế hoạch Meta Ads 04-09/2026 đầy đủ</t>
  </si>
  <si>
    <t xml:space="preserve">G</t>
  </si>
  <si>
    <t xml:space="preserve">F. Google Ads Plan</t>
  </si>
  <si>
    <t xml:space="preserve">Kế hoạch Google Ads 04-09/2026</t>
  </si>
  <si>
    <t xml:space="preserve">H</t>
  </si>
  <si>
    <t xml:space="preserve">G. Birch + GHL Integration</t>
  </si>
  <si>
    <t xml:space="preserve">Automation rules + webhook payload</t>
  </si>
  <si>
    <t xml:space="preserve">Tech + Marketing</t>
  </si>
  <si>
    <t xml:space="preserve">Birch Rules</t>
  </si>
  <si>
    <t xml:space="preserve">🆕 SHEETS BỔ SUNG V7</t>
  </si>
  <si>
    <t xml:space="preserve">I</t>
  </si>
  <si>
    <t xml:space="preserve">I. Chân Dung KH</t>
  </si>
  <si>
    <t xml:space="preserve">Persona + nỗi đau theo sản phẩm và địa điểm</t>
  </si>
  <si>
    <t xml:space="preserve">Persona, Funnel</t>
  </si>
  <si>
    <t xml:space="preserve">J</t>
  </si>
  <si>
    <t xml:space="preserve">J. Webinar Chi Tiết</t>
  </si>
  <si>
    <t xml:space="preserve">Kế hoạch 8 webinar + quy trình + KPI</t>
  </si>
  <si>
    <t xml:space="preserve">Marketing + BGH</t>
  </si>
  <si>
    <t xml:space="preserve">Campaign, GHL</t>
  </si>
  <si>
    <t xml:space="preserve">K</t>
  </si>
  <si>
    <t xml:space="preserve">K. Social Media Calendar</t>
  </si>
  <si>
    <t xml:space="preserve">Lịch đăng bài theo kênh, cơ sở, tháng</t>
  </si>
  <si>
    <t xml:space="preserve">Content Creator</t>
  </si>
  <si>
    <t xml:space="preserve">Hàng tuần</t>
  </si>
  <si>
    <t xml:space="preserve">Content</t>
  </si>
  <si>
    <t xml:space="preserve">L</t>
  </si>
  <si>
    <t xml:space="preserve">L. Analytics &amp; Remarketing</t>
  </si>
  <si>
    <t xml:space="preserve">GA4 events, remarketing audiences, automation tracking</t>
  </si>
  <si>
    <t xml:space="preserve">Performance</t>
  </si>
  <si>
    <t xml:space="preserve">GTM, Birch</t>
  </si>
  <si>
    <t xml:space="preserve">📊 KPI THEO KÊNH (liên kết chi tiết)</t>
  </si>
  <si>
    <t xml:space="preserve">NS 7 tháng</t>
  </si>
  <si>
    <t xml:space="preserve">CPL Target</t>
  </si>
  <si>
    <t xml:space="preserve">Leads Target</t>
  </si>
  <si>
    <t xml:space="preserve">Tours Target</t>
  </si>
  <si>
    <t xml:space="preserve">Sheet chi tiết</t>
  </si>
  <si>
    <t xml:space="preserve">Tool quản lý</t>
  </si>
  <si>
    <t xml:space="preserve">Meta Ads</t>
  </si>
  <si>
    <t xml:space="preserve">38%</t>
  </si>
  <si>
    <t xml:space="preserve">F. Meta Ads Plan</t>
  </si>
  <si>
    <t xml:space="preserve">Birch + Meta Ads Manager</t>
  </si>
  <si>
    <t xml:space="preserve">18%</t>
  </si>
  <si>
    <t xml:space="preserve">G. Google Ads Plan</t>
  </si>
  <si>
    <t xml:space="preserve">Birch + Google Ads</t>
  </si>
  <si>
    <t xml:space="preserve">Google Display/YT</t>
  </si>
  <si>
    <t xml:space="preserve">7%</t>
  </si>
  <si>
    <t xml:space="preserve">10%</t>
  </si>
  <si>
    <t xml:space="preserve">Birch + TikTok Ads</t>
  </si>
  <si>
    <t xml:space="preserve">Zalo Ads+OA</t>
  </si>
  <si>
    <t xml:space="preserve">GHL + Zalo OA</t>
  </si>
  <si>
    <t xml:space="preserve">5%</t>
  </si>
  <si>
    <t xml:space="preserve">Remarketing</t>
  </si>
  <si>
    <t xml:space="preserve">Birch cross-platform</t>
  </si>
  <si>
    <t xml:space="preserve">Local SEO/GMB</t>
  </si>
  <si>
    <t xml:space="preserve">═══ CẬP NHẬT V8: SHEET MỚI + DUAL CRM + KPI MỞ RỘNG ═══</t>
  </si>
  <si>
    <t xml:space="preserve">DANH SÁCH TẤT CẢ 31 SHEETS — HYPERLINKS</t>
  </si>
  <si>
    <t xml:space="preserve">STT</t>
  </si>
  <si>
    <t xml:space="preserve">Sheet Name</t>
  </si>
  <si>
    <t xml:space="preserve">Nhóm</t>
  </si>
  <si>
    <t xml:space="preserve">Customer personas: 4 cấp học × 6 cơ sở, pain points, motivation</t>
  </si>
  <si>
    <t xml:space="preserve">Chiến lược</t>
  </si>
  <si>
    <t xml:space="preserve">✅ V7+</t>
  </si>
  <si>
    <t xml:space="preserve">0. Dashboard</t>
  </si>
  <si>
    <t xml:space="preserve">Bảng điều khiển tổng hợp — ĐANG XEM</t>
  </si>
  <si>
    <t xml:space="preserve">Tổng hợp</t>
  </si>
  <si>
    <t xml:space="preserve">✅ V8</t>
  </si>
  <si>
    <t xml:space="preserve">Thông số đầu vào: budget, target, channels</t>
  </si>
  <si>
    <t xml:space="preserve">Phân bổ ngân sách Paid Media theo kênh</t>
  </si>
  <si>
    <t xml:space="preserve">Quảng cáo</t>
  </si>
  <si>
    <t xml:space="preserve">Bảng tổng hợp target theo cơ sở × cấp học</t>
  </si>
  <si>
    <t xml:space="preserve">✅ V6</t>
  </si>
  <si>
    <t xml:space="preserve">Phễu chuyển đổi theo cấp học và cơ sở</t>
  </si>
  <si>
    <t xml:space="preserve">Campaigns, Ad Groups, Keywords, Budget</t>
  </si>
  <si>
    <t xml:space="preserve">FB + IG Ads: Campaigns, Audiences, Creatives</t>
  </si>
  <si>
    <t xml:space="preserve">TikTok campaigns, targeting, creatives</t>
  </si>
  <si>
    <t xml:space="preserve">✅ V7</t>
  </si>
  <si>
    <t xml:space="preserve">GHL setup guide: pipelines, workflows, forms</t>
  </si>
  <si>
    <t xml:space="preserve">CRM/Tech</t>
  </si>
  <si>
    <t xml:space="preserve">Google Tag Manager: pixels, events, CAPI</t>
  </si>
  <si>
    <t xml:space="preserve">10. Lịch Công Việc Marketer</t>
  </si>
  <si>
    <t xml:space="preserve">Gantt chart tổng quan</t>
  </si>
  <si>
    <t xml:space="preserve">Kế hoạch</t>
  </si>
  <si>
    <t xml:space="preserve">Timeline chi tiết theo tuần</t>
  </si>
  <si>
    <t xml:space="preserve">Contacts: team, vendor, media</t>
  </si>
  <si>
    <t xml:space="preserve">15</t>
  </si>
  <si>
    <t xml:space="preserve">Zalo Ads campaigns + OA strategy</t>
  </si>
  <si>
    <t xml:space="preserve">16</t>
  </si>
  <si>
    <t xml:space="preserve">Kế hoạch tuần chi tiết</t>
  </si>
  <si>
    <t xml:space="preserve">17</t>
  </si>
  <si>
    <t xml:space="preserve">Tracking KPI hàng tuần</t>
  </si>
  <si>
    <t xml:space="preserve">Theo dõi</t>
  </si>
  <si>
    <t xml:space="preserve">18</t>
  </si>
  <si>
    <t xml:space="preserve">Checklist hàng ngày — 28 tasks × 4 time blocks</t>
  </si>
  <si>
    <t xml:space="preserve">✅ V8++</t>
  </si>
  <si>
    <t xml:space="preserve">19</t>
  </si>
  <si>
    <t xml:space="preserve">C. Todo Weekly</t>
  </si>
  <si>
    <t xml:space="preserve">Công việc hàng tuần — 38 tasks × 7 ngày</t>
  </si>
  <si>
    <t xml:space="preserve">20</t>
  </si>
  <si>
    <t xml:space="preserve">D. Todo Monthly</t>
  </si>
  <si>
    <t xml:space="preserve">Kế hoạch tháng T4-T9 — 60+ tasks</t>
  </si>
  <si>
    <t xml:space="preserve">21</t>
  </si>
  <si>
    <t xml:space="preserve">E. Campaign Tracker</t>
  </si>
  <si>
    <t xml:space="preserve">Theo dõi từng campaign</t>
  </si>
  <si>
    <t xml:space="preserve">22</t>
  </si>
  <si>
    <t xml:space="preserve">Kế hoạch Meta Ads chi tiết</t>
  </si>
  <si>
    <t xml:space="preserve">23</t>
  </si>
  <si>
    <t xml:space="preserve">Kế hoạch Google Ads chi tiết</t>
  </si>
  <si>
    <t xml:space="preserve">24</t>
  </si>
  <si>
    <t xml:space="preserve">H. Birch + GHL Integration</t>
  </si>
  <si>
    <t xml:space="preserve">Tích hợp Birch PPC + GHL</t>
  </si>
  <si>
    <t xml:space="preserve">25</t>
  </si>
  <si>
    <t xml:space="preserve">Kế hoạch webinar: lịch, nội dung, follow-up</t>
  </si>
  <si>
    <t xml:space="preserve">Sự kiện</t>
  </si>
  <si>
    <t xml:space="preserve">26</t>
  </si>
  <si>
    <t xml:space="preserve">Lịch đăng bài social media</t>
  </si>
  <si>
    <t xml:space="preserve">Social Media</t>
  </si>
  <si>
    <t xml:space="preserve">27</t>
  </si>
  <si>
    <t xml:space="preserve">Tracking, remarketing, attribution</t>
  </si>
  <si>
    <t xml:space="preserve">28</t>
  </si>
  <si>
    <t xml:space="preserve">M. Video Marketing</t>
  </si>
  <si>
    <t xml:space="preserve">🆕 Video library (100 videos), production plan, KPI</t>
  </si>
  <si>
    <t xml:space="preserve">✅ V8 NEW</t>
  </si>
  <si>
    <t xml:space="preserve">29</t>
  </si>
  <si>
    <t xml:space="preserve">N. Email Marketing</t>
  </si>
  <si>
    <t xml:space="preserve">🆕 17 email sequences, broadcast calendar, GHL setup</t>
  </si>
  <si>
    <t xml:space="preserve">30</t>
  </si>
  <si>
    <t xml:space="preserve">O. Nuôi Kênh Social Media</t>
  </si>
  <si>
    <t xml:space="preserve">🆕 Nuôi 6 kênh: FB, Zalo, YT, TikTok, IG + KPI</t>
  </si>
  <si>
    <t xml:space="preserve">31</t>
  </si>
  <si>
    <t xml:space="preserve">P. Setup &amp; Đồng Bộ</t>
  </si>
  <si>
    <t xml:space="preserve">🆕 100 bước setup GHL+Pancake+Make.com+Birch</t>
  </si>
  <si>
    <t xml:space="preserve">DUAL CRM TRACKING — GHL + PANCAKE CRM</t>
  </si>
  <si>
    <t xml:space="preserve">Metric</t>
  </si>
  <si>
    <t xml:space="preserve">Pancake CRM</t>
  </si>
  <si>
    <t xml:space="preserve">Đồng bộ</t>
  </si>
  <si>
    <t xml:space="preserve">T4</t>
  </si>
  <si>
    <t xml:space="preserve">T5</t>
  </si>
  <si>
    <t xml:space="preserve">T6</t>
  </si>
  <si>
    <t xml:space="preserve">T7</t>
  </si>
  <si>
    <t xml:space="preserve">T8</t>
  </si>
  <si>
    <t xml:space="preserve">T9</t>
  </si>
  <si>
    <t xml:space="preserve">Tổng</t>
  </si>
  <si>
    <t xml:space="preserve">Total Contacts</t>
  </si>
  <si>
    <t xml:space="preserve">✅ Master</t>
  </si>
  <si>
    <t xml:space="preserve">✅ Sync</t>
  </si>
  <si>
    <t xml:space="preserve">Make.com real-time</t>
  </si>
  <si>
    <t xml:space="preserve">500</t>
  </si>
  <si>
    <t xml:space="preserve">1,200</t>
  </si>
  <si>
    <t xml:space="preserve">2,500</t>
  </si>
  <si>
    <t xml:space="preserve">4,000</t>
  </si>
  <si>
    <t xml:space="preserve">5,000</t>
  </si>
  <si>
    <t xml:space="preserve">5,500</t>
  </si>
  <si>
    <t xml:space="preserve">New Leads/tháng</t>
  </si>
  <si>
    <t xml:space="preserve">✅ Track</t>
  </si>
  <si>
    <t xml:space="preserve">✅ Capture</t>
  </si>
  <si>
    <t xml:space="preserve">Webhook → GHL</t>
  </si>
  <si>
    <t xml:space="preserve">100</t>
  </si>
  <si>
    <t xml:space="preserve">180</t>
  </si>
  <si>
    <t xml:space="preserve">300</t>
  </si>
  <si>
    <t xml:space="preserve">350</t>
  </si>
  <si>
    <t xml:space="preserve">200</t>
  </si>
  <si>
    <t xml:space="preserve">1,230</t>
  </si>
  <si>
    <t xml:space="preserve">FB Inbox Leads</t>
  </si>
  <si>
    <t xml:space="preserve">Sync from Pancake</t>
  </si>
  <si>
    <t xml:space="preserve">✅ Primary</t>
  </si>
  <si>
    <t xml:space="preserve">Pancake → Make → GHL</t>
  </si>
  <si>
    <t xml:space="preserve">40</t>
  </si>
  <si>
    <t xml:space="preserve">70</t>
  </si>
  <si>
    <t xml:space="preserve">120</t>
  </si>
  <si>
    <t xml:space="preserve">140</t>
  </si>
  <si>
    <t xml:space="preserve">80</t>
  </si>
  <si>
    <t xml:space="preserve">490</t>
  </si>
  <si>
    <t xml:space="preserve">Zalo Leads</t>
  </si>
  <si>
    <t xml:space="preserve">50</t>
  </si>
  <si>
    <t xml:space="preserve">60</t>
  </si>
  <si>
    <t xml:space="preserve">Form Leads</t>
  </si>
  <si>
    <t xml:space="preserve">Sync from GHL</t>
  </si>
  <si>
    <t xml:space="preserve">GHL → Make → Pancake</t>
  </si>
  <si>
    <t xml:space="preserve">270</t>
  </si>
  <si>
    <t xml:space="preserve">Ad Leads (Meta+Google+TikTok)</t>
  </si>
  <si>
    <t xml:space="preserve">✅ Via Birch</t>
  </si>
  <si>
    <t xml:space="preserve">Sync</t>
  </si>
  <si>
    <t xml:space="preserve">Birch → GHL → Make → Pancake</t>
  </si>
  <si>
    <t xml:space="preserve">Tours Booked</t>
  </si>
  <si>
    <t xml:space="preserve">✅ Calendar</t>
  </si>
  <si>
    <t xml:space="preserve">Note sync</t>
  </si>
  <si>
    <t xml:space="preserve">GHL → Make → Pancake note</t>
  </si>
  <si>
    <t xml:space="preserve">150</t>
  </si>
  <si>
    <t xml:space="preserve">470</t>
  </si>
  <si>
    <t xml:space="preserve">Enrollments</t>
  </si>
  <si>
    <t xml:space="preserve">✅ Pipeline</t>
  </si>
  <si>
    <t xml:space="preserve">✅ Tag</t>
  </si>
  <si>
    <t xml:space="preserve">Bidirectional</t>
  </si>
  <si>
    <t xml:space="preserve">405</t>
  </si>
  <si>
    <t xml:space="preserve">Response Time (avg)</t>
  </si>
  <si>
    <t xml:space="preserve">✅ Measure</t>
  </si>
  <si>
    <t xml:space="preserve">Report only</t>
  </si>
  <si>
    <t xml:space="preserve">&lt;30m</t>
  </si>
  <si>
    <t xml:space="preserve">&lt;25m</t>
  </si>
  <si>
    <t xml:space="preserve">&lt;20m</t>
  </si>
  <si>
    <t xml:space="preserve">Workflow Emails Sent</t>
  </si>
  <si>
    <t xml:space="preserve">GHL only</t>
  </si>
  <si>
    <t xml:space="preserve">1,500</t>
  </si>
  <si>
    <t xml:space="preserve">3,000</t>
  </si>
  <si>
    <t xml:space="preserve">1,000</t>
  </si>
  <si>
    <t xml:space="preserve">12,500</t>
  </si>
  <si>
    <t xml:space="preserve">SMS Sent</t>
  </si>
  <si>
    <t xml:space="preserve">800</t>
  </si>
  <si>
    <t xml:space="preserve">400</t>
  </si>
  <si>
    <t xml:space="preserve">4,100</t>
  </si>
  <si>
    <t xml:space="preserve">Make.com Operations/tháng</t>
  </si>
  <si>
    <t xml:space="preserve">✅ Monitor</t>
  </si>
  <si>
    <t xml:space="preserve">2,000</t>
  </si>
  <si>
    <t xml:space="preserve">7,000</t>
  </si>
  <si>
    <t xml:space="preserve">8,000</t>
  </si>
  <si>
    <t xml:space="preserve">29,000</t>
  </si>
  <si>
    <t xml:space="preserve">SOCIAL MEDIA KPI DASHBOARD — TỔNG HỢP 6 KÊNH</t>
  </si>
  <si>
    <t xml:space="preserve">Metric chính</t>
  </si>
  <si>
    <t xml:space="preserve">Hiện tại</t>
  </si>
  <si>
    <t xml:space="preserve">Target cuối</t>
  </si>
  <si>
    <t xml:space="preserve">Facebook Page</t>
  </si>
  <si>
    <t xml:space="preserve">Followers</t>
  </si>
  <si>
    <t xml:space="preserve">12,000</t>
  </si>
  <si>
    <t xml:space="preserve">15,000</t>
  </si>
  <si>
    <t xml:space="preserve">20,000</t>
  </si>
  <si>
    <t xml:space="preserve">28,000</t>
  </si>
  <si>
    <t xml:space="preserve">35,000</t>
  </si>
  <si>
    <t xml:space="preserve">42,000</t>
  </si>
  <si>
    <t xml:space="preserve">50,000</t>
  </si>
  <si>
    <t xml:space="preserve">Engagement Rate</t>
  </si>
  <si>
    <t xml:space="preserve">2.5%</t>
  </si>
  <si>
    <t xml:space="preserve">3.0%</t>
  </si>
  <si>
    <t xml:space="preserve">3.2%</t>
  </si>
  <si>
    <t xml:space="preserve">3.5%</t>
  </si>
  <si>
    <t xml:space="preserve">3.3%</t>
  </si>
  <si>
    <t xml:space="preserve">≥3.0%</t>
  </si>
  <si>
    <t xml:space="preserve">Facebook Groups</t>
  </si>
  <si>
    <t xml:space="preserve">Members (tổng)</t>
  </si>
  <si>
    <t xml:space="preserve">10,000</t>
  </si>
  <si>
    <t xml:space="preserve">13,000</t>
  </si>
  <si>
    <t xml:space="preserve">18,000</t>
  </si>
  <si>
    <t xml:space="preserve">22,000</t>
  </si>
  <si>
    <t xml:space="preserve">26,000</t>
  </si>
  <si>
    <t xml:space="preserve">30,000</t>
  </si>
  <si>
    <t xml:space="preserve">Zalo OA</t>
  </si>
  <si>
    <t xml:space="preserve">32,000</t>
  </si>
  <si>
    <t xml:space="preserve">36,000</t>
  </si>
  <si>
    <t xml:space="preserve">40,000</t>
  </si>
  <si>
    <t xml:space="preserve">Open Rate</t>
  </si>
  <si>
    <t xml:space="preserve">42%</t>
  </si>
  <si>
    <t xml:space="preserve">45%</t>
  </si>
  <si>
    <t xml:space="preserve">43%</t>
  </si>
  <si>
    <t xml:space="preserve">40%</t>
  </si>
  <si>
    <t xml:space="preserve">≥38%</t>
  </si>
  <si>
    <t xml:space="preserve">YouTube</t>
  </si>
  <si>
    <t xml:space="preserve">Subscribers</t>
  </si>
  <si>
    <t xml:space="preserve">3,500</t>
  </si>
  <si>
    <t xml:space="preserve">6,500</t>
  </si>
  <si>
    <t xml:space="preserve">Views/tháng</t>
  </si>
  <si>
    <t xml:space="preserve">60,000</t>
  </si>
  <si>
    <t xml:space="preserve">80,000</t>
  </si>
  <si>
    <t xml:space="preserve">70,000</t>
  </si>
  <si>
    <t xml:space="preserve">≥50K</t>
  </si>
  <si>
    <t xml:space="preserve">TikTok</t>
  </si>
  <si>
    <t xml:space="preserve">6,000</t>
  </si>
  <si>
    <t xml:space="preserve">16,000</t>
  </si>
  <si>
    <t xml:space="preserve">200,000</t>
  </si>
  <si>
    <t xml:space="preserve">400,000</t>
  </si>
  <si>
    <t xml:space="preserve">800,000</t>
  </si>
  <si>
    <t xml:space="preserve">1,000,000</t>
  </si>
  <si>
    <t xml:space="preserve">500,000</t>
  </si>
  <si>
    <t xml:space="preserve">≥500K</t>
  </si>
  <si>
    <t xml:space="preserve">Instagram</t>
  </si>
  <si>
    <t xml:space="preserve">TỔNG</t>
  </si>
  <si>
    <t xml:space="preserve">Leads từ Social</t>
  </si>
  <si>
    <t xml:space="preserve">250</t>
  </si>
  <si>
    <t xml:space="preserve">Cost/lead social</t>
  </si>
  <si>
    <t xml:space="preserve">50K</t>
  </si>
  <si>
    <t xml:space="preserve">45K</t>
  </si>
  <si>
    <t xml:space="preserve">40K</t>
  </si>
  <si>
    <t xml:space="preserve">38K</t>
  </si>
  <si>
    <t xml:space="preserve">42K</t>
  </si>
  <si>
    <t xml:space="preserve">≤45K</t>
  </si>
  <si>
    <t xml:space="preserve">VIDEO + EMAIL MARKETING KPI</t>
  </si>
  <si>
    <t xml:space="preserve">Video</t>
  </si>
  <si>
    <t xml:space="preserve">Videos produced</t>
  </si>
  <si>
    <t xml:space="preserve">105</t>
  </si>
  <si>
    <t xml:space="preserve">Total views (all platforms)</t>
  </si>
  <si>
    <t xml:space="preserve">150,000</t>
  </si>
  <si>
    <t xml:space="preserve">600,000</t>
  </si>
  <si>
    <t xml:space="preserve">1,800,000</t>
  </si>
  <si>
    <t xml:space="preserve">Leads from video</t>
  </si>
  <si>
    <t xml:space="preserve">205</t>
  </si>
  <si>
    <t xml:space="preserve">Email</t>
  </si>
  <si>
    <t xml:space="preserve">Emails sent (auto + broadcast)</t>
  </si>
  <si>
    <t xml:space="preserve">700</t>
  </si>
  <si>
    <t xml:space="preserve">5,200</t>
  </si>
  <si>
    <t xml:space="preserve">3,300</t>
  </si>
  <si>
    <t xml:space="preserve">1,400</t>
  </si>
  <si>
    <t xml:space="preserve">16,600</t>
  </si>
  <si>
    <t xml:space="preserve">Average open rate</t>
  </si>
  <si>
    <t xml:space="preserve">35%</t>
  </si>
  <si>
    <t xml:space="preserve">33%</t>
  </si>
  <si>
    <t xml:space="preserve">32%</t>
  </si>
  <si>
    <t xml:space="preserve">30%</t>
  </si>
  <si>
    <t xml:space="preserve">28%</t>
  </si>
  <si>
    <t xml:space="preserve">31.3%</t>
  </si>
  <si>
    <t xml:space="preserve">Average click rate</t>
  </si>
  <si>
    <t xml:space="preserve">8%</t>
  </si>
  <si>
    <t xml:space="preserve">6%</t>
  </si>
  <si>
    <t xml:space="preserve">6.5%</t>
  </si>
  <si>
    <t xml:space="preserve">Leads from email</t>
  </si>
  <si>
    <t xml:space="preserve">215</t>
  </si>
  <si>
    <t xml:space="preserve">NGÂN SÁCH TỔNG HỢP V8 — 13 TỶ VND</t>
  </si>
  <si>
    <t xml:space="preserve">Hạng mục</t>
  </si>
  <si>
    <t xml:space="preserve">% Budget</t>
  </si>
  <si>
    <t xml:space="preserve">Meta Ads (FB + IG)</t>
  </si>
  <si>
    <t xml:space="preserve">400M</t>
  </si>
  <si>
    <t xml:space="preserve">600M</t>
  </si>
  <si>
    <t xml:space="preserve">1,000M</t>
  </si>
  <si>
    <t xml:space="preserve">4,000M</t>
  </si>
  <si>
    <t xml:space="preserve">30.8%</t>
  </si>
  <si>
    <t xml:space="preserve">Google Ads</t>
  </si>
  <si>
    <t xml:space="preserve">300M</t>
  </si>
  <si>
    <t xml:space="preserve">200M</t>
  </si>
  <si>
    <t xml:space="preserve">2,500M</t>
  </si>
  <si>
    <t xml:space="preserve">19.2%</t>
  </si>
  <si>
    <t xml:space="preserve">100M</t>
  </si>
  <si>
    <t xml:space="preserve">1,400M</t>
  </si>
  <si>
    <t xml:space="preserve">10.8%</t>
  </si>
  <si>
    <t xml:space="preserve">Zalo Ads</t>
  </si>
  <si>
    <t xml:space="preserve">150M</t>
  </si>
  <si>
    <t xml:space="preserve">1,250M</t>
  </si>
  <si>
    <t xml:space="preserve">9.6%</t>
  </si>
  <si>
    <t xml:space="preserve">Content Production (Video, Design)</t>
  </si>
  <si>
    <t xml:space="preserve">50M</t>
  </si>
  <si>
    <t xml:space="preserve">650M</t>
  </si>
  <si>
    <t xml:space="preserve">5.0%</t>
  </si>
  <si>
    <t xml:space="preserve">Events (Open Day, Webinar)</t>
  </si>
  <si>
    <t xml:space="preserve">700M</t>
  </si>
  <si>
    <t xml:space="preserve">5.4%</t>
  </si>
  <si>
    <t xml:space="preserve">Influencer Marketing</t>
  </si>
  <si>
    <t xml:space="preserve">0</t>
  </si>
  <si>
    <t xml:space="preserve">40M</t>
  </si>
  <si>
    <t xml:space="preserve">30M</t>
  </si>
  <si>
    <t xml:space="preserve">170M</t>
  </si>
  <si>
    <t xml:space="preserve">1.3%</t>
  </si>
  <si>
    <t xml:space="preserve">Software (GHL+Birch+Make+Pancake)</t>
  </si>
  <si>
    <t xml:space="preserve">180M</t>
  </si>
  <si>
    <t xml:space="preserve">1.4%</t>
  </si>
  <si>
    <t xml:space="preserve">SMS/Zalo Messaging</t>
  </si>
  <si>
    <t xml:space="preserve">20M</t>
  </si>
  <si>
    <t xml:space="preserve">1.5%</t>
  </si>
  <si>
    <t xml:space="preserve">Referral Rewards</t>
  </si>
  <si>
    <t xml:space="preserve">450M</t>
  </si>
  <si>
    <t xml:space="preserve">Contingency (10%)</t>
  </si>
  <si>
    <t xml:space="preserve">130M</t>
  </si>
  <si>
    <t xml:space="preserve">175M</t>
  </si>
  <si>
    <t xml:space="preserve">290M</t>
  </si>
  <si>
    <t xml:space="preserve">1,165M</t>
  </si>
  <si>
    <t xml:space="preserve">9.0%</t>
  </si>
  <si>
    <t xml:space="preserve">TỔNG CỘNG</t>
  </si>
  <si>
    <t xml:space="preserve">1,330M</t>
  </si>
  <si>
    <t xml:space="preserve">1,925M</t>
  </si>
  <si>
    <t xml:space="preserve">3,170M</t>
  </si>
  <si>
    <t xml:space="preserve">1,970M</t>
  </si>
  <si>
    <t xml:space="preserve">1,100M</t>
  </si>
  <si>
    <t xml:space="preserve">13,000M</t>
  </si>
  <si>
    <t xml:space="preserve">100%</t>
  </si>
  <si>
    <t xml:space="preserve">12 SỐ HÀNG NGÀY</t>
  </si>
  <si>
    <t xml:space="preserve">Link Dashboard chi tiết tại sheet: X. Dashboard 12 Số</t>
  </si>
  <si>
    <t xml:space="preserve">PIPELINE SUMMARY</t>
  </si>
  <si>
    <t xml:space="preserve">Chi tiết funnel 8 tầng tại sheet: T. Funnel 8 Tầng</t>
  </si>
  <si>
    <t xml:space="preserve">INPUT &amp; ĐIỀU KHIỂN – BẢN V5 (BỎ PHÚ NHUẬN, CẬP NHẬT ĐỊA GIỚI)</t>
  </si>
  <si>
    <t xml:space="preserve">⚠️ Phú Nhuận ĐÃ BỎ. Ngân sách phân bổ lại cho các cơ sở còn lại. Cần Giuộc → Tây Ninh. Rạch Giá → An Giang.</t>
  </si>
  <si>
    <t xml:space="preserve">Giá trị</t>
  </si>
  <si>
    <t xml:space="preserve">Đơn vị</t>
  </si>
  <si>
    <t xml:space="preserve">Tổng ngân sách</t>
  </si>
  <si>
    <t xml:space="preserve">đ</t>
  </si>
  <si>
    <t xml:space="preserve">13 tỷ</t>
  </si>
  <si>
    <t xml:space="preserve">Mục tiêu nhập học</t>
  </si>
  <si>
    <t xml:space="preserve">HS</t>
  </si>
  <si>
    <t xml:space="preserve">Không còn Phú Nhuận → phân bổ lại</t>
  </si>
  <si>
    <t xml:space="preserve">NC → Lead</t>
  </si>
  <si>
    <t xml:space="preserve">%</t>
  </si>
  <si>
    <t xml:space="preserve">Benchmark K12: 18-25%</t>
  </si>
  <si>
    <t xml:space="preserve">Lead → School Tour</t>
  </si>
  <si>
    <t xml:space="preserve">SLA &lt; 5 phút + GHL automation</t>
  </si>
  <si>
    <t xml:space="preserve">Tour → Nhập học</t>
  </si>
  <si>
    <t xml:space="preserve">Thực tế K12 VN</t>
  </si>
  <si>
    <t xml:space="preserve">CRM / GoHighLevel</t>
  </si>
  <si>
    <t xml:space="preserve">GHL + Zalo + SMS + landing</t>
  </si>
  <si>
    <t xml:space="preserve">School Tour / Open Day / Event</t>
  </si>
  <si>
    <t xml:space="preserve">Điểm chuyển đổi #1</t>
  </si>
  <si>
    <t xml:space="preserve">Nhân sự Sales</t>
  </si>
  <si>
    <t xml:space="preserve">Lương + KPI + hoa hồng</t>
  </si>
  <si>
    <t xml:space="preserve">Content / Brand / Sales Enablement</t>
  </si>
  <si>
    <t xml:space="preserve">Kho sẵn + creative mới</t>
  </si>
  <si>
    <t xml:space="preserve">Nhân sự Marketing (5 người × 6T)</t>
  </si>
  <si>
    <t xml:space="preserve">5 người × 6 tháng × 15 triệu</t>
  </si>
  <si>
    <t xml:space="preserve">Học bổng / Promotion</t>
  </si>
  <si>
    <t xml:space="preserve">Kích hoạt quyết định</t>
  </si>
  <si>
    <t xml:space="preserve">Paid Media</t>
  </si>
  <si>
    <t xml:space="preserve">65.4% tổng NS</t>
  </si>
  <si>
    <t xml:space="preserve">Training / QA / Data / Mystery call</t>
  </si>
  <si>
    <t xml:space="preserve">100+100+200+150 triệu</t>
  </si>
  <si>
    <t xml:space="preserve">KIỂM TRA</t>
  </si>
  <si>
    <t xml:space="preserve">Chênh lệch</t>
  </si>
  <si>
    <t xml:space="preserve">CHI TIẾT BỔ SUNG</t>
  </si>
  <si>
    <t xml:space="preserve">Số cơ sở</t>
  </si>
  <si>
    <t xml:space="preserve">cơ sở</t>
  </si>
  <si>
    <t xml:space="preserve">Bỏ Phú Nhuận, còn 6 cơ sở hoạt động</t>
  </si>
  <si>
    <t xml:space="preserve">Số cấp học</t>
  </si>
  <si>
    <t xml:space="preserve">cấp</t>
  </si>
  <si>
    <t xml:space="preserve">MN, TH, THCS, THPT</t>
  </si>
  <si>
    <t xml:space="preserve">Số LP cần tạo</t>
  </si>
  <si>
    <t xml:space="preserve">trang</t>
  </si>
  <si>
    <t xml:space="preserve">1 LP/campus + 1 webinar + 1 tỉnh MN + 1 tỉnh TH</t>
  </si>
  <si>
    <t xml:space="preserve">Số pipeline GHL</t>
  </si>
  <si>
    <t xml:space="preserve">pipeline</t>
  </si>
  <si>
    <t xml:space="preserve">Thời gian chiến dịch</t>
  </si>
  <si>
    <t xml:space="preserve">tháng</t>
  </si>
  <si>
    <t xml:space="preserve">26/03 - 30/09/2026</t>
  </si>
  <si>
    <t xml:space="preserve">Số tuần tác chiến</t>
  </si>
  <si>
    <t xml:space="preserve">tuần</t>
  </si>
  <si>
    <t xml:space="preserve">Tuần 1 (26/03) → Tuần 28 (30/09)</t>
  </si>
  <si>
    <t xml:space="preserve">Số nhân sự Marketing</t>
  </si>
  <si>
    <t xml:space="preserve">người</t>
  </si>
  <si>
    <t xml:space="preserve">PM×1, Content×2, Performance×1, CRM×1</t>
  </si>
  <si>
    <t xml:space="preserve">Số nhân sự Sales</t>
  </si>
  <si>
    <t xml:space="preserve">1 Sales Lead + 5 Tư vấn viên (round-robin)</t>
  </si>
  <si>
    <t xml:space="preserve">Kho content sẵn có</t>
  </si>
  <si>
    <t xml:space="preserve">bài</t>
  </si>
  <si>
    <t xml:space="preserve">Ảnh+video+bài viết kho cũ</t>
  </si>
  <si>
    <t xml:space="preserve">Video testimonial</t>
  </si>
  <si>
    <t xml:space="preserve">video</t>
  </si>
  <si>
    <t xml:space="preserve">Kho 100 video PH+HS+GV sẵn sàng</t>
  </si>
  <si>
    <t xml:space="preserve">Webinar planned</t>
  </si>
  <si>
    <t xml:space="preserve">buổi</t>
  </si>
  <si>
    <t xml:space="preserve">6 chính + 2 bổ sung</t>
  </si>
  <si>
    <t xml:space="preserve">Open Day planned</t>
  </si>
  <si>
    <t xml:space="preserve">sự kiện</t>
  </si>
  <si>
    <t xml:space="preserve">Tháng 5 + Tháng 6</t>
  </si>
  <si>
    <t xml:space="preserve">Lead response SLA</t>
  </si>
  <si>
    <t xml:space="preserve">phút</t>
  </si>
  <si>
    <t xml:space="preserve">Gọi lại trong 5 phút, mục tiêu 85%</t>
  </si>
  <si>
    <t xml:space="preserve">Benchmark NC→Lead</t>
  </si>
  <si>
    <t xml:space="preserve">18-25%</t>
  </si>
  <si>
    <t xml:space="preserve">K12 VN trung bình</t>
  </si>
  <si>
    <t xml:space="preserve">Benchmark Lead→Tour</t>
  </si>
  <si>
    <t xml:space="preserve">25-35%</t>
  </si>
  <si>
    <t xml:space="preserve">Cần SLA tốt + GHL automation</t>
  </si>
  <si>
    <t xml:space="preserve">Benchmark Tour→Enroll</t>
  </si>
  <si>
    <t xml:space="preserve">30-40%</t>
  </si>
  <si>
    <t xml:space="preserve">Phụ thuộc tour quality + follow-up</t>
  </si>
  <si>
    <t xml:space="preserve">DANH SÁCH CƠ SỞ (ĐỊA GIỚI MỚI + CŨ)</t>
  </si>
  <si>
    <t xml:space="preserve">Tên cơ sở</t>
  </si>
  <si>
    <t xml:space="preserve">Địa chỉ</t>
  </si>
  <si>
    <t xml:space="preserve">Khu vực mới</t>
  </si>
  <si>
    <t xml:space="preserve">Khu vực cũ (trước sáp nhập)</t>
  </si>
  <si>
    <t xml:space="preserve">Hotline</t>
  </si>
  <si>
    <t xml:space="preserve">573 Đ. Lê Đức Thọ, P. An Hội Tây</t>
  </si>
  <si>
    <t xml:space="preserve">Q. Gò Vấp, TP.HCM (không đổi)</t>
  </si>
  <si>
    <t xml:space="preserve">0916 961 409</t>
  </si>
  <si>
    <t xml:space="preserve">22 Đường D2, KDC Cần Giuộc</t>
  </si>
  <si>
    <t xml:space="preserve">TX. Cần Giuộc, tỉnh Tây Ninh</t>
  </si>
  <si>
    <t xml:space="preserve">H. Cần Giuộc, tỉnh Long An</t>
  </si>
  <si>
    <t xml:space="preserve">MN+TH Thái Sơn</t>
  </si>
  <si>
    <t xml:space="preserve">KDC Thái Sơn, Cần Giuộc</t>
  </si>
  <si>
    <t xml:space="preserve">MN+TH Mekong Xanh</t>
  </si>
  <si>
    <t xml:space="preserve">Lô E7, KĐT Tây Bắc, TP. Rạch Giá</t>
  </si>
  <si>
    <t xml:space="preserve">TP. Rạch Giá, tỉnh An Giang</t>
  </si>
  <si>
    <t xml:space="preserve">TP. Rạch Giá, tỉnh Kiên Giang</t>
  </si>
  <si>
    <t xml:space="preserve">160/72 Phan Huy Ích</t>
  </si>
  <si>
    <t xml:space="preserve">Số 7 đường 38A, Tân Tạo</t>
  </si>
  <si>
    <t xml:space="preserve">Q. Bình Tân, TP.HCM (không đổi)</t>
  </si>
  <si>
    <t xml:space="preserve">091 696 1409</t>
  </si>
  <si>
    <t xml:space="preserve">MIX KÊNH PAID MEDIA – 8.5 TỶ (TÁCH SEARCH/DISPLAY, KHÔNG CÓ PHÚ NHUẬN)</t>
  </si>
  <si>
    <t xml:space="preserve">CPL mục tiêu</t>
  </si>
  <si>
    <t xml:space="preserve">Quản lý bởi</t>
  </si>
  <si>
    <t xml:space="preserve">CPL, Volume</t>
  </si>
  <si>
    <t xml:space="preserve">Google Search (TÁCH RIÊNG)</t>
  </si>
  <si>
    <t xml:space="preserve">CPC, Quality</t>
  </si>
  <si>
    <t xml:space="preserve">Đo riêng THCS/THPT</t>
  </si>
  <si>
    <t xml:space="preserve">CPM, View</t>
  </si>
  <si>
    <t xml:space="preserve">Testimonial 15-30s</t>
  </si>
  <si>
    <t xml:space="preserve">CPV, Lead</t>
  </si>
  <si>
    <t xml:space="preserve">100 video = vàng</t>
  </si>
  <si>
    <t xml:space="preserve">Open, CTR</t>
  </si>
  <si>
    <t xml:space="preserve">GoHighLevel</t>
  </si>
  <si>
    <t xml:space="preserve">Hidden champion K12</t>
  </si>
  <si>
    <t xml:space="preserve">Webinar Ads (THCS/THPT)</t>
  </si>
  <si>
    <t xml:space="preserve">Đăng ký</t>
  </si>
  <si>
    <t xml:space="preserve">KHÔNG cho MN/TH</t>
  </si>
  <si>
    <t xml:space="preserve">ROAS, Conv</t>
  </si>
  <si>
    <t xml:space="preserve">Giảm 15%→12%</t>
  </si>
  <si>
    <t xml:space="preserve">Local SEO / Google Business</t>
  </si>
  <si>
    <t xml:space="preserve">Map, Clicks</t>
  </si>
  <si>
    <t xml:space="preserve">NGÂN SÁCH PAID MEDIA THEO THÁNG</t>
  </si>
  <si>
    <t xml:space="preserve">T4 (12%)</t>
  </si>
  <si>
    <t xml:space="preserve">T5 (24%)</t>
  </si>
  <si>
    <t xml:space="preserve">T6 (28%)</t>
  </si>
  <si>
    <t xml:space="preserve">T7 (24%)</t>
  </si>
  <si>
    <t xml:space="preserve">T8 (8%)</t>
  </si>
  <si>
    <t xml:space="preserve">T9 (2%)</t>
  </si>
  <si>
    <t xml:space="preserve">Tổng 7 tháng</t>
  </si>
  <si>
    <t xml:space="preserve">Meta / FB+IG</t>
  </si>
  <si>
    <t xml:space="preserve">CHI TIẾT VAI TRÒ TỪNG KÊNH</t>
  </si>
  <si>
    <t xml:space="preserve">Vai trò trong funnel</t>
  </si>
  <si>
    <t xml:space="preserve">Giai đoạn KH</t>
  </si>
  <si>
    <t xml:space="preserve">Resource cần</t>
  </si>
  <si>
    <t xml:space="preserve">Daily operations</t>
  </si>
  <si>
    <t xml:space="preserve">Weekly optimization</t>
  </si>
  <si>
    <t xml:space="preserve">Tool chính</t>
  </si>
  <si>
    <t xml:space="preserve">Demand generation + Lead local + Social proof</t>
  </si>
  <si>
    <t xml:space="preserve">Awareness → Consideration</t>
  </si>
  <si>
    <t xml:space="preserve">30+ creative (image+video), 12 audiences</t>
  </si>
  <si>
    <t xml:space="preserve">Check CPL, scale/pause, creative refresh</t>
  </si>
  <si>
    <t xml:space="preserve">A/B test creative, audience expansion, budget realloc</t>
  </si>
  <si>
    <t xml:space="preserve">Meta Ads Manager + Birch</t>
  </si>
  <si>
    <t xml:space="preserve">Intent-based capture + Brand defense</t>
  </si>
  <si>
    <t xml:space="preserve">Consideration → Decision</t>
  </si>
  <si>
    <t xml:space="preserve">20 campaigns, 200+ keywords, 15 RSA</t>
  </si>
  <si>
    <t xml:space="preserve">Search terms review, bid adjust, QS check</t>
  </si>
  <si>
    <t xml:space="preserve">Negative KW update, RSA test, campaign restructure</t>
  </si>
  <si>
    <t xml:space="preserve">Google Ads + Birch</t>
  </si>
  <si>
    <t xml:space="preserve">Awareness phủ + Video retarget</t>
  </si>
  <si>
    <t xml:space="preserve">Awareness + Remarketing</t>
  </si>
  <si>
    <t xml:space="preserve">5 display banners, 3 video 15-30s</t>
  </si>
  <si>
    <t xml:space="preserve">Check CPM, placement exclusion</t>
  </si>
  <si>
    <t xml:space="preserve">Placement review, video performance</t>
  </si>
  <si>
    <t xml:space="preserve">Video social proof + Gen Z/Millennial reach</t>
  </si>
  <si>
    <t xml:space="preserve">Awareness → Lead</t>
  </si>
  <si>
    <t xml:space="preserve">100 video kho sẵn, 5 new/tháng</t>
  </si>
  <si>
    <t xml:space="preserve">Check CPV, engagement, 3s retention</t>
  </si>
  <si>
    <t xml:space="preserve">Video performance ranking, upload new</t>
  </si>
  <si>
    <t xml:space="preserve">TikTok Ads + Birch</t>
  </si>
  <si>
    <t xml:space="preserve">Local nurture + Broadcast + Remarketing</t>
  </si>
  <si>
    <t xml:space="preserve">8 broadcast templates, 4 ad creatives</t>
  </si>
  <si>
    <t xml:space="preserve">Check OA messages, broadcast schedule</t>
  </si>
  <si>
    <t xml:space="preserve">Segment refresh, broadcast content planning</t>
  </si>
  <si>
    <t xml:space="preserve">Zalo Ads + GHL</t>
  </si>
  <si>
    <t xml:space="preserve">Education + Trust building + Conversion</t>
  </si>
  <si>
    <t xml:space="preserve">LP webinar, email sequence, Zoom setup</t>
  </si>
  <si>
    <t xml:space="preserve">Monitor registrations, reminder blast</t>
  </si>
  <si>
    <t xml:space="preserve">Post-webinar analysis, follow-up sequence</t>
  </si>
  <si>
    <t xml:space="preserve">Meta + Google + GHL</t>
  </si>
  <si>
    <t xml:space="preserve">Re-engage warm/hot leads across platforms</t>
  </si>
  <si>
    <t xml:space="preserve">Decision → Conversion</t>
  </si>
  <si>
    <t xml:space="preserve">Dynamic creative, countdown, offers</t>
  </si>
  <si>
    <t xml:space="preserve">Check frequency, exclude converted</t>
  </si>
  <si>
    <t xml:space="preserve">Audience refresh, creative rotation</t>
  </si>
  <si>
    <t xml:space="preserve">All platforms + Birch</t>
  </si>
  <si>
    <t xml:space="preserve">Local presence + Map visibility + Reviews</t>
  </si>
  <si>
    <t xml:space="preserve">Awareness (local)</t>
  </si>
  <si>
    <t xml:space="preserve">Ảnh, posts, review management</t>
  </si>
  <si>
    <t xml:space="preserve">Reply reviews, check listing accuracy</t>
  </si>
  <si>
    <t xml:space="preserve">Post 1 bài/tuần, update photos</t>
  </si>
  <si>
    <t xml:space="preserve">Google Business + Manual</t>
  </si>
  <si>
    <t xml:space="preserve">PHÂN BỔ – BỎ PHÚ NHUẬN – 11 DÒNG CƠ SỞ (Cần Giuộc→Tây Ninh, Rạch Giá→An Giang)</t>
  </si>
  <si>
    <t xml:space="preserve">Địa chỉ / Tỉnh</t>
  </si>
  <si>
    <t xml:space="preserve">Điểm</t>
  </si>
  <si>
    <t xml:space="preserve">Tổng NS</t>
  </si>
  <si>
    <t xml:space="preserve">Paid</t>
  </si>
  <si>
    <t xml:space="preserve">Tour</t>
  </si>
  <si>
    <t xml:space="preserve">Meta</t>
  </si>
  <si>
    <t xml:space="preserve">G.Search</t>
  </si>
  <si>
    <t xml:space="preserve">G.Display</t>
  </si>
  <si>
    <t xml:space="preserve">Zalo</t>
  </si>
  <si>
    <t xml:space="preserve">Webinar</t>
  </si>
  <si>
    <t xml:space="preserve">Remarket</t>
  </si>
  <si>
    <t xml:space="preserve">Local SEO</t>
  </si>
  <si>
    <t xml:space="preserve">573 Lê Đức Thọ, Gò Vấp, TP.HCM</t>
  </si>
  <si>
    <t xml:space="preserve">22 D2, KDC Cần Giuộc, Tây Ninh</t>
  </si>
  <si>
    <t xml:space="preserve">KDC Thái Sơn, Cần Giuộc, Tây Ninh</t>
  </si>
  <si>
    <t xml:space="preserve">Lô E7, KĐT Tây Bắc, Rạch Giá, An Giang</t>
  </si>
  <si>
    <t xml:space="preserve">160/72 Phan Huy Ích, Gò Vấp, TP.HCM</t>
  </si>
  <si>
    <t xml:space="preserve">Số 7 đường 38A, Tân Tạo, Bình Tân, TP.HCM</t>
  </si>
  <si>
    <t xml:space="preserve">Liên cấp</t>
  </si>
  <si>
    <t xml:space="preserve">Retarget + brand awareness chung</t>
  </si>
  <si>
    <t xml:space="preserve">PHỄU TUYỂN SINH 2026 — CHI TIẾT TỪNG CHIẾN DỊCH, ĐỊA ĐIỂM, CHƯƠNG TRÌNH</t>
  </si>
  <si>
    <t xml:space="preserve">A. KIẾN TRÚC TỔNG THỂ — 24 PHỄU TUYỂN SINH</t>
  </si>
  <si>
    <t xml:space="preserve">Mỗi phễu gồm 4-6 trang (pages), mỗi trang có URL riêng, tracking riêng, và remarketing audience riêng.</t>
  </si>
  <si>
    <t xml:space="preserve">Tất cả landing pages được xây trên GoHighLevel (GHL), domain: forms.truongvietanh.com</t>
  </si>
  <si>
    <t xml:space="preserve">Tên Phễu (Funnel Name)</t>
  </si>
  <si>
    <t xml:space="preserve">Mã phễu</t>
  </si>
  <si>
    <t xml:space="preserve">Số trang</t>
  </si>
  <si>
    <t xml:space="preserve">URL gốc</t>
  </si>
  <si>
    <t xml:space="preserve">Traffic sources</t>
  </si>
  <si>
    <t xml:space="preserve">Target leads/tháng</t>
  </si>
  <si>
    <t xml:space="preserve">Remarketing audience</t>
  </si>
  <si>
    <t xml:space="preserve">Tuyển Sinh Mầm Non — Tổng</t>
  </si>
  <si>
    <t xml:space="preserve">FNL-MN-MAIN</t>
  </si>
  <si>
    <t xml:space="preserve">Mầm non</t>
  </si>
  <si>
    <t xml:space="preserve">forms.truongvietanh.com/tuyen-sinh-mam-non</t>
  </si>
  <si>
    <t xml:space="preserve">Lead → Tour → Enroll</t>
  </si>
  <si>
    <t xml:space="preserve">Meta Ads, Zalo Ads, Google</t>
  </si>
  <si>
    <t xml:space="preserve">mn_visitors, mn_form_start, mn_form_complete</t>
  </si>
  <si>
    <t xml:space="preserve">⬜ Cần tạo</t>
  </si>
  <si>
    <t xml:space="preserve">Tuyển Sinh Tiểu Học — Tổng</t>
  </si>
  <si>
    <t xml:space="preserve">FNL-TH-MAIN</t>
  </si>
  <si>
    <t xml:space="preserve">Tiểu học</t>
  </si>
  <si>
    <t xml:space="preserve">forms.truongvietanh.com/tuyen-sinh-tieu-hoc</t>
  </si>
  <si>
    <t xml:space="preserve">Meta Ads, Google, Zalo</t>
  </si>
  <si>
    <t xml:space="preserve">th_visitors, th_form_start, th_form_complete</t>
  </si>
  <si>
    <t xml:space="preserve">Tuyển Sinh THCS — Tổng</t>
  </si>
  <si>
    <t xml:space="preserve">FNL-THCS-MAIN</t>
  </si>
  <si>
    <t xml:space="preserve">VA Gò Vấp</t>
  </si>
  <si>
    <t xml:space="preserve">forms.truongvietanh.com/tuyen-sinh-thcs</t>
  </si>
  <si>
    <t xml:space="preserve">Meta Ads, Google, TikTok</t>
  </si>
  <si>
    <t xml:space="preserve">thcs_visitors, thcs_form_start</t>
  </si>
  <si>
    <t xml:space="preserve">Tuyển Sinh THPT — Tổng</t>
  </si>
  <si>
    <t xml:space="preserve">FNL-THPT-MAIN</t>
  </si>
  <si>
    <t xml:space="preserve">forms.truongvietanh.com/tuyen-sinh-thpt</t>
  </si>
  <si>
    <t xml:space="preserve">thpt_visitors, thpt_form_start</t>
  </si>
  <si>
    <t xml:space="preserve">MN VA Gò Vấp — Campus Funnel</t>
  </si>
  <si>
    <t xml:space="preserve">FNL-MN-GV</t>
  </si>
  <si>
    <t xml:space="preserve">forms.truongvietanh.com/mn-go-vap</t>
  </si>
  <si>
    <t xml:space="preserve">Lead → Tour cơ sở</t>
  </si>
  <si>
    <t xml:space="preserve">Meta (geo GV), Zalo</t>
  </si>
  <si>
    <t xml:space="preserve">mn_gv_visitors</t>
  </si>
  <si>
    <t xml:space="preserve">MN Nhân Lễ — Campus Funnel</t>
  </si>
  <si>
    <t xml:space="preserve">FNL-MN-NL</t>
  </si>
  <si>
    <t xml:space="preserve">forms.truongvietanh.com/mn-nhan-le</t>
  </si>
  <si>
    <t xml:space="preserve">Meta (geo NL), Zalo</t>
  </si>
  <si>
    <t xml:space="preserve">mn_nl_visitors</t>
  </si>
  <si>
    <t xml:space="preserve">MN+TH Thái Sơn — Campus Funnel</t>
  </si>
  <si>
    <t xml:space="preserve">FNL-TS</t>
  </si>
  <si>
    <t xml:space="preserve">Thái Sơn</t>
  </si>
  <si>
    <t xml:space="preserve">forms.truongvietanh.com/thai-son</t>
  </si>
  <si>
    <t xml:space="preserve">Meta (geo TS), Zalo</t>
  </si>
  <si>
    <t xml:space="preserve">ts_visitors</t>
  </si>
  <si>
    <t xml:space="preserve">MN+TH Mekong Xanh — Campus Funnel</t>
  </si>
  <si>
    <t xml:space="preserve">FNL-MK</t>
  </si>
  <si>
    <t xml:space="preserve">Mekong Xanh</t>
  </si>
  <si>
    <t xml:space="preserve">forms.truongvietanh.com/mekong-xanh</t>
  </si>
  <si>
    <t xml:space="preserve">Meta (geo MK), Zalo</t>
  </si>
  <si>
    <t xml:space="preserve">mk_visitors</t>
  </si>
  <si>
    <t xml:space="preserve">TH VA Gò Vấp — Campus Funnel</t>
  </si>
  <si>
    <t xml:space="preserve">FNL-TH-GV</t>
  </si>
  <si>
    <t xml:space="preserve">forms.truongvietanh.com/th-go-vap</t>
  </si>
  <si>
    <t xml:space="preserve">Meta (geo GV), Google</t>
  </si>
  <si>
    <t xml:space="preserve">th_gv_visitors</t>
  </si>
  <si>
    <t xml:space="preserve">TH VA Bình Tân — Campus Funnel</t>
  </si>
  <si>
    <t xml:space="preserve">FNL-TH-BT</t>
  </si>
  <si>
    <t xml:space="preserve">forms.truongvietanh.com/th-binh-tan</t>
  </si>
  <si>
    <t xml:space="preserve">Meta (geo BT), Zalo</t>
  </si>
  <si>
    <t xml:space="preserve">th_bt_visitors</t>
  </si>
  <si>
    <t xml:space="preserve">Open Day T4 — Event Funnel</t>
  </si>
  <si>
    <t xml:space="preserve">FNL-OD-T4</t>
  </si>
  <si>
    <t xml:space="preserve">GV + GV</t>
  </si>
  <si>
    <t xml:space="preserve">forms.truongvietanh.com/open-day-thang-4</t>
  </si>
  <si>
    <t xml:space="preserve">Register → Attend</t>
  </si>
  <si>
    <t xml:space="preserve">All channels</t>
  </si>
  <si>
    <t xml:space="preserve">100 đăng ký</t>
  </si>
  <si>
    <t xml:space="preserve">od_t4_visitors, od_t4_registered</t>
  </si>
  <si>
    <t xml:space="preserve">Open Day T5 — Event Funnel</t>
  </si>
  <si>
    <t xml:space="preserve">FNL-OD-T5</t>
  </si>
  <si>
    <t xml:space="preserve">4 cơ sở</t>
  </si>
  <si>
    <t xml:space="preserve">forms.truongvietanh.com/open-day-thang-5</t>
  </si>
  <si>
    <t xml:space="preserve">200 đăng ký</t>
  </si>
  <si>
    <t xml:space="preserve">od_t5_visitors, od_t5_registered</t>
  </si>
  <si>
    <t xml:space="preserve">Mega Open Day T6 — Event Funnel</t>
  </si>
  <si>
    <t xml:space="preserve">FNL-OD-T6</t>
  </si>
  <si>
    <t xml:space="preserve">6 cơ sở</t>
  </si>
  <si>
    <t xml:space="preserve">forms.truongvietanh.com/mega-open-day-2026</t>
  </si>
  <si>
    <t xml:space="preserve">All channels + Influencer</t>
  </si>
  <si>
    <t xml:space="preserve">500 đăng ký</t>
  </si>
  <si>
    <t xml:space="preserve">od_t6_visitors, od_t6_registered</t>
  </si>
  <si>
    <t xml:space="preserve">Open Day T8 — Final Event</t>
  </si>
  <si>
    <t xml:space="preserve">FNL-OD-T8</t>
  </si>
  <si>
    <t xml:space="preserve">forms.truongvietanh.com/open-day-cuoi-cung</t>
  </si>
  <si>
    <t xml:space="preserve">od_t8_visitors</t>
  </si>
  <si>
    <t xml:space="preserve">Webinar Mầm Non</t>
  </si>
  <si>
    <t xml:space="preserve">FNL-WB-MN</t>
  </si>
  <si>
    <t xml:space="preserve">forms.truongvietanh.com/webinar-mam-non</t>
  </si>
  <si>
    <t xml:space="preserve">Register → Attend → Lead</t>
  </si>
  <si>
    <t xml:space="preserve">Meta, Zalo, Email</t>
  </si>
  <si>
    <t xml:space="preserve">150 đăng ký</t>
  </si>
  <si>
    <t xml:space="preserve">wb_mn_visitors, wb_mn_reg</t>
  </si>
  <si>
    <t xml:space="preserve">Webinar Tiểu Học</t>
  </si>
  <si>
    <t xml:space="preserve">FNL-WB-TH</t>
  </si>
  <si>
    <t xml:space="preserve">forms.truongvietanh.com/webinar-tieu-hoc</t>
  </si>
  <si>
    <t xml:space="preserve">Meta, Google, Email</t>
  </si>
  <si>
    <t xml:space="preserve">120 đăng ký</t>
  </si>
  <si>
    <t xml:space="preserve">wb_th_visitors, wb_th_reg</t>
  </si>
  <si>
    <t xml:space="preserve">Webinar THCS+THPT</t>
  </si>
  <si>
    <t xml:space="preserve">FNL-WB-TH2</t>
  </si>
  <si>
    <t xml:space="preserve">THCS+THPT</t>
  </si>
  <si>
    <t xml:space="preserve">forms.truongvietanh.com/webinar-cap-2-3</t>
  </si>
  <si>
    <t xml:space="preserve">Meta, TikTok, Email</t>
  </si>
  <si>
    <t xml:space="preserve">wb_th2_visitors, wb_th2_reg</t>
  </si>
  <si>
    <t xml:space="preserve">Học Bổng 2026</t>
  </si>
  <si>
    <t xml:space="preserve">FNL-HB</t>
  </si>
  <si>
    <t xml:space="preserve">forms.truongvietanh.com/hoc-bong-2026</t>
  </si>
  <si>
    <t xml:space="preserve">Apply → Review → Award</t>
  </si>
  <si>
    <t xml:space="preserve">300 đơn</t>
  </si>
  <si>
    <t xml:space="preserve">hb_visitors, hb_applied</t>
  </si>
  <si>
    <t xml:space="preserve">Referral Program</t>
  </si>
  <si>
    <t xml:space="preserve">FNL-REF</t>
  </si>
  <si>
    <t xml:space="preserve">forms.truongvietanh.com/gioi-thieu-ban</t>
  </si>
  <si>
    <t xml:space="preserve">Refer → Enroll → Reward</t>
  </si>
  <si>
    <t xml:space="preserve">Email, Zalo, SMS</t>
  </si>
  <si>
    <t xml:space="preserve">200 referrals</t>
  </si>
  <si>
    <t xml:space="preserve">ref_visitors</t>
  </si>
  <si>
    <t xml:space="preserve">Hè Sôi Động T6 — Campaign</t>
  </si>
  <si>
    <t xml:space="preserve">FNL-HSD</t>
  </si>
  <si>
    <t xml:space="preserve">forms.truongvietanh.com/he-soi-dong-2026</t>
  </si>
  <si>
    <t xml:space="preserve">Engage → Lead → Tour</t>
  </si>
  <si>
    <t xml:space="preserve">TikTok, Meta, IG</t>
  </si>
  <si>
    <t xml:space="preserve">200 leads</t>
  </si>
  <si>
    <t xml:space="preserve">hsd_visitors, hsd_engaged</t>
  </si>
  <si>
    <t xml:space="preserve">Chuẩn Bị Vào Lớp 1 — Content</t>
  </si>
  <si>
    <t xml:space="preserve">FNL-L1</t>
  </si>
  <si>
    <t xml:space="preserve">forms.truongvietanh.com/chuan-bi-vao-lop-1</t>
  </si>
  <si>
    <t xml:space="preserve">Download guide → Lead → Tour</t>
  </si>
  <si>
    <t xml:space="preserve">Google SEO, Meta</t>
  </si>
  <si>
    <t xml:space="preserve">100 downloads</t>
  </si>
  <si>
    <t xml:space="preserve">l1_visitors, l1_downloaded</t>
  </si>
  <si>
    <t xml:space="preserve">Ưu Đãi Cuối Mùa T8 — Urgency</t>
  </si>
  <si>
    <t xml:space="preserve">FNL-UD</t>
  </si>
  <si>
    <t xml:space="preserve">forms.truongvietanh.com/uu-dai-cuoi-mua</t>
  </si>
  <si>
    <t xml:space="preserve">Urgency → Enroll NOW</t>
  </si>
  <si>
    <t xml:space="preserve">Email, Zalo, Retargeting</t>
  </si>
  <si>
    <t xml:space="preserve">150 leads</t>
  </si>
  <si>
    <t xml:space="preserve">ud_visitors</t>
  </si>
  <si>
    <t xml:space="preserve">Tour Trường Online — Virtual</t>
  </si>
  <si>
    <t xml:space="preserve">FNL-TOUR</t>
  </si>
  <si>
    <t xml:space="preserve">forms.truongvietanh.com/tour-truong-online</t>
  </si>
  <si>
    <t xml:space="preserve">Watch → Book tour thật</t>
  </si>
  <si>
    <t xml:space="preserve">YouTube Ads, Meta</t>
  </si>
  <si>
    <t xml:space="preserve">200 views</t>
  </si>
  <si>
    <t xml:space="preserve">tour_vr_visitors</t>
  </si>
  <si>
    <t xml:space="preserve">Khai Giảng 2026 — Welcome</t>
  </si>
  <si>
    <t xml:space="preserve">FNL-KG</t>
  </si>
  <si>
    <t xml:space="preserve">forms.truongvietanh.com/khai-giang-2026</t>
  </si>
  <si>
    <t xml:space="preserve">Info → Confirm → Welcome</t>
  </si>
  <si>
    <t xml:space="preserve">All enrolled</t>
  </si>
  <si>
    <t xml:space="preserve">kg_visitors</t>
  </si>
  <si>
    <t xml:space="preserve">B. CHI TIẾT TỪNG TRANG — PHỄU "TUYỂN SINH MẦM NON" (FNL-MN-MAIN)</t>
  </si>
  <si>
    <t xml:space="preserve">Đây là mẫu chi tiết cho 1 phễu. Các phễu khác có cấu trúc tương tự, customize theo cấp học/cơ sở.</t>
  </si>
  <si>
    <t xml:space="preserve">Trang</t>
  </si>
  <si>
    <t xml:space="preserve">URL đầy đủ</t>
  </si>
  <si>
    <t xml:space="preserve">Tên trang (Page Title)</t>
  </si>
  <si>
    <t xml:space="preserve">Mục đích</t>
  </si>
  <si>
    <t xml:space="preserve">Nội dung chính trên trang</t>
  </si>
  <si>
    <t xml:space="preserve">Form fields</t>
  </si>
  <si>
    <t xml:space="preserve">CTA Button</t>
  </si>
  <si>
    <t xml:space="preserve">Pixel Events fired</t>
  </si>
  <si>
    <t xml:space="preserve">Remarketing Audience tạo</t>
  </si>
  <si>
    <t xml:space="preserve">Next step nếu submit</t>
  </si>
  <si>
    <t xml:space="preserve">Next step nếu KHÔNG submit</t>
  </si>
  <si>
    <t xml:space="preserve">A/B Test variants</t>
  </si>
  <si>
    <t xml:space="preserve">Trang 1: Landing Page chính</t>
  </si>
  <si>
    <t xml:space="preserve">https://forms.truongvietanh.com/tuyen-sinh-mam-non</t>
  </si>
  <si>
    <t xml:space="preserve">Tuyển Sinh Mầm Non 2026 — Trường Việt Anh | Nơi Con Yêu Lớn Khôn</t>
  </si>
  <si>
    <t xml:space="preserve">Thu hút → Giữ chân → Điền form</t>
  </si>
  <si>
    <t xml:space="preserve">Hero banner (hình HS mầm non vui vẻ) + Headline "Cho Con Khởi Đầu Tốt Nhất"
→ 3 USP icons (An toàn, Chương trình quốc tế, Giáo viên tận tâm)
→ Video tour trường 60s (autoplay muted)
→ 6 cơ sở trên bản đồ (click → campus page)
→ Chương trình học: Montessori, STEM, Song ngữ
→ 3 Testimonials PH (video + quote)
→ FAQ accordion (5 câu hỏi phổ biến)
→ CTA form cuối trang</t>
  </si>
  <si>
    <t xml:space="preserve">Họ tên PH*, SĐT*, Email, Tên bé, Năm sinh bé, Cơ sở quan tâm (dropdown 6), Nguồn biết (hidden UTM)</t>
  </si>
  <si>
    <t xml:space="preserve">ĐĂNG KÝ TƯ VẤN MIỄN PHÍ →</t>
  </si>
  <si>
    <t xml:space="preserve">PageView, ViewContent, InitiateCheckout (scroll 70%), Lead (form submit)</t>
  </si>
  <si>
    <t xml:space="preserve">mn_page_visitors (PageView)
mn_page_engaged (ViewContent, &gt;30s)
mn_form_started (InitiateCheckout)
mn_form_complete (Lead)</t>
  </si>
  <si>
    <t xml:space="preserve">→ Trang 2: Thank You + Booking Tour</t>
  </si>
  <si>
    <t xml:space="preserve">→ Retarget sau 1 ngày: Ad "Bạn đã xem chương trình MN — Đặt lịch tham quan ngay"
→ KHÔNG quay lại trang 1, đưa sang Trang 3 (Testimonial)</t>
  </si>
  <si>
    <t xml:space="preserve">Variant A: Hero = Video
Variant B: Hero = Carousel hình
Test 2 tuần, 50/50 traffic</t>
  </si>
  <si>
    <t xml:space="preserve">Mobile-first, load &lt;3s, Lazy load images</t>
  </si>
  <si>
    <t xml:space="preserve">Trang 2: Thank You + Book Tour</t>
  </si>
  <si>
    <t xml:space="preserve">https://forms.truongvietanh.com/tuyen-sinh-mam-non/cam-on</t>
  </si>
  <si>
    <t xml:space="preserve">Cảm Ơn Bạn! Đặt Lịch Tham Quan Trường Ngay</t>
  </si>
  <si>
    <t xml:space="preserve">Confirm lead + Book tour ngay</t>
  </si>
  <si>
    <t xml:space="preserve">Heading: "Cảm ơn [Tên PH]! Chúng tôi sẽ liên hệ trong 30 phút"
→ GHL Calendar embed: chọn cơ sở → chọn ngày/giờ tour
→ Checklist "Khi đến tham quan, bạn sẽ được:"
→ Video "Một buổi tham quan tại Việt Anh" 2 phút
→ Social proof: "200+ PH đã đăng ký tham quan tháng này"
→ Share buttons: FB, Zalo</t>
  </si>
  <si>
    <t xml:space="preserve">Cơ sở (pre-filled), Ngày tour, Giờ tour, Số người đi cùng</t>
  </si>
  <si>
    <t xml:space="preserve">ĐẶT LỊCH THAM QUAN →</t>
  </si>
  <si>
    <t xml:space="preserve">Purchase (=Tour booked), Schedule</t>
  </si>
  <si>
    <t xml:space="preserve">mn_tour_booked (Purchase)</t>
  </si>
  <si>
    <t xml:space="preserve">→ Trang 2b: Tour Confirmation + Add to Calendar</t>
  </si>
  <si>
    <t xml:space="preserve">→ Nếu không book: GHL workflow Day+1 Email nhắc, Day+3 SMS, Day+5 Zalo</t>
  </si>
  <si>
    <t xml:space="preserve">Variant A: Calendar trước
Variant B: Video trước rồi Calendar</t>
  </si>
  <si>
    <t xml:space="preserve">Pre-fill tên PH từ form trước</t>
  </si>
  <si>
    <t xml:space="preserve">Trang 2b: Tour Confirmation</t>
  </si>
  <si>
    <t xml:space="preserve">https://forms.truongvietanh.com/tuyen-sinh-mam-non/xac-nhan-tour</t>
  </si>
  <si>
    <t xml:space="preserve">Xác Nhận Lịch Tham Quan — [Cơ sở] — [Ngày/Giờ]</t>
  </si>
  <si>
    <t xml:space="preserve">Confirm + prepare PH cho tour</t>
  </si>
  <si>
    <t xml:space="preserve">Heading: "Tuyệt vời! Hẹn gặp bạn tại [Cơ sở] vào [Ngày/Giờ]"
→ Bản đồ Google Maps cơ sở
→ Hướng dẫn đường đi + chỗ đậu xe
→ Checklist chuẩn bị: mang theo CMND, bé đi cùng
→ Add to Google Calendar / iCal buttons
→ Zalo OA QR code: "Follow để nhận nhắc nhở"</t>
  </si>
  <si>
    <t xml:space="preserve">Không có form (confirmation only)</t>
  </si>
  <si>
    <t xml:space="preserve">THÊM VÀO LỊCH →</t>
  </si>
  <si>
    <t xml:space="preserve">CompleteRegistration</t>
  </si>
  <si>
    <t xml:space="preserve">mn_tour_confirmed</t>
  </si>
  <si>
    <t xml:space="preserve">→ GHL: -24h SMS reminder, -2h Zalo reminder</t>
  </si>
  <si>
    <t xml:space="preserve">→ Nếu no-show: Day+1 email "Rất tiếc bạn không đến — Đặt lại lịch?"</t>
  </si>
  <si>
    <t xml:space="preserve">Auto-generate từ GHL calendar data</t>
  </si>
  <si>
    <t xml:space="preserve">Trang 3: Testimonial Social Proof</t>
  </si>
  <si>
    <t xml:space="preserve">https://forms.truongvietanh.com/tuyen-sinh-mam-non/phu-huynh-noi-gi</t>
  </si>
  <si>
    <t xml:space="preserve">Phụ Huynh Nói Gì Về Trường Việt Anh? — Mầm Non</t>
  </si>
  <si>
    <t xml:space="preserve">Build trust cho leads đã visit trang 1 nhưng chưa submit form</t>
  </si>
  <si>
    <t xml:space="preserve">Heading: "Hơn 5,000 Phụ Huynh Đã Tin Tưởng Chọn Việt Anh"
→ 10 video testimonials PH (30-60s mỗi video)
→ 20 quote cards với hình PH + con
→ Rating stars: 4.8/5 (500+ đánh giá)
→ Before/After stories: "Bé nhút nhát → Tự tin sau 3 tháng"
→ CTA form: "Bạn cũng muốn con trải nghiệm?"</t>
  </si>
  <si>
    <t xml:space="preserve">Họ tên PH*, SĐT*, Cấp học quan tâm</t>
  </si>
  <si>
    <t xml:space="preserve">ĐĂNG KÝ TRẢI NGHIỆM →</t>
  </si>
  <si>
    <t xml:space="preserve">ViewContent, Lead (form submit)</t>
  </si>
  <si>
    <t xml:space="preserve">mn_testimonial_viewers</t>
  </si>
  <si>
    <t xml:space="preserve">→ Trang 2: Thank You + Book Tour</t>
  </si>
  <si>
    <t xml:space="preserve">→ Retarget: Ad "Xem thêm câu chuyện PH" → Trang 4 (Chương trình)</t>
  </si>
  <si>
    <t xml:space="preserve">Variant A: Video testimonials trước
Variant B: Quote cards trước</t>
  </si>
  <si>
    <t xml:space="preserve">REMARKETING PAGE — chỉ cho người đã visit Trang 1 mà chưa submit</t>
  </si>
  <si>
    <t xml:space="preserve">Trang 4: Chương Trình Học Chi Tiết</t>
  </si>
  <si>
    <t xml:space="preserve">https://forms.truongvietanh.com/tuyen-sinh-mam-non/chuong-trinh</t>
  </si>
  <si>
    <t xml:space="preserve">Chương Trình Mầm Non Quốc Tế — Montessori, STEM, Song Ngữ</t>
  </si>
  <si>
    <t xml:space="preserve">Cung cấp thông tin sâu cho PH đang so sánh trường</t>
  </si>
  <si>
    <t xml:space="preserve">Heading: "Chương Trình Được Thiết Kế Riêng Cho Từng Giai Đoạn Phát Triển"
→ Infographic: Lộ trình 3 năm MN (Nhà trẻ → Mầm → Lá)
→ 5 tab content: Montessori, STEM, Song ngữ, Kỹ năng sống, Thể chất
→ So sánh bảng: Việt Anh vs Trường công vs Trường tư khác
→ Download PDF: "Cẩm Nang Chọn Trường Mầm Non" (lead magnet)
→ CTA: "Đăng ký để nhận tư vấn chương trình phù hợp cho bé"</t>
  </si>
  <si>
    <t xml:space="preserve">Họ tên PH*, SĐT*, Email*, Tên bé, Tuổi bé, Chương trình quan tâm (multi-select)</t>
  </si>
  <si>
    <t xml:space="preserve">TẢI CẨM NANG + TƯ VẤN →</t>
  </si>
  <si>
    <t xml:space="preserve">ViewContent, AddToCart (download PDF), Lead (form)</t>
  </si>
  <si>
    <t xml:space="preserve">mn_program_viewers
mn_pdf_downloaded (AddToCart)</t>
  </si>
  <si>
    <t xml:space="preserve">→ Trang 2: Thank You + Book Tour (nếu form)
→ Email: Gửi PDF + Nurture sequence</t>
  </si>
  <si>
    <t xml:space="preserve">→ Retarget: Ad "So sánh chương trình — Tham quan để cảm nhận" → Trang 5</t>
  </si>
  <si>
    <t xml:space="preserve">Variant A: Tab content
Variant B: Long scroll</t>
  </si>
  <si>
    <t xml:space="preserve">REMARKETING PAGE — cho người đã xem Trang 3 hoặc Trang 1 lần 2+</t>
  </si>
  <si>
    <t xml:space="preserve">Trang 5: Học Phí &amp; Ưu Đãi</t>
  </si>
  <si>
    <t xml:space="preserve">https://forms.truongvietanh.com/tuyen-sinh-mam-non/hoc-phi</t>
  </si>
  <si>
    <t xml:space="preserve">Học Phí Mầm Non 2026 — Ưu Đãi Đặc Biệt Khi Đăng Ký Sớm</t>
  </si>
  <si>
    <t xml:space="preserve">Cuối funnel — quyết định tài chính, push enrollment</t>
  </si>
  <si>
    <t xml:space="preserve">Heading: "Đầu Tư Cho Con — Học Phí Minh Bạch, Ưu Đãi Hấp Dẫn"
→ Bảng học phí theo cơ sở (6 cơ sở)
→ Phí bao gồm: ăn, xe, đồng phục, sách, ngoại khóa
→ Ưu đãi: Giảm 10% nếu đăng ký trước 30/6, Giảm 5% con thứ 2
→ Phương thức thanh toán: trả góp, học kỳ, năm
→ Học bổng: link đến FNL-HB
→ Countdown timer: "Ưu đãi còn [X] ngày"
→ CTA: "Đăng ký ngay để nhận ưu đãi"</t>
  </si>
  <si>
    <t xml:space="preserve">Họ tên PH*, SĐT*, Cơ sở*, Cấp học*, Phương thức TT, Mã giới thiệu (optional)</t>
  </si>
  <si>
    <t xml:space="preserve">ĐĂNG KÝ NHẬN ƯU ĐÃI →</t>
  </si>
  <si>
    <t xml:space="preserve">ViewContent, AddPaymentInfo (view học phí), Lead (form), Purchase (nếu đặt cọc online)</t>
  </si>
  <si>
    <t xml:space="preserve">mn_tuition_viewers
mn_tuition_engaged (&gt;60s)</t>
  </si>
  <si>
    <t xml:space="preserve">→ Trang 2: Thank You + Book Tour
→ GHL: High-priority lead, auto-call trong 15 phút</t>
  </si>
  <si>
    <t xml:space="preserve">→ Retarget: Ad "Chỉ còn [X] ngày ưu đãi — Đăng ký ngay!" (urgency)</t>
  </si>
  <si>
    <t xml:space="preserve">Variant A: Countdown timer
Variant B: Social proof counter</t>
  </si>
  <si>
    <t xml:space="preserve">BOTTOM FUNNEL — người xem trang này = ý định cao, ưu tiên follow up nhanh</t>
  </si>
  <si>
    <t xml:space="preserve">C. REMARKETING SEQUENCES — LOGIC CHUYỂN TRANG PHỄU</t>
  </si>
  <si>
    <t xml:space="preserve">Nguyên tắc vàng: KHÔNG BAO GIỜ cho khách hàng xem lại trang họ đã thấy. Luôn đưa sang trang tiếp theo trong phễu.</t>
  </si>
  <si>
    <t xml:space="preserve">Hành vi khách hàng</t>
  </si>
  <si>
    <t xml:space="preserve">Audience tạo</t>
  </si>
  <si>
    <t xml:space="preserve">Audience loại trừ (Exclude)</t>
  </si>
  <si>
    <t xml:space="preserve">Ads hiển thị</t>
  </si>
  <si>
    <t xml:space="preserve">Landing page đích</t>
  </si>
  <si>
    <t xml:space="preserve">Thời gian trigger</t>
  </si>
  <si>
    <t xml:space="preserve">Budget/ngày</t>
  </si>
  <si>
    <t xml:space="preserve">Kênh chạy</t>
  </si>
  <si>
    <t xml:space="preserve">Duration</t>
  </si>
  <si>
    <t xml:space="preserve">Đã vào Trang 1 (LP chính) nhưng CHƯA điền form</t>
  </si>
  <si>
    <t xml:space="preserve">mn_page_visitors</t>
  </si>
  <si>
    <t xml:space="preserve">mn_form_complete (đã điền form)
mn_tour_booked (đã book tour)</t>
  </si>
  <si>
    <t xml:space="preserve">Ad: "Hơn 5,000 PH đã tin tưởng — Xem họ nói gì"
Format: Video testimonial 30s</t>
  </si>
  <si>
    <t xml:space="preserve">Trang 3: forms.truongvietanh.com/tuyen-sinh-mam-non/phu-huynh-noi-gi</t>
  </si>
  <si>
    <t xml:space="preserve">Sau 1 ngày (24h)</t>
  </si>
  <si>
    <t xml:space="preserve">200,000 VND</t>
  </si>
  <si>
    <t xml:space="preserve">Meta Ads, TikTok</t>
  </si>
  <si>
    <t xml:space="preserve">14 ngày</t>
  </si>
  <si>
    <t xml:space="preserve">KHÔNG đưa về Trang 1. Đưa sang Testimonial để build trust</t>
  </si>
  <si>
    <t xml:space="preserve">Đã vào Trang 1 LẦN 2+ (return visitor) nhưng chưa submit</t>
  </si>
  <si>
    <t xml:space="preserve">mn_page_visitors (frequency ≥2)</t>
  </si>
  <si>
    <t xml:space="preserve">mn_form_complete</t>
  </si>
  <si>
    <t xml:space="preserve">Ad: "Chương trình MN Quốc Tế — So sánh chi tiết"
Format: Carousel 5 slides</t>
  </si>
  <si>
    <t xml:space="preserve">Trang 4: forms.truongvietanh.com/tuyen-sinh-mam-non/chuong-trinh</t>
  </si>
  <si>
    <t xml:space="preserve">Ngay lập tức</t>
  </si>
  <si>
    <t xml:space="preserve">150,000 VND</t>
  </si>
  <si>
    <t xml:space="preserve">Return visitor = quan tâm cao. Cung cấp thông tin sâu hơn</t>
  </si>
  <si>
    <t xml:space="preserve">Đã xem Trang 3 (Testimonial) nhưng chưa submit form</t>
  </si>
  <si>
    <t xml:space="preserve">mn_form_complete
mn_page_visitors (Trang 4 đã xem)</t>
  </si>
  <si>
    <t xml:space="preserve">Ad: "So sánh chương trình — Montessori vs STEM vs Song ngữ"
Format: Infographic carousel</t>
  </si>
  <si>
    <t xml:space="preserve">Sau 2 ngày</t>
  </si>
  <si>
    <t xml:space="preserve">Đã tin tưởng (xem testimonial) → giờ cần thông tin chương trình</t>
  </si>
  <si>
    <t xml:space="preserve">Đã xem Trang 4 (Chương trình) nhưng chưa submit</t>
  </si>
  <si>
    <t xml:space="preserve">mn_program_viewers</t>
  </si>
  <si>
    <t xml:space="preserve">mn_form_complete
mn_tuition_viewers</t>
  </si>
  <si>
    <t xml:space="preserve">Ad: "Học phí MN 2026 — Ưu đãi giảm 10% đăng ký sớm"
Format: Single image + countdown</t>
  </si>
  <si>
    <t xml:space="preserve">Trang 5: forms.truongvietanh.com/tuyen-sinh-mam-non/hoc-phi</t>
  </si>
  <si>
    <t xml:space="preserve">Meta Ads, Zalo</t>
  </si>
  <si>
    <t xml:space="preserve">Đã nghiên cứu chương trình → giờ quan tâm giá cả</t>
  </si>
  <si>
    <t xml:space="preserve">Đã xem Trang 5 (Học phí) nhưng chưa submit</t>
  </si>
  <si>
    <t xml:space="preserve">mn_tuition_viewers</t>
  </si>
  <si>
    <t xml:space="preserve">Ad: "Ưu đãi chỉ còn [X] ngày — Đăng ký tư vấn ngay"
Format: Video urgency 15s + CTA</t>
  </si>
  <si>
    <t xml:space="preserve">Trang 1: forms.truongvietanh.com/tuyen-sinh-mam-non (quay lại LP với variant B)</t>
  </si>
  <si>
    <t xml:space="preserve">Sau 1 ngày</t>
  </si>
  <si>
    <t xml:space="preserve">300,000 VND</t>
  </si>
  <si>
    <t xml:space="preserve">Meta, Zalo, TikTok</t>
  </si>
  <si>
    <t xml:space="preserve">7 ngày</t>
  </si>
  <si>
    <t xml:space="preserve">Đã xem hết funnel → urgency push. Lần này dùng Variant B của Trang 1</t>
  </si>
  <si>
    <t xml:space="preserve">Đã điền form Trang 1 nhưng CHƯA book tour</t>
  </si>
  <si>
    <t xml:space="preserve">mn_tour_booked</t>
  </si>
  <si>
    <t xml:space="preserve">Ad: "Bạn đã đăng ký — Đặt lịch tham quan ngay hôm nay!"
Format: Dynamic với tên cơ sở</t>
  </si>
  <si>
    <t xml:space="preserve">Trang 2: forms.truongvietanh.com/tuyen-sinh-mam-non/cam-on (scroll to calendar)</t>
  </si>
  <si>
    <t xml:space="preserve">Lead đã có nhưng chưa book tour. Push booking</t>
  </si>
  <si>
    <t xml:space="preserve">Đã book tour nhưng NO-SHOW</t>
  </si>
  <si>
    <t xml:space="preserve">mn_tour_confirmed (actually attended)</t>
  </si>
  <si>
    <t xml:space="preserve">Ad: "Rất tiếc bạn chưa đến — Đặt lại lịch tham quan"
Format: Friendly reminder video</t>
  </si>
  <si>
    <t xml:space="preserve">Trang 2: forms.truongvietanh.com/tuyen-sinh-mam-non/cam-on</t>
  </si>
  <si>
    <t xml:space="preserve">Sau 1 ngày sau tour date</t>
  </si>
  <si>
    <t xml:space="preserve">100,000 VND</t>
  </si>
  <si>
    <t xml:space="preserve">Meta, Zalo</t>
  </si>
  <si>
    <t xml:space="preserve">GHL tag "no-show" → trigger remarketing + email + Zalo message</t>
  </si>
  <si>
    <t xml:space="preserve">Đã tham quan (Tour completed) nhưng chưa enroll</t>
  </si>
  <si>
    <t xml:space="preserve">mn_enrolled</t>
  </si>
  <si>
    <t xml:space="preserve">Ad: "Bé [dynamic] đã rất thích — Đăng ký ngay để giữ chỗ"
Format: Testimonial + Urgency</t>
  </si>
  <si>
    <t xml:space="preserve">Sau 3 ngày sau tour</t>
  </si>
  <si>
    <t xml:space="preserve">30 ngày</t>
  </si>
  <si>
    <t xml:space="preserve">BOTTOM FUNNEL remarketing — conversion push mạnh nhất</t>
  </si>
  <si>
    <t xml:space="preserve">Đã download PDF cẩm nang nhưng chưa điền form tư vấn</t>
  </si>
  <si>
    <t xml:space="preserve">mn_pdf_downloaded</t>
  </si>
  <si>
    <t xml:space="preserve">Ad: "Bạn đã tải Cẩm Nang — Đăng ký tư vấn để chọn chương trình phù hợp"
Format: Carousel tips</t>
  </si>
  <si>
    <t xml:space="preserve">Trang 1: forms.truongvietanh.com/tuyen-sinh-mam-non (variant B)</t>
  </si>
  <si>
    <t xml:space="preserve">Sau 3 ngày</t>
  </si>
  <si>
    <t xml:space="preserve">Lead magnet đã capture interest → push form submission</t>
  </si>
  <si>
    <t xml:space="preserve">Cold lead 30+ ngày không hoạt động</t>
  </si>
  <si>
    <t xml:space="preserve">All mn_* audiences</t>
  </si>
  <si>
    <t xml:space="preserve">mn_enrolled
mn_active_last_14_days</t>
  </si>
  <si>
    <t xml:space="preserve">Ad: "Cơ hội cuối — Ưu đãi đặc biệt chỉ dành cho bạn"
Format: Personalized offer</t>
  </si>
  <si>
    <t xml:space="preserve">Trang 5: forms.truongvietanh.com/tuyen-sinh-mam-non/hoc-phi (với param ?offer=winback)</t>
  </si>
  <si>
    <t xml:space="preserve">Sau 30 ngày cold</t>
  </si>
  <si>
    <t xml:space="preserve">Win-back campaign. Special discount code.</t>
  </si>
  <si>
    <t xml:space="preserve">D. URL MAP — TẤT CẢ CÁC TRANG PHỄU THEO CƠ SỞ</t>
  </si>
  <si>
    <t xml:space="preserve">Landing Page chính</t>
  </si>
  <si>
    <t xml:space="preserve">Thank You</t>
  </si>
  <si>
    <t xml:space="preserve">Tour Confirmation</t>
  </si>
  <si>
    <t xml:space="preserve">Chương trình</t>
  </si>
  <si>
    <t xml:space="preserve">Học phí</t>
  </si>
  <si>
    <t xml:space="preserve">forms.truongvietanh.com/mn-go-vap/cam-on</t>
  </si>
  <si>
    <t xml:space="preserve">forms.truongvietanh.com/mn-go-vap/xac-nhan</t>
  </si>
  <si>
    <t xml:space="preserve">forms.truongvietanh.com/mn-go-vap/review</t>
  </si>
  <si>
    <t xml:space="preserve">forms.truongvietanh.com/mn-go-vap/chuong-trinh</t>
  </si>
  <si>
    <t xml:space="preserve">forms.truongvietanh.com/mn-go-vap/hoc-phi</t>
  </si>
  <si>
    <t xml:space="preserve">forms.truongvietanh.com/mn-nhan-le/cam-on</t>
  </si>
  <si>
    <t xml:space="preserve">forms.truongvietanh.com/mn-nhan-le/xac-nhan</t>
  </si>
  <si>
    <t xml:space="preserve">forms.truongvietanh.com/mn-nhan-le/review</t>
  </si>
  <si>
    <t xml:space="preserve">forms.truongvietanh.com/mn-nhan-le/chuong-trinh</t>
  </si>
  <si>
    <t xml:space="preserve">forms.truongvietanh.com/mn-nhan-le/hoc-phi</t>
  </si>
  <si>
    <t xml:space="preserve">forms.truongvietanh.com/thai-son/cam-on</t>
  </si>
  <si>
    <t xml:space="preserve">forms.truongvietanh.com/thai-son/xac-nhan</t>
  </si>
  <si>
    <t xml:space="preserve">forms.truongvietanh.com/thai-son/review</t>
  </si>
  <si>
    <t xml:space="preserve">forms.truongvietanh.com/thai-son/chuong-trinh</t>
  </si>
  <si>
    <t xml:space="preserve">forms.truongvietanh.com/thai-son/hoc-phi</t>
  </si>
  <si>
    <t xml:space="preserve">forms.truongvietanh.com/mekong-xanh/cam-on</t>
  </si>
  <si>
    <t xml:space="preserve">forms.truongvietanh.com/mekong-xanh/xac-nhan</t>
  </si>
  <si>
    <t xml:space="preserve">forms.truongvietanh.com/mekong-xanh/review</t>
  </si>
  <si>
    <t xml:space="preserve">forms.truongvietanh.com/mekong-xanh/chuong-trinh</t>
  </si>
  <si>
    <t xml:space="preserve">forms.truongvietanh.com/mekong-xanh/hoc-phi</t>
  </si>
  <si>
    <t xml:space="preserve">forms.truongvietanh.com/th-go-vap/cam-on</t>
  </si>
  <si>
    <t xml:space="preserve">forms.truongvietanh.com/th-go-vap/xac-nhan</t>
  </si>
  <si>
    <t xml:space="preserve">forms.truongvietanh.com/th-go-vap/review</t>
  </si>
  <si>
    <t xml:space="preserve">forms.truongvietanh.com/th-go-vap/chuong-trinh</t>
  </si>
  <si>
    <t xml:space="preserve">forms.truongvietanh.com/th-go-vap/hoc-phi</t>
  </si>
  <si>
    <t xml:space="preserve">forms.truongvietanh.com/th-binh-tan/cam-on</t>
  </si>
  <si>
    <t xml:space="preserve">forms.truongvietanh.com/th-binh-tan/xac-nhan</t>
  </si>
  <si>
    <t xml:space="preserve">forms.truongvietanh.com/th-binh-tan/review</t>
  </si>
  <si>
    <t xml:space="preserve">forms.truongvietanh.com/th-binh-tan/chuong-trinh</t>
  </si>
  <si>
    <t xml:space="preserve">forms.truongvietanh.com/th-binh-tan/hoc-phi</t>
  </si>
  <si>
    <t xml:space="preserve">forms.truongvietanh.com/tuyen-sinh-thcs/cam-on</t>
  </si>
  <si>
    <t xml:space="preserve">forms.truongvietanh.com/tuyen-sinh-thcs/xac-nhan</t>
  </si>
  <si>
    <t xml:space="preserve">forms.truongvietanh.com/tuyen-sinh-thcs/review</t>
  </si>
  <si>
    <t xml:space="preserve">forms.truongvietanh.com/tuyen-sinh-thcs/chuong-trinh</t>
  </si>
  <si>
    <t xml:space="preserve">forms.truongvietanh.com/tuyen-sinh-thcs/hoc-phi</t>
  </si>
  <si>
    <t xml:space="preserve">forms.truongvietanh.com/tuyen-sinh-thpt/cam-on</t>
  </si>
  <si>
    <t xml:space="preserve">forms.truongvietanh.com/tuyen-sinh-thpt/xac-nhan</t>
  </si>
  <si>
    <t xml:space="preserve">forms.truongvietanh.com/tuyen-sinh-thpt/review</t>
  </si>
  <si>
    <t xml:space="preserve">forms.truongvietanh.com/tuyen-sinh-thpt/chuong-trinh</t>
  </si>
  <si>
    <t xml:space="preserve">forms.truongvietanh.com/tuyen-sinh-thpt/hoc-phi</t>
  </si>
  <si>
    <t xml:space="preserve">Open Day T6</t>
  </si>
  <si>
    <t xml:space="preserve">forms.truongvietanh.com/mega-open-day-2026/cam-on</t>
  </si>
  <si>
    <t xml:space="preserve">forms.truongvietanh.com/mega-open-day-2026/xac-nhan</t>
  </si>
  <si>
    <t xml:space="preserve">Webinar MN</t>
  </si>
  <si>
    <t xml:space="preserve">forms.truongvietanh.com/webinar-mam-non/cam-on</t>
  </si>
  <si>
    <t xml:space="preserve">forms.truongvietanh.com/webinar-mam-non/replay</t>
  </si>
  <si>
    <t xml:space="preserve">Học Bổng</t>
  </si>
  <si>
    <t xml:space="preserve">forms.truongvietanh.com/hoc-bong-2026/cam-on</t>
  </si>
  <si>
    <t xml:space="preserve">forms.truongvietanh.com/hoc-bong-2026/ket-qua</t>
  </si>
  <si>
    <t xml:space="preserve">forms.truongvietanh.com/gioi-thieu-ban/cam-on</t>
  </si>
  <si>
    <t xml:space="preserve">E. PHỄU SỰ KIỆN — OPEN DAY T6 "MEGA OPEN DAY 2026" (FNL-OD-T6)</t>
  </si>
  <si>
    <t xml:space="preserve">URL</t>
  </si>
  <si>
    <t xml:space="preserve">Nội dung</t>
  </si>
  <si>
    <t xml:space="preserve">Pixel Events</t>
  </si>
  <si>
    <t xml:space="preserve">Next Step</t>
  </si>
  <si>
    <t xml:space="preserve">1. Landing Page Sự kiện</t>
  </si>
  <si>
    <t xml:space="preserve">Hero: "MEGA OPEN DAY 2026 — Tham Quan 6 Cơ Sở Cùng Lúc!"
→ Countdown timer → Date/Time → 6 locations trên map
→ Agenda: 8:00 Welcome, 8:30 Tour, 9:30 Q&amp;A, 10:30 Ưu đãi
→ Speakers: Hiệu trưởng 6 cơ sở
→ Quà tặng: Ba lô, sách, voucher giảm học phí
→ Testimonial từ Open Day trước
→ Form đăng ký</t>
  </si>
  <si>
    <t xml:space="preserve">Họ tên*, SĐT*, Email, Số con, Tuổi con, Cấp học*, Cơ sở muốn tham quan* (multi), Xe đưa đón (Y/N)</t>
  </si>
  <si>
    <t xml:space="preserve">PageView, ViewContent, Lead (form submit)</t>
  </si>
  <si>
    <t xml:space="preserve">od_visitors → nếu chưa submit: Ad "Chỉ còn [X] ngày — Đăng ký ngay!"</t>
  </si>
  <si>
    <t xml:space="preserve">→ Trang 2: Confirmation</t>
  </si>
  <si>
    <t xml:space="preserve">2. Confirmation + Details</t>
  </si>
  <si>
    <t xml:space="preserve">"Bạn đã đăng ký thành công! Hẹn gặp [Ngày]"
→ QR code check-in
→ Map + hướng dẫn đường đi từng cơ sở
→ Add to Calendar buttons
→ Share invite: "Mời bạn bè cùng đi"</t>
  </si>
  <si>
    <t xml:space="preserve">Không có form</t>
  </si>
  <si>
    <t xml:space="preserve">Purchase (confirmed), CompleteRegistration</t>
  </si>
  <si>
    <t xml:space="preserve">od_confirmed → -3d, -1d, -2h reminder ads</t>
  </si>
  <si>
    <t xml:space="preserve">→ GHL workflow: -24h SMS, -2h Zalo reminder</t>
  </si>
  <si>
    <t xml:space="preserve">3. Post-Event Follow-up</t>
  </si>
  <si>
    <t xml:space="preserve">forms.truongvietanh.com/mega-open-day-2026/cam-nhan</t>
  </si>
  <si>
    <t xml:space="preserve">"Cảm ơn bạn đã tham dự! Chia sẻ cảm nhận"
→ Feedback form: rating 1-5, comments
→ Photo gallery sự kiện
→ Video recap 3 phút
→ CTA: "Đăng ký nhận ưu đãi đặc biệt dành cho PH tham dự"</t>
  </si>
  <si>
    <t xml:space="preserve">Rating*, Feedback, Quan tâm cấp học, Muốn đăng ký (Y/N)</t>
  </si>
  <si>
    <t xml:space="preserve">ViewContent, Lead (feedback form)</t>
  </si>
  <si>
    <t xml:space="preserve">od_attended_not_enrolled → Ads: Ưu đãi đặc biệt cho PH đã tham dự</t>
  </si>
  <si>
    <t xml:space="preserve">→ GHL: If "Muốn đăng ký = Y" → Priority follow-up trong 2h</t>
  </si>
  <si>
    <t xml:space="preserve">4. Ưu đãi Post-Event</t>
  </si>
  <si>
    <t xml:space="preserve">forms.truongvietanh.com/mega-open-day-2026/uu-dai</t>
  </si>
  <si>
    <t xml:space="preserve">"Ưu Đãi Đặc Biệt — Chỉ Dành Cho PH Tham Dự Open Day"
→ Giảm 15% phí ghi danh (vs 10% bình thường)
→ Tặng đồng phục + ba lô
→ Countdown: "Ưu đãi hết hạn sau 7 ngày"
→ CTA: Đăng ký ngay</t>
  </si>
  <si>
    <t xml:space="preserve">Họ tên*, SĐT*, Cơ sở*, Cấp học*, Mã ưu đãi (auto-fill)</t>
  </si>
  <si>
    <t xml:space="preserve">ViewContent, AddPaymentInfo, Lead</t>
  </si>
  <si>
    <t xml:space="preserve">od_offer_viewers → If not convert in 3d: SMS reminder</t>
  </si>
  <si>
    <t xml:space="preserve">→ GHL: Hot lead, auto-assign tư vấn viên → Call trong 1h</t>
  </si>
  <si>
    <t xml:space="preserve">KẾ HOẠCH GOOGLE ADS – CẤU TRÚC TÀI KHOẢN + CAMPAIGN + KEYWORD + RSA + BIRCH</t>
  </si>
  <si>
    <t xml:space="preserve">A. CẤU TRÚC TÀI KHOẢN GOOGLE ADS</t>
  </si>
  <si>
    <t xml:space="preserve">Cấp độ</t>
  </si>
  <si>
    <t xml:space="preserve">Tên</t>
  </si>
  <si>
    <t xml:space="preserve">Account</t>
  </si>
  <si>
    <t xml:space="preserve">VA_TuyenSinh_2026</t>
  </si>
  <si>
    <t xml:space="preserve">Tài khoản chính cho tuyển sinh</t>
  </si>
  <si>
    <t xml:space="preserve">Tổng Google = 25% Paid Media</t>
  </si>
  <si>
    <t xml:space="preserve">Campaign</t>
  </si>
  <si>
    <t xml:space="preserve">S_BRAND_System</t>
  </si>
  <si>
    <t xml:space="preserve">Brand search toàn hệ thống</t>
  </si>
  <si>
    <t xml:space="preserve">Auto</t>
  </si>
  <si>
    <t xml:space="preserve">Luôn bật, không pause</t>
  </si>
  <si>
    <t xml:space="preserve">S_MN_GV_Generic</t>
  </si>
  <si>
    <t xml:space="preserve">Search mầm non Gò Vấp generic</t>
  </si>
  <si>
    <t xml:space="preserve">Daily cap</t>
  </si>
  <si>
    <t xml:space="preserve">Keyword: mầm non song ngữ gò vấp</t>
  </si>
  <si>
    <t xml:space="preserve">S_MN_GV_HighIntent</t>
  </si>
  <si>
    <t xml:space="preserve">Search mầm non Gò Vấp high intent</t>
  </si>
  <si>
    <t xml:space="preserve">Keyword: học phí mầm non, tuyển sinh mầm non</t>
  </si>
  <si>
    <t xml:space="preserve">S_MN_Tinh_Generic</t>
  </si>
  <si>
    <t xml:space="preserve">Search mầm non tỉnh (Tây Ninh, An Giang)</t>
  </si>
  <si>
    <t xml:space="preserve">Local intent tỉnh</t>
  </si>
  <si>
    <t xml:space="preserve">S_TH_GV_Generic</t>
  </si>
  <si>
    <t xml:space="preserve">Search tiểu học Gò Vấp</t>
  </si>
  <si>
    <t xml:space="preserve">Lớp 1, song ngữ, học phí</t>
  </si>
  <si>
    <t xml:space="preserve">S_TH_BT_Generic</t>
  </si>
  <si>
    <t xml:space="preserve">Search tiểu học Bình Tân</t>
  </si>
  <si>
    <t xml:space="preserve">Local + song ngữ</t>
  </si>
  <si>
    <t xml:space="preserve">S_TH_Tinh_Generic</t>
  </si>
  <si>
    <t xml:space="preserve">Search tiểu học tỉnh</t>
  </si>
  <si>
    <t xml:space="preserve">Thái Sơn + Mekong Xanh</t>
  </si>
  <si>
    <t xml:space="preserve">S_THCS_GV_Generic</t>
  </si>
  <si>
    <t xml:space="preserve">Search THCS Gò Vấp generic</t>
  </si>
  <si>
    <t xml:space="preserve">Lớp 6, trường cấp 2</t>
  </si>
  <si>
    <t xml:space="preserve">S_THCS_GV_HighIntent</t>
  </si>
  <si>
    <t xml:space="preserve">Search THCS Gò Vấp high intent</t>
  </si>
  <si>
    <t xml:space="preserve">Tuyển sinh lớp 6, học phí</t>
  </si>
  <si>
    <t xml:space="preserve">S_THPT_GV_Generic</t>
  </si>
  <si>
    <t xml:space="preserve">Search THPT Gò Vấp generic</t>
  </si>
  <si>
    <t xml:space="preserve">Lớp 10, trường cấp 3</t>
  </si>
  <si>
    <t xml:space="preserve">S_THPT_GV_HighIntent</t>
  </si>
  <si>
    <t xml:space="preserve">Search THPT Gò Vấp high intent</t>
  </si>
  <si>
    <t xml:space="preserve">Tuyển sinh lớp 10, học bổng</t>
  </si>
  <si>
    <t xml:space="preserve">S_THPT_GV_Webinar</t>
  </si>
  <si>
    <t xml:space="preserve">Search THPT webinar</t>
  </si>
  <si>
    <t xml:space="preserve">Hội thảo, lộ trình, chọn trường</t>
  </si>
  <si>
    <t xml:space="preserve">S_COMP_THCS_GV</t>
  </si>
  <si>
    <t xml:space="preserve">Competitor THCS Gò Vấp</t>
  </si>
  <si>
    <t xml:space="preserve">Chạy chọn lọc, LP compare</t>
  </si>
  <si>
    <t xml:space="preserve">S_COMP_THPT_GV</t>
  </si>
  <si>
    <t xml:space="preserve">Competitor THPT Gò Vấp</t>
  </si>
  <si>
    <t xml:space="preserve">Chạy chọn lọc</t>
  </si>
  <si>
    <t xml:space="preserve">DG_Testimonial</t>
  </si>
  <si>
    <t xml:space="preserve">Demand Gen video testimonial</t>
  </si>
  <si>
    <t xml:space="preserve">THCS/THPT retarget</t>
  </si>
  <si>
    <t xml:space="preserve">RMKT_AllVisitors</t>
  </si>
  <si>
    <t xml:space="preserve">Remarketing all web visitors</t>
  </si>
  <si>
    <t xml:space="preserve">7-30 ngày</t>
  </si>
  <si>
    <t xml:space="preserve">RMKT_HocPhi</t>
  </si>
  <si>
    <t xml:space="preserve">Remarketing người xem học phí</t>
  </si>
  <si>
    <t xml:space="preserve">Hot 1-7 ngày</t>
  </si>
  <si>
    <t xml:space="preserve">RMKT_FormDrop</t>
  </si>
  <si>
    <t xml:space="preserve">Remarketing form chưa submit</t>
  </si>
  <si>
    <t xml:space="preserve">PMAX_Test</t>
  </si>
  <si>
    <t xml:space="preserve">Performance Max test</t>
  </si>
  <si>
    <t xml:space="preserve">Daily cap 2%</t>
  </si>
  <si>
    <t xml:space="preserve">Chỉ test từ T6, không scale sớm</t>
  </si>
  <si>
    <t xml:space="preserve">B. KEYWORD BANK (EXACT + PHRASE)</t>
  </si>
  <si>
    <t xml:space="preserve">Match</t>
  </si>
  <si>
    <t xml:space="preserve">Keyword</t>
  </si>
  <si>
    <t xml:space="preserve">Brand</t>
  </si>
  <si>
    <t xml:space="preserve">Exact</t>
  </si>
  <si>
    <t xml:space="preserve">[trường mầm non việt anh gò vấp]</t>
  </si>
  <si>
    <t xml:space="preserve">S_BRAND</t>
  </si>
  <si>
    <t xml:space="preserve">[mầm non việt anh lê đức thọ]</t>
  </si>
  <si>
    <t xml:space="preserve">Generic</t>
  </si>
  <si>
    <t xml:space="preserve">[trường mầm non song ngữ gò vấp]</t>
  </si>
  <si>
    <t xml:space="preserve">Top KW</t>
  </si>
  <si>
    <t xml:space="preserve">[trường mầm non tư thục gò vấp]</t>
  </si>
  <si>
    <t xml:space="preserve">Phrase</t>
  </si>
  <si>
    <t xml:space="preserve">"trường mầm non gần nhà"</t>
  </si>
  <si>
    <t xml:space="preserve">Local</t>
  </si>
  <si>
    <t xml:space="preserve">"mầm non song ngữ"</t>
  </si>
  <si>
    <t xml:space="preserve">HighIntent</t>
  </si>
  <si>
    <t xml:space="preserve">[học phí mầm non song ngữ gò vấp]</t>
  </si>
  <si>
    <t xml:space="preserve">HOT</t>
  </si>
  <si>
    <t xml:space="preserve">[tuyển sinh mầm non gò vấp]</t>
  </si>
  <si>
    <t xml:space="preserve">Pain</t>
  </si>
  <si>
    <t xml:space="preserve">"trường mầm non an toàn"</t>
  </si>
  <si>
    <t xml:space="preserve">"trường mầm non có camera"</t>
  </si>
  <si>
    <t xml:space="preserve">[trường việt anh gò vấp]</t>
  </si>
  <si>
    <t xml:space="preserve">[trường việt anh bình tân]</t>
  </si>
  <si>
    <t xml:space="preserve">[trường tiểu học song ngữ gò vấp]</t>
  </si>
  <si>
    <t xml:space="preserve">[trường tiểu học tư thục bình tân]</t>
  </si>
  <si>
    <t xml:space="preserve">[tuyển sinh lớp 1 trường tư]</t>
  </si>
  <si>
    <t xml:space="preserve">S_TH_GV_HighIntent</t>
  </si>
  <si>
    <t xml:space="preserve">[học phí tiểu học song ngữ]</t>
  </si>
  <si>
    <t xml:space="preserve">[trường thcs tư thục gò vấp]</t>
  </si>
  <si>
    <t xml:space="preserve">"trường cấp 2 song ngữ"</t>
  </si>
  <si>
    <t xml:space="preserve">[tuyển sinh lớp 6 trường tư]</t>
  </si>
  <si>
    <t xml:space="preserve">[học phí thcs song ngữ]</t>
  </si>
  <si>
    <t xml:space="preserve">[trường thpt tư thục gò vấp]</t>
  </si>
  <si>
    <t xml:space="preserve">"trường cấp 3 song ngữ"</t>
  </si>
  <si>
    <t xml:space="preserve">[tuyển sinh lớp 10 trường tư]</t>
  </si>
  <si>
    <t xml:space="preserve">[học bổng lớp 10]</t>
  </si>
  <si>
    <t xml:space="preserve">[chuyển trường cấp 3]</t>
  </si>
  <si>
    <t xml:space="preserve">Late intake</t>
  </si>
  <si>
    <t xml:space="preserve">"hội thảo chọn trường lớp 10"</t>
  </si>
  <si>
    <t xml:space="preserve">C. NEGATIVE KEYWORDS</t>
  </si>
  <si>
    <t xml:space="preserve">Scope</t>
  </si>
  <si>
    <t xml:space="preserve">Lý do</t>
  </si>
  <si>
    <t xml:space="preserve">Toàn TK</t>
  </si>
  <si>
    <t xml:space="preserve">miễn phí</t>
  </si>
  <si>
    <t xml:space="preserve">Không phù hợp</t>
  </si>
  <si>
    <t xml:space="preserve">giáo án</t>
  </si>
  <si>
    <t xml:space="preserve">tuyển dụng</t>
  </si>
  <si>
    <t xml:space="preserve">Nhầm</t>
  </si>
  <si>
    <t xml:space="preserve">việc làm</t>
  </si>
  <si>
    <t xml:space="preserve">giáo viên</t>
  </si>
  <si>
    <t xml:space="preserve">đại học</t>
  </si>
  <si>
    <t xml:space="preserve">Sai cấp</t>
  </si>
  <si>
    <t xml:space="preserve">du học</t>
  </si>
  <si>
    <t xml:space="preserve">Sai</t>
  </si>
  <si>
    <t xml:space="preserve">gia sư</t>
  </si>
  <si>
    <t xml:space="preserve">trường công</t>
  </si>
  <si>
    <t xml:space="preserve">Sai đối tượng</t>
  </si>
  <si>
    <t xml:space="preserve">điểm chuẩn</t>
  </si>
  <si>
    <t xml:space="preserve">Sai intent</t>
  </si>
  <si>
    <t xml:space="preserve">đề thi</t>
  </si>
  <si>
    <t xml:space="preserve">đáp án</t>
  </si>
  <si>
    <t xml:space="preserve">đồ chơi</t>
  </si>
  <si>
    <t xml:space="preserve">tranh tô màu</t>
  </si>
  <si>
    <t xml:space="preserve">luyện thi</t>
  </si>
  <si>
    <t xml:space="preserve">đề toán</t>
  </si>
  <si>
    <t xml:space="preserve">D. RSA – MẪU QUẢNG CÁO</t>
  </si>
  <si>
    <t xml:space="preserve">Loại</t>
  </si>
  <si>
    <t xml:space="preserve">Pin vị trí</t>
  </si>
  <si>
    <t xml:space="preserve">Headline</t>
  </si>
  <si>
    <t xml:space="preserve">Tuyển Sinh Mầm Non 2026</t>
  </si>
  <si>
    <t xml:space="preserve">H1</t>
  </si>
  <si>
    <t xml:space="preserve">Trường Mầm Non Song Ngữ Gò Vấp</t>
  </si>
  <si>
    <t xml:space="preserve">H2</t>
  </si>
  <si>
    <t xml:space="preserve">Campus</t>
  </si>
  <si>
    <t xml:space="preserve">Môi Trường An Toàn Cho Bé</t>
  </si>
  <si>
    <t xml:space="preserve">USP</t>
  </si>
  <si>
    <t xml:space="preserve">Đăng Ký School Tour Ngay</t>
  </si>
  <si>
    <t xml:space="preserve">CTA</t>
  </si>
  <si>
    <t xml:space="preserve">Học Phí Phù Hợp, Minh Bạch</t>
  </si>
  <si>
    <t xml:space="preserve">Gần Nhà, Thuận Tiện Đưa Đón</t>
  </si>
  <si>
    <t xml:space="preserve">Description</t>
  </si>
  <si>
    <t xml:space="preserve">Tìm hiểu chương trình mầm non và lịch tham quan trường. Đăng ký tư vấn nhanh.</t>
  </si>
  <si>
    <t xml:space="preserve">D1</t>
  </si>
  <si>
    <t xml:space="preserve">Môi trường an toàn, giáo viên tận tâm. Xem cơ sở thực tế ngay.</t>
  </si>
  <si>
    <t xml:space="preserve">D2</t>
  </si>
  <si>
    <t xml:space="preserve">Tuyển Sinh Lớp 1 Năm Học 2026</t>
  </si>
  <si>
    <t xml:space="preserve">Trường Tiểu Học Song Ngữ Gò Vấp</t>
  </si>
  <si>
    <t xml:space="preserve">Tiếng Anh Có Lộ Trình Rõ Ràng</t>
  </si>
  <si>
    <t xml:space="preserve">Mời Tham Quan Trường Ngay</t>
  </si>
  <si>
    <t xml:space="preserve">Tìm hiểu chương trình tiểu học và lộ trình tiếng Anh phù hợp cho con.</t>
  </si>
  <si>
    <t xml:space="preserve">Tuyển Sinh Lớp 6 Năm 2026</t>
  </si>
  <si>
    <t xml:space="preserve">Trường THCS Việt Anh Gò Vấp</t>
  </si>
  <si>
    <t xml:space="preserve">Theo Sát Học Sinh Giai Đoạn Bản Lề</t>
  </si>
  <si>
    <t xml:space="preserve">THCS cần môi trường nghiêm túc, theo sát từng học sinh. Đăng ký tư vấn.</t>
  </si>
  <si>
    <t xml:space="preserve">Tuyển Sinh Lớp 10 Năm 2026</t>
  </si>
  <si>
    <t xml:space="preserve">Trường THPT Việt Anh Gò Vấp</t>
  </si>
  <si>
    <t xml:space="preserve">Học Bổng Tuyển Sinh Lớp 10</t>
  </si>
  <si>
    <t xml:space="preserve">Offer</t>
  </si>
  <si>
    <t xml:space="preserve">Định Hướng Đại Học Và Tương Lai</t>
  </si>
  <si>
    <t xml:space="preserve">Đăng ký tư vấn lớp 10, học bổng và tham quan campus ngay hôm nay.</t>
  </si>
  <si>
    <t xml:space="preserve">E. BIRCH PPC – CẤU HÌNH CHI TIẾT</t>
  </si>
  <si>
    <t xml:space="preserve">Bước</t>
  </si>
  <si>
    <t xml:space="preserve">Hành động</t>
  </si>
  <si>
    <t xml:space="preserve">Chi tiết</t>
  </si>
  <si>
    <t xml:space="preserve">Tool/Nơi thực hiện</t>
  </si>
  <si>
    <t xml:space="preserve">Tạo Workspace</t>
  </si>
  <si>
    <t xml:space="preserve">TruongVietAnh_GoogleAds_2026</t>
  </si>
  <si>
    <t xml:space="preserve">Birch &gt; Workspace</t>
  </si>
  <si>
    <t xml:space="preserve">☐</t>
  </si>
  <si>
    <t xml:space="preserve">Kết nối Google Ads</t>
  </si>
  <si>
    <t xml:space="preserve">Link account có admin rights</t>
  </si>
  <si>
    <t xml:space="preserve">Birch &gt; Settings &gt; Ad Platforms</t>
  </si>
  <si>
    <t xml:space="preserve">Kết nối GA4</t>
  </si>
  <si>
    <t xml:space="preserve">Link GA4 property website + LP</t>
  </si>
  <si>
    <t xml:space="preserve">Birch &gt; Settings &gt; Google Analytics</t>
  </si>
  <si>
    <t xml:space="preserve">Kết nối Google Sheets</t>
  </si>
  <si>
    <t xml:space="preserve">Share sheet cho service account Birch</t>
  </si>
  <si>
    <t xml:space="preserve">Google Sheets &gt; Share</t>
  </si>
  <si>
    <t xml:space="preserve">Tạo Custom Metrics</t>
  </si>
  <si>
    <t xml:space="preserve">Qualified Rate, Booked Tour Rate, Cost/Tour, CAC</t>
  </si>
  <si>
    <t xml:space="preserve">Birch &gt; Custom Metrics</t>
  </si>
  <si>
    <t xml:space="preserve">Ngày 2</t>
  </si>
  <si>
    <t xml:space="preserve">Rule: Alert CPL cao</t>
  </si>
  <si>
    <t xml:space="preserve">IF CPL &gt; target 20% for 3 days → Slack alert</t>
  </si>
  <si>
    <t xml:space="preserve">Birch &gt; Automation Rules</t>
  </si>
  <si>
    <t xml:space="preserve">Rule: Alert zero lead</t>
  </si>
  <si>
    <t xml:space="preserve">IF spend &gt; 500K + leads = 0 for 3 days → alert</t>
  </si>
  <si>
    <t xml:space="preserve">Rule: Scale campaign tốt</t>
  </si>
  <si>
    <t xml:space="preserve">IF CPL &lt; target + Qualified &gt; 50% → tăng budget 15%</t>
  </si>
  <si>
    <t xml:space="preserve">Tuần 2</t>
  </si>
  <si>
    <t xml:space="preserve">Rule: Giảm campaign yếu</t>
  </si>
  <si>
    <t xml:space="preserve">IF CPL &gt; target 30% + tour = 0 → giảm 15%</t>
  </si>
  <si>
    <t xml:space="preserve">Rule: Pause KW lãng phí</t>
  </si>
  <si>
    <t xml:space="preserve">IF KW spend &gt; 500K + conv = 0 → pause</t>
  </si>
  <si>
    <t xml:space="preserve">Rule: Brand always-on</t>
  </si>
  <si>
    <t xml:space="preserve">IF brand campaign paused → auto-notify</t>
  </si>
  <si>
    <t xml:space="preserve">Dashboard weekly</t>
  </si>
  <si>
    <t xml:space="preserve">CPL by campaign, campus, grade | Auto email T2+T5</t>
  </si>
  <si>
    <t xml:space="preserve">Birch &gt; Custom Reports</t>
  </si>
  <si>
    <t xml:space="preserve">Tuần 1</t>
  </si>
  <si>
    <t xml:space="preserve">Negative KW auto-check</t>
  </si>
  <si>
    <t xml:space="preserve">Shared negative list, auto-update weekly</t>
  </si>
  <si>
    <t xml:space="preserve">Birch &gt; Rules + Manual</t>
  </si>
  <si>
    <t xml:space="preserve">F. LANDING PAGE BLUEPRINT</t>
  </si>
  <si>
    <t xml:space="preserve">LP</t>
  </si>
  <si>
    <t xml:space="preserve">URL slug</t>
  </si>
  <si>
    <t xml:space="preserve">Khối cần có</t>
  </si>
  <si>
    <t xml:space="preserve">GTM Events</t>
  </si>
  <si>
    <t xml:space="preserve">LP_MN_GV</t>
  </si>
  <si>
    <t xml:space="preserve">/mam-non-go-vap</t>
  </si>
  <si>
    <t xml:space="preserve">Gò Vấp</t>
  </si>
  <si>
    <t xml:space="preserve">Hero video + USP + Ảnh + Testi + FAQ + Map + Form</t>
  </si>
  <si>
    <t xml:space="preserve">Tên, SĐT, Cơ sở, Cấp, Nhu cầu</t>
  </si>
  <si>
    <t xml:space="preserve">form_submit, click_call, click_zalo</t>
  </si>
  <si>
    <t xml:space="preserve">LP_TH_GV</t>
  </si>
  <si>
    <t xml:space="preserve">/tieu-hoc-go-vap</t>
  </si>
  <si>
    <t xml:space="preserve">Hero + Chương trình + Tiếng Anh + Testi + Form</t>
  </si>
  <si>
    <t xml:space="preserve">Tên, SĐT, Cơ sở, Lớp</t>
  </si>
  <si>
    <t xml:space="preserve">form_submit, click_call</t>
  </si>
  <si>
    <t xml:space="preserve">LP_TH_BT</t>
  </si>
  <si>
    <t xml:space="preserve">/tieu-hoc-binh-tan</t>
  </si>
  <si>
    <t xml:space="preserve">Bình Tân</t>
  </si>
  <si>
    <t xml:space="preserve">Hero + USP + Ảnh + Form + Map</t>
  </si>
  <si>
    <t xml:space="preserve">LP_THCS_GV</t>
  </si>
  <si>
    <t xml:space="preserve">/thcs-go-vap</t>
  </si>
  <si>
    <t xml:space="preserve">Hero + Lộ trình + GV + Testi + Webinar CTA + Form</t>
  </si>
  <si>
    <t xml:space="preserve">Tên, SĐT, Cấp, Nhu cầu</t>
  </si>
  <si>
    <t xml:space="preserve">form_submit, webinar_reg, click_call</t>
  </si>
  <si>
    <t xml:space="preserve">LP_THPT_GV</t>
  </si>
  <si>
    <t xml:space="preserve">/thpt-go-vap</t>
  </si>
  <si>
    <t xml:space="preserve">Hero + Lộ trình + Học bổng + ĐH + Testi + Form</t>
  </si>
  <si>
    <t xml:space="preserve">form_submit, scholarship_click, click_call</t>
  </si>
  <si>
    <t xml:space="preserve">LP_WEBINAR</t>
  </si>
  <si>
    <t xml:space="preserve">/webinar-chon-truong</t>
  </si>
  <si>
    <t xml:space="preserve">System</t>
  </si>
  <si>
    <t xml:space="preserve">Chủ đề + Diễn giả + CTA + Countdown</t>
  </si>
  <si>
    <t xml:space="preserve">Tên, SĐT, Email, Cấp</t>
  </si>
  <si>
    <t xml:space="preserve">webinar_register, click_call</t>
  </si>
  <si>
    <t xml:space="preserve">LP_MN_Tinh</t>
  </si>
  <si>
    <t xml:space="preserve">/mam-non-tinh</t>
  </si>
  <si>
    <t xml:space="preserve">Tây Ninh/An Giang</t>
  </si>
  <si>
    <t xml:space="preserve">Hero + Local USP + Ảnh + Map + Form</t>
  </si>
  <si>
    <t xml:space="preserve">Tên, SĐT, Cơ sở</t>
  </si>
  <si>
    <t xml:space="preserve">LP_TH_Tinh</t>
  </si>
  <si>
    <t xml:space="preserve">/tieu-hoc-tinh</t>
  </si>
  <si>
    <t xml:space="preserve">Hero + Local USP + Form</t>
  </si>
  <si>
    <t xml:space="preserve">G. DAILY OPERATIONS – GOOGLE ADS HÀNG NGÀY</t>
  </si>
  <si>
    <t xml:space="preserve">Thời gian</t>
  </si>
  <si>
    <t xml:space="preserve">Công việc</t>
  </si>
  <si>
    <t xml:space="preserve">Tool</t>
  </si>
  <si>
    <t xml:space="preserve">KPI check</t>
  </si>
  <si>
    <t xml:space="preserve">Action nếu lệch</t>
  </si>
  <si>
    <t xml:space="preserve">Ai làm</t>
  </si>
  <si>
    <t xml:space="preserve">8:00</t>
  </si>
  <si>
    <t xml:space="preserve">Check spend pacing</t>
  </si>
  <si>
    <t xml:space="preserve">Birch → Budget pacing → Alert nếu &gt;110% hoặc &lt;80%</t>
  </si>
  <si>
    <t xml:space="preserve">Birch PPC</t>
  </si>
  <si>
    <t xml:space="preserve">Daily spend vs target ±10%</t>
  </si>
  <si>
    <t xml:space="preserve">Overspend → giảm budget | Underspend → check impression share</t>
  </si>
  <si>
    <t xml:space="preserve">8:15</t>
  </si>
  <si>
    <t xml:space="preserve">Search terms review</t>
  </si>
  <si>
    <t xml:space="preserve">Birch Explorer hoặc Google Ads → Search terms report</t>
  </si>
  <si>
    <t xml:space="preserve">Birch / Google Ads</t>
  </si>
  <si>
    <t xml:space="preserve">Irrelevant terms &lt; 5%</t>
  </si>
  <si>
    <t xml:space="preserve">Thêm negative keywords ngay → Update shared list</t>
  </si>
  <si>
    <t xml:space="preserve">8:30</t>
  </si>
  <si>
    <t xml:space="preserve">Check CPC &amp; Position</t>
  </si>
  <si>
    <t xml:space="preserve">Campaign → Auction insights + CPC by keyword</t>
  </si>
  <si>
    <t xml:space="preserve">Avg position top 3 | CPC &lt; max bid</t>
  </si>
  <si>
    <t xml:space="preserve">Position drop → check competitor | CPC spike → review Quality Score</t>
  </si>
  <si>
    <t xml:space="preserve">8:45</t>
  </si>
  <si>
    <t xml:space="preserve">Check conversion/leads</t>
  </si>
  <si>
    <t xml:space="preserve">Conversions by campaign → Compare vs yesterday</t>
  </si>
  <si>
    <t xml:space="preserve">Leads &gt; 0 per campaign/day</t>
  </si>
  <si>
    <t xml:space="preserve">Zero leads + spend &gt; 500K → pause &amp; investigate</t>
  </si>
  <si>
    <t xml:space="preserve">14:00</t>
  </si>
  <si>
    <t xml:space="preserve">Quality Score audit</t>
  </si>
  <si>
    <t xml:space="preserve">Keyword tab → Filter QS &lt; 5 → Plan improvement</t>
  </si>
  <si>
    <t xml:space="preserve">Avg QS ≥ 7</t>
  </si>
  <si>
    <t xml:space="preserve">QS &lt; 5 → improve ad relevance / LP experience</t>
  </si>
  <si>
    <t xml:space="preserve">15:00</t>
  </si>
  <si>
    <t xml:space="preserve">Bidding adjustment</t>
  </si>
  <si>
    <t xml:space="preserve">Device, location, time-of-day bid adjustment</t>
  </si>
  <si>
    <t xml:space="preserve">Peak hours: 9-11am, 7-9pm</t>
  </si>
  <si>
    <t xml:space="preserve">Tăng bid +20% peak hours, giảm -30% midnight</t>
  </si>
  <si>
    <t xml:space="preserve">17:00</t>
  </si>
  <si>
    <t xml:space="preserve">Log metrics</t>
  </si>
  <si>
    <t xml:space="preserve">Ghi spend, clicks, leads, CPL vào KPI tracker</t>
  </si>
  <si>
    <t xml:space="preserve">Excel</t>
  </si>
  <si>
    <t xml:space="preserve">H. RESOURCE PLAN – ẢNH/VIDEO CHO GOOGLE ADS</t>
  </si>
  <si>
    <t xml:space="preserve">Campaign Type</t>
  </si>
  <si>
    <t xml:space="preserve">Loại asset</t>
  </si>
  <si>
    <t xml:space="preserve">Số lượng</t>
  </si>
  <si>
    <t xml:space="preserve">Specs</t>
  </si>
  <si>
    <t xml:space="preserve">Nguồn</t>
  </si>
  <si>
    <t xml:space="preserve">Refresh</t>
  </si>
  <si>
    <t xml:space="preserve">Search (RSA)</t>
  </si>
  <si>
    <t xml:space="preserve">Headlines</t>
  </si>
  <si>
    <t xml:space="preserve">15/campaign</t>
  </si>
  <si>
    <t xml:space="preserve">Max 30 ký tự</t>
  </si>
  <si>
    <t xml:space="preserve">Brand, USP, CTA, Location, Offer</t>
  </si>
  <si>
    <t xml:space="preserve">Copywriter</t>
  </si>
  <si>
    <t xml:space="preserve">4 tuần test</t>
  </si>
  <si>
    <t xml:space="preserve">Descriptions</t>
  </si>
  <si>
    <t xml:space="preserve">4/campaign</t>
  </si>
  <si>
    <t xml:space="preserve">Max 90 ký tự</t>
  </si>
  <si>
    <t xml:space="preserve">Detailed value prop, social proof, urgency</t>
  </si>
  <si>
    <t xml:space="preserve">Display</t>
  </si>
  <si>
    <t xml:space="preserve">Banner images</t>
  </si>
  <si>
    <t xml:space="preserve">5 sizes/campaign</t>
  </si>
  <si>
    <t xml:space="preserve">300x250, 728x90, 160x600, 320x50, 336x280</t>
  </si>
  <si>
    <t xml:space="preserve">Campus photo + headline + CTA</t>
  </si>
  <si>
    <t xml:space="preserve">Designer</t>
  </si>
  <si>
    <t xml:space="preserve">4 tuần</t>
  </si>
  <si>
    <t xml:space="preserve">Responsive Display</t>
  </si>
  <si>
    <t xml:space="preserve">5 images+5 headlines</t>
  </si>
  <si>
    <t xml:space="preserve">1200x628, 1200x1200 | 30 char headlines</t>
  </si>
  <si>
    <t xml:space="preserve">Mix campus, HS, GV, CSVC</t>
  </si>
  <si>
    <t xml:space="preserve">Designer + Chụp</t>
  </si>
  <si>
    <t xml:space="preserve">YouTube/DG</t>
  </si>
  <si>
    <t xml:space="preserve">3 videos</t>
  </si>
  <si>
    <t xml:space="preserve">15s + 30s + 60s (16:9)</t>
  </si>
  <si>
    <t xml:space="preserve">PH/HS testimonial + campus + CTA</t>
  </si>
  <si>
    <t xml:space="preserve">Quay tại campus</t>
  </si>
  <si>
    <t xml:space="preserve">6 tuần</t>
  </si>
  <si>
    <t xml:space="preserve">Video brand</t>
  </si>
  <si>
    <t xml:space="preserve">1 video</t>
  </si>
  <si>
    <t xml:space="preserve">15s (16:9 + 9:16)</t>
  </si>
  <si>
    <t xml:space="preserve">Brand montage 8 cơ sở + USP overlay</t>
  </si>
  <si>
    <t xml:space="preserve">Edit pro</t>
  </si>
  <si>
    <t xml:space="preserve">1 lần/mùa</t>
  </si>
  <si>
    <t xml:space="preserve">PMax</t>
  </si>
  <si>
    <t xml:space="preserve">Asset group</t>
  </si>
  <si>
    <t xml:space="preserve">1/campus</t>
  </si>
  <si>
    <t xml:space="preserve">Images+videos+headlines+descriptions+audience signals</t>
  </si>
  <si>
    <t xml:space="preserve">Full asset mix theo campus</t>
  </si>
  <si>
    <t xml:space="preserve">Mix sources</t>
  </si>
  <si>
    <t xml:space="preserve">Monitor weekly</t>
  </si>
  <si>
    <t xml:space="preserve">Sitelink Extensions</t>
  </si>
  <si>
    <t xml:space="preserve">Sitelinks</t>
  </si>
  <si>
    <t xml:space="preserve">Link text 25 char + Description</t>
  </si>
  <si>
    <t xml:space="preserve">Học phí, Tour, Hotline, Webinar</t>
  </si>
  <si>
    <t xml:space="preserve">Đầu mùa + refresh T6</t>
  </si>
  <si>
    <t xml:space="preserve">BẢNG TỪ KHÓA CHI TIẾT (Detailed Keyword Table)</t>
  </si>
  <si>
    <t xml:space="preserve">Từ Khóa (Keyword)</t>
  </si>
  <si>
    <t xml:space="preserve">Kiểu Khóp (Match Type)</t>
  </si>
  <si>
    <t xml:space="preserve">Tìm Kiếm/Tháng</t>
  </si>
  <si>
    <t xml:space="preserve">CPC (VND)</t>
  </si>
  <si>
    <t xml:space="preserve">Ad Group</t>
  </si>
  <si>
    <t xml:space="preserve">Landing Page</t>
  </si>
  <si>
    <t xml:space="preserve">Vị Trí (6 cơ sở)</t>
  </si>
  <si>
    <t xml:space="preserve">CTR %</t>
  </si>
  <si>
    <t xml:space="preserve">Conv Rate %</t>
  </si>
  <si>
    <t xml:space="preserve">Budget/Tháng (VND)</t>
  </si>
  <si>
    <t xml:space="preserve">trường tư thục quận Gò Vấp</t>
  </si>
  <si>
    <t xml:space="preserve">Q1: Brand Awareness</t>
  </si>
  <si>
    <t xml:space="preserve">Quận Gò Vấp</t>
  </si>
  <si>
    <t xml:space="preserve">https://khoaviet.edu.vn/govovap</t>
  </si>
  <si>
    <t xml:space="preserve">GV, TĐ</t>
  </si>
  <si>
    <t xml:space="preserve">trường mầm non tốt TPHCM</t>
  </si>
  <si>
    <t xml:space="preserve">Q2: MN Enrollment</t>
  </si>
  <si>
    <t xml:space="preserve">Mầm Non</t>
  </si>
  <si>
    <t xml:space="preserve">https://khoaviet.edu.vn/mn</t>
  </si>
  <si>
    <t xml:space="preserve">GV, TĐ, BL</t>
  </si>
  <si>
    <t xml:space="preserve">học phí trường tư thục TPHCM</t>
  </si>
  <si>
    <t xml:space="preserve">Broad</t>
  </si>
  <si>
    <t xml:space="preserve">Q3: Consideration</t>
  </si>
  <si>
    <t xml:space="preserve">Tuition</t>
  </si>
  <si>
    <t xml:space="preserve">https://khoaviet.edu.vn/tuition</t>
  </si>
  <si>
    <t xml:space="preserve">All</t>
  </si>
  <si>
    <t xml:space="preserve">trường tiểu học chất lượng cao</t>
  </si>
  <si>
    <t xml:space="preserve">Q2: TH Enrollment</t>
  </si>
  <si>
    <t xml:space="preserve">Tiểu Học</t>
  </si>
  <si>
    <t xml:space="preserve">https://khoaviet.edu.vn/th</t>
  </si>
  <si>
    <t xml:space="preserve">GV, PH, BL, TĐ</t>
  </si>
  <si>
    <t xml:space="preserve">tuyển sinh lớp 1 2026</t>
  </si>
  <si>
    <t xml:space="preserve">Q1: Launch</t>
  </si>
  <si>
    <t xml:space="preserve">Tuyển Sinh</t>
  </si>
  <si>
    <t xml:space="preserve">https://khoaviet.edu.vn/ts1</t>
  </si>
  <si>
    <t xml:space="preserve">trường quốc tế lớp 1 HCMC</t>
  </si>
  <si>
    <t xml:space="preserve">Quốc Tế</t>
  </si>
  <si>
    <t xml:space="preserve">https://khoaviet.edu.vn/qt</t>
  </si>
  <si>
    <t xml:space="preserve">BL, PH</t>
  </si>
  <si>
    <t xml:space="preserve">cấp độc lập lớp 7 2026</t>
  </si>
  <si>
    <t xml:space="preserve">Q2: THCS Enrollment</t>
  </si>
  <si>
    <t xml:space="preserve">https://khoaviet.edu.vn/thcs</t>
  </si>
  <si>
    <t xml:space="preserve">GV, TĐ, NQ, VT</t>
  </si>
  <si>
    <t xml:space="preserve">lớp 10 tuyển sinh TPHCM</t>
  </si>
  <si>
    <t xml:space="preserve">Q2: THPT Enrollment</t>
  </si>
  <si>
    <t xml:space="preserve">https://khoaviet.edu.vn/thpt</t>
  </si>
  <si>
    <t xml:space="preserve">trường song ngữ gò vấp</t>
  </si>
  <si>
    <t xml:space="preserve">Đặc Tính</t>
  </si>
  <si>
    <t xml:space="preserve">https://khoaviet.edu.vn/bilingual</t>
  </si>
  <si>
    <t xml:space="preserve">mầm non song ngữ anh việt</t>
  </si>
  <si>
    <t xml:space="preserve">https://khoaviet.edu.vn/mn-bilingual</t>
  </si>
  <si>
    <t xml:space="preserve">chương trình học quốc tế</t>
  </si>
  <si>
    <t xml:space="preserve">Chương Trình</t>
  </si>
  <si>
    <t xml:space="preserve">https://khoaviet.edu.vn/programs</t>
  </si>
  <si>
    <t xml:space="preserve">cơ sở vật chất trường học</t>
  </si>
  <si>
    <t xml:space="preserve">Cơ Sở Vật Chất</t>
  </si>
  <si>
    <t xml:space="preserve">https://khoaviet.edu.vn/facilities</t>
  </si>
  <si>
    <t xml:space="preserve">GV, PH</t>
  </si>
  <si>
    <t xml:space="preserve">đội ngũ giáo viên chuyên nghiệp</t>
  </si>
  <si>
    <t xml:space="preserve">Đội Ngũ</t>
  </si>
  <si>
    <t xml:space="preserve">https://khoaviet.edu.vn/teachers</t>
  </si>
  <si>
    <t xml:space="preserve">phương pháp giáo dục hiện đại</t>
  </si>
  <si>
    <t xml:space="preserve">Phương Pháp</t>
  </si>
  <si>
    <t xml:space="preserve">https://khoaviet.edu.vn/method</t>
  </si>
  <si>
    <t xml:space="preserve">học bổng trường tiểu học</t>
  </si>
  <si>
    <t xml:space="preserve">https://khoaviet.edu.vn/scholarship</t>
  </si>
  <si>
    <t xml:space="preserve">hệ thống camera an toàn trường học</t>
  </si>
  <si>
    <t xml:space="preserve">An Toàn</t>
  </si>
  <si>
    <t xml:space="preserve">https://khoaviet.edu.vn/safety</t>
  </si>
  <si>
    <t xml:space="preserve">hoạt động ngoại khóa học sinh</t>
  </si>
  <si>
    <t xml:space="preserve">Hoạt Động</t>
  </si>
  <si>
    <t xml:space="preserve">https://khoaviet.edu.vn/activities</t>
  </si>
  <si>
    <t xml:space="preserve">kỹ năng sống tiểu học</t>
  </si>
  <si>
    <t xml:space="preserve">Kỹ Năng</t>
  </si>
  <si>
    <t xml:space="preserve">https://khoaviet.edu.vn/skills</t>
  </si>
  <si>
    <t xml:space="preserve">trường tiểu học thuận tiện đón</t>
  </si>
  <si>
    <t xml:space="preserve">Tiện Ích</t>
  </si>
  <si>
    <t xml:space="preserve">https://khoaviet.edu.vn/convenience</t>
  </si>
  <si>
    <t xml:space="preserve">GV, TĐ, PH</t>
  </si>
  <si>
    <t xml:space="preserve">lịch học linh hoạt trường tư thục</t>
  </si>
  <si>
    <t xml:space="preserve">Lịch Học</t>
  </si>
  <si>
    <t xml:space="preserve">https://khoaviet.edu.vn/schedule</t>
  </si>
  <si>
    <t xml:space="preserve">trường có chương trình tối giản</t>
  </si>
  <si>
    <t xml:space="preserve">Tối Giản</t>
  </si>
  <si>
    <t xml:space="preserve">https://khoaviet.edu.vn/minimal</t>
  </si>
  <si>
    <t xml:space="preserve">TĐ, NQ</t>
  </si>
  <si>
    <t xml:space="preserve">thi cuối kỳ mầm non</t>
  </si>
  <si>
    <t xml:space="preserve">Thi Cuối Kỳ</t>
  </si>
  <si>
    <t xml:space="preserve">https://khoaviet.edu.vn/exam</t>
  </si>
  <si>
    <t xml:space="preserve">trường mầm non tuyên trạo</t>
  </si>
  <si>
    <t xml:space="preserve">TĐ</t>
  </si>
  <si>
    <t xml:space="preserve">trường tiểu học tuyên trạo</t>
  </si>
  <si>
    <t xml:space="preserve">trường cấp ba tuyên trạo</t>
  </si>
  <si>
    <t xml:space="preserve">trường tư gò vấp tuyên trạo</t>
  </si>
  <si>
    <t xml:space="preserve">Địa Điểm</t>
  </si>
  <si>
    <t xml:space="preserve">GV</t>
  </si>
  <si>
    <t xml:space="preserve">trường tiểu học tuyên trạo phú nhuận</t>
  </si>
  <si>
    <t xml:space="preserve">PH</t>
  </si>
  <si>
    <t xml:space="preserve">trường mầm non tuyên trạo bình thạnh</t>
  </si>
  <si>
    <t xml:space="preserve">BL</t>
  </si>
  <si>
    <t xml:space="preserve">học tập online + offline</t>
  </si>
  <si>
    <t xml:space="preserve">Mô Hình Học</t>
  </si>
  <si>
    <t xml:space="preserve">https://khoaviet.edu.vn/hybrid</t>
  </si>
  <si>
    <t xml:space="preserve">open day trường tiểu học 2026</t>
  </si>
  <si>
    <t xml:space="preserve">Open Day</t>
  </si>
  <si>
    <t xml:space="preserve">https://khoaviet.edu.vn/openday</t>
  </si>
  <si>
    <t xml:space="preserve">B. GOOGLE ADS CAMPAIGNS THEO PHỄU — SEARCH + DISPLAY + YOUTUBE</t>
  </si>
  <si>
    <t xml:space="preserve">Campaign Name</t>
  </si>
  <si>
    <t xml:space="preserve">Keyword / Audience</t>
  </si>
  <si>
    <t xml:space="preserve">Match Type</t>
  </si>
  <si>
    <t xml:space="preserve">Est. CPC</t>
  </si>
  <si>
    <t xml:space="preserve">Monthly Volume</t>
  </si>
  <si>
    <t xml:space="preserve">Headline 1</t>
  </si>
  <si>
    <t xml:space="preserve">Headline 2</t>
  </si>
  <si>
    <t xml:space="preserve">Headline 3</t>
  </si>
  <si>
    <t xml:space="preserve">Description 1</t>
  </si>
  <si>
    <t xml:space="preserve">Description 2</t>
  </si>
  <si>
    <t xml:space="preserve">Landing Page URL</t>
  </si>
  <si>
    <t xml:space="preserve">Ad Extensions</t>
  </si>
  <si>
    <t xml:space="preserve">Remark</t>
  </si>
  <si>
    <t xml:space="preserve">Search</t>
  </si>
  <si>
    <t xml:space="preserve">Brand - Việt Anh</t>
  </si>
  <si>
    <t xml:space="preserve">trường việt anh</t>
  </si>
  <si>
    <t xml:space="preserve">25000</t>
  </si>
  <si>
    <t xml:space="preserve">850</t>
  </si>
  <si>
    <t xml:space="preserve">Trường Việt Anh - Chất Lượng Quốc Tế</t>
  </si>
  <si>
    <t xml:space="preserve">Mầm Non - Tiểu Học - THCS - THPT</t>
  </si>
  <si>
    <t xml:space="preserve">Tuyển Sinh 2026 Ngay</t>
  </si>
  <si>
    <t xml:space="preserve">Cơ sở song ngữ tại Hóc Môn, HCM. Chương trình quốc tế, thầy cô giàu kinh nghiệm.</t>
  </si>
  <si>
    <t xml:space="preserve">Tham tour miễn phí. Liên hệ tư vấn ngay</t>
  </si>
  <si>
    <t xml:space="preserve">forms.truongvietanh.com/</t>
  </si>
  <si>
    <t xml:space="preserve">Phone, Location, Promotion</t>
  </si>
  <si>
    <t xml:space="preserve">Brand protection</t>
  </si>
  <si>
    <t xml:space="preserve">truong viet anh</t>
  </si>
  <si>
    <t xml:space="preserve">24000</t>
  </si>
  <si>
    <t xml:space="preserve">720</t>
  </si>
  <si>
    <t xml:space="preserve">Trường Việt Anh - Tuyển Sinh 2026</t>
  </si>
  <si>
    <t xml:space="preserve">Chất Lượng - Môi Trường - Giáo Dục</t>
  </si>
  <si>
    <t xml:space="preserve">Liên Hệ Tư Vấn Miễn Phí</t>
  </si>
  <si>
    <t xml:space="preserve">Cơ sở vật chất hiện đại, thầy cô dày kinh nghiệm, môi trường an toàn.</t>
  </si>
  <si>
    <t xml:space="preserve">Tham quan trường hôm nay</t>
  </si>
  <si>
    <t xml:space="preserve">Phone, Promotion</t>
  </si>
  <si>
    <t xml:space="preserve">Brand Vietnamese</t>
  </si>
  <si>
    <t xml:space="preserve">việt anh school</t>
  </si>
  <si>
    <t xml:space="preserve">26000</t>
  </si>
  <si>
    <t xml:space="preserve">630</t>
  </si>
  <si>
    <t xml:space="preserve">Việt Anh School - International Education</t>
  </si>
  <si>
    <t xml:space="preserve">Preschool to High School</t>
  </si>
  <si>
    <t xml:space="preserve">Tour Campus Today</t>
  </si>
  <si>
    <t xml:space="preserve">English immersion environment, experienced teachers, modern facilities.</t>
  </si>
  <si>
    <t xml:space="preserve">Free consultation now</t>
  </si>
  <si>
    <t xml:space="preserve">Phone, Location</t>
  </si>
  <si>
    <t xml:space="preserve">Brand English</t>
  </si>
  <si>
    <t xml:space="preserve">Generic MN - HCM</t>
  </si>
  <si>
    <t xml:space="preserve">trường mầm non quận gò vấp</t>
  </si>
  <si>
    <t xml:space="preserve">18000</t>
  </si>
  <si>
    <t xml:space="preserve">950</t>
  </si>
  <si>
    <t xml:space="preserve">Mầm Non Việt Anh Gò Vấp</t>
  </si>
  <si>
    <t xml:space="preserve">Song Ngữ - An Toàn - Chương Trình Tốt</t>
  </si>
  <si>
    <t xml:space="preserve">Tham Tour Miễn Phí</t>
  </si>
  <si>
    <t xml:space="preserve">Trường mầm non tư thục uy tín, cơ sở an toàn, giáo dục toàn diện.</t>
  </si>
  <si>
    <t xml:space="preserve">Tuyển sinh Mầm Non 2026</t>
  </si>
  <si>
    <t xml:space="preserve">Local MN geo</t>
  </si>
  <si>
    <t xml:space="preserve">Generic MN - Quality</t>
  </si>
  <si>
    <t xml:space="preserve">trường mầm non tốt</t>
  </si>
  <si>
    <t xml:space="preserve">16000</t>
  </si>
  <si>
    <t xml:space="preserve">1200</t>
  </si>
  <si>
    <t xml:space="preserve">Chọn Trường Mầm Non Tốt Cho Con</t>
  </si>
  <si>
    <t xml:space="preserve">Chất Lượng - Song Ngữ - An Toàn</t>
  </si>
  <si>
    <t xml:space="preserve">Đăng Ký Tư Vấn Ngay</t>
  </si>
  <si>
    <t xml:space="preserve">So sánh chất lượng giáo dục, tiện ích, thầy cô tại mầm non Việt Anh.</t>
  </si>
  <si>
    <t xml:space="preserve">Tham quan và hỏi học phí</t>
  </si>
  <si>
    <t xml:space="preserve">Quality comparison</t>
  </si>
  <si>
    <t xml:space="preserve">Generic MN - Tuition</t>
  </si>
  <si>
    <t xml:space="preserve">học phí mầm non 2026</t>
  </si>
  <si>
    <t xml:space="preserve">14000</t>
  </si>
  <si>
    <t xml:space="preserve">Học Phí Mầm Non 2026 Minh Bạch</t>
  </si>
  <si>
    <t xml:space="preserve">Chi Phí Rõ Ràng - Không Ẩn Số</t>
  </si>
  <si>
    <t xml:space="preserve">Xem Chi Tiết Học Phí</t>
  </si>
  <si>
    <t xml:space="preserve">Mầm non Việt Anh: học phí cạnh tranh, chất lượng cao. Tư vấn lựa chọn học phí phù hợp.</t>
  </si>
  <si>
    <t xml:space="preserve">Danh sách đầy đủ phí</t>
  </si>
  <si>
    <t xml:space="preserve">forms.truongvietanh.com/tuyen-sinh-mam-non/hoc-phi</t>
  </si>
  <si>
    <t xml:space="preserve">Tuition focused</t>
  </si>
  <si>
    <t xml:space="preserve">Generic MN - Bilingual</t>
  </si>
  <si>
    <t xml:space="preserve">trường mầm non song ngữ hcm</t>
  </si>
  <si>
    <t xml:space="preserve">19000</t>
  </si>
  <si>
    <t xml:space="preserve">780</t>
  </si>
  <si>
    <t xml:space="preserve">Mầm Non Song Ngữ HCM - Việt Anh</t>
  </si>
  <si>
    <t xml:space="preserve">Tiếng Anh - Tiếng Việt - Tiếng Trung</t>
  </si>
  <si>
    <t xml:space="preserve">Tham Tour Miễn Phí Ngay</t>
  </si>
  <si>
    <t xml:space="preserve">Chương trình song ngữ cân bằng, giáo dục toàn diện, môi trường vui vẻ.</t>
  </si>
  <si>
    <t xml:space="preserve">Phương pháp giảng dạy hiệu quả</t>
  </si>
  <si>
    <t xml:space="preserve">Bilingual focus</t>
  </si>
  <si>
    <t xml:space="preserve">Generic TH - HCM</t>
  </si>
  <si>
    <t xml:space="preserve">trường tiểu học tư thục hcm</t>
  </si>
  <si>
    <t xml:space="preserve">21000</t>
  </si>
  <si>
    <t xml:space="preserve">1050</t>
  </si>
  <si>
    <t xml:space="preserve">Tiểu Học Tư Thục Việt Anh HCM</t>
  </si>
  <si>
    <t xml:space="preserve">Song Ngữ - Chất Lượng - An Toàn</t>
  </si>
  <si>
    <t xml:space="preserve">Tuyển Sinh Lớp 1 Ngay</t>
  </si>
  <si>
    <t xml:space="preserve">Trường tiểu học tư thục chất lượng, chuẩn bị tốt cho các kỳ thi.</t>
  </si>
  <si>
    <t xml:space="preserve">Tham quan cơ sở</t>
  </si>
  <si>
    <t xml:space="preserve">TH private schools</t>
  </si>
  <si>
    <t xml:space="preserve">Generic TH - Grade 1</t>
  </si>
  <si>
    <t xml:space="preserve">chuẩn bị vào lớp 1</t>
  </si>
  <si>
    <t xml:space="preserve">920</t>
  </si>
  <si>
    <t xml:space="preserve">Chuẩn Bị Lớp 1 - Tiểu Học Việt Anh</t>
  </si>
  <si>
    <t xml:space="preserve">Program Chuẩn Bị - Kỹ Năng Sống</t>
  </si>
  <si>
    <t xml:space="preserve">Tư Vấn Miễn Phí</t>
  </si>
  <si>
    <t xml:space="preserve">Tiểu học Việt Anh có chương trình chuẩn bị lớp 1 hiệu quả, an tâm cho phụ huynh.</t>
  </si>
  <si>
    <t xml:space="preserve">Nội dung chương trình chuẩn bị</t>
  </si>
  <si>
    <t xml:space="preserve">forms.truongvietanh.com/tuyen-sinh-tieu-hoc/chuong-trinh</t>
  </si>
  <si>
    <t xml:space="preserve">Grade 1 prep</t>
  </si>
  <si>
    <t xml:space="preserve">Generic TH - International</t>
  </si>
  <si>
    <t xml:space="preserve">trường tiểu học quốc tế</t>
  </si>
  <si>
    <t xml:space="preserve">22000</t>
  </si>
  <si>
    <t xml:space="preserve">650</t>
  </si>
  <si>
    <t xml:space="preserve">Tiểu Học Quốc Tế HCM</t>
  </si>
  <si>
    <t xml:space="preserve">Chương Trình Quốc Tế - STEM - Tiếng Anh</t>
  </si>
  <si>
    <t xml:space="preserve">Xem Chương Trình Quốc Tế</t>
  </si>
  <si>
    <t xml:space="preserve">Tiểu học với chương trình quốc tế, giáo dục STEM, ngoại ngữ mạnh.</t>
  </si>
  <si>
    <t xml:space="preserve">Thư viện, phòng máy tính hiện đại</t>
  </si>
  <si>
    <t xml:space="preserve">International focus</t>
  </si>
  <si>
    <t xml:space="preserve">Generic THCS - Quality</t>
  </si>
  <si>
    <t xml:space="preserve">trường cấp 2 tốt hcm</t>
  </si>
  <si>
    <t xml:space="preserve">23000</t>
  </si>
  <si>
    <t xml:space="preserve">1100</t>
  </si>
  <si>
    <t xml:space="preserve">Trường THCS Tốt HCM - Việt Anh</t>
  </si>
  <si>
    <t xml:space="preserve">Chất Lượng - Chuẩn Bị Thi Lớp 6</t>
  </si>
  <si>
    <t xml:space="preserve">Tư Vấn Miễn Phí Ngay</t>
  </si>
  <si>
    <t xml:space="preserve">THCS Việt Anh: chuẩn bị thi lớp 6, môi trường học tập tuyệt vời.</t>
  </si>
  <si>
    <t xml:space="preserve">Tỷ lệ đỗ lớp 6 cao</t>
  </si>
  <si>
    <t xml:space="preserve">THCS quality</t>
  </si>
  <si>
    <t xml:space="preserve">Generic THCS - Grade 6</t>
  </si>
  <si>
    <t xml:space="preserve">tuyển sinh lớp 6</t>
  </si>
  <si>
    <t xml:space="preserve">1350</t>
  </si>
  <si>
    <t xml:space="preserve">Tuyển Sinh Lớp 6 - THCS Việt Anh</t>
  </si>
  <si>
    <t xml:space="preserve">Chuẩn Bị Thi - Chương Trình Tốt</t>
  </si>
  <si>
    <t xml:space="preserve">THCS Việt Anh tuyển sinh lớp 6 hàng năm. Chuẩn bị kỳ thi hiệu quả.</t>
  </si>
  <si>
    <t xml:space="preserve">Lịch thi, yêu cầu tuyển sinh</t>
  </si>
  <si>
    <t xml:space="preserve">Grade 6 enrollment</t>
  </si>
  <si>
    <t xml:space="preserve">Generic THPT - Quality</t>
  </si>
  <si>
    <t xml:space="preserve">trường cấp 3 tư thục</t>
  </si>
  <si>
    <t xml:space="preserve">890</t>
  </si>
  <si>
    <t xml:space="preserve">Trường Cấp 3 Tư Thục - Việt Anh</t>
  </si>
  <si>
    <t xml:space="preserve">Chuẩn Bị Đại Học - Chất Lượng</t>
  </si>
  <si>
    <t xml:space="preserve">THPT Việt Anh: chuẩn bị SAT/IELTS, tỷ lệ vào ĐH hàng đầu.</t>
  </si>
  <si>
    <t xml:space="preserve">Thành tích học sinh xuất sắc</t>
  </si>
  <si>
    <t xml:space="preserve">THPT quality</t>
  </si>
  <si>
    <t xml:space="preserve">Generic THPT - Grade 10</t>
  </si>
  <si>
    <t xml:space="preserve">tuyển sinh lớp 10 hcm</t>
  </si>
  <si>
    <t xml:space="preserve">980</t>
  </si>
  <si>
    <t xml:space="preserve">Tuyển Sinh Lớp 10 HCM - Việt Anh</t>
  </si>
  <si>
    <t xml:space="preserve">Chuẩn Bị Kỳ Thi - Chương Trình SAT</t>
  </si>
  <si>
    <t xml:space="preserve">Đăng Ký Ngay</t>
  </si>
  <si>
    <t xml:space="preserve">THPT Việt Anh tuyển sinh lớp 10. Chuẩn bị kỳ thi chuẩn hóa quốc tế.</t>
  </si>
  <si>
    <t xml:space="preserve">Lộ trình chuẩn bị ĐH</t>
  </si>
  <si>
    <t xml:space="preserve">Grade 10 enrollment</t>
  </si>
  <si>
    <t xml:space="preserve">Competitor - Comparison</t>
  </si>
  <si>
    <t xml:space="preserve">so sánh trường tư thục</t>
  </si>
  <si>
    <t xml:space="preserve">15000</t>
  </si>
  <si>
    <t xml:space="preserve">So Sánh Trường Tư Thục HCM</t>
  </si>
  <si>
    <t xml:space="preserve">Chọn Trường Phù Hợp Cho Con</t>
  </si>
  <si>
    <t xml:space="preserve">Tư Vấn So Sánh Chi Tiết</t>
  </si>
  <si>
    <t xml:space="preserve">Compare Việt Anh với các trường khác: chất lượng, học phí, môi trường, kết quả học sinh.</t>
  </si>
  <si>
    <t xml:space="preserve">Tài liệu so sánh chi tiết</t>
  </si>
  <si>
    <t xml:space="preserve">Competitive comparison</t>
  </si>
  <si>
    <t xml:space="preserve">Competitor - Best School</t>
  </si>
  <si>
    <t xml:space="preserve">trường tư thục nào tốt</t>
  </si>
  <si>
    <t xml:space="preserve">14500</t>
  </si>
  <si>
    <t xml:space="preserve">1400</t>
  </si>
  <si>
    <t xml:space="preserve">Trường Tư Thục Nào Tốt Nhất?</t>
  </si>
  <si>
    <t xml:space="preserve">So Sánh Chất Lượng - Chọn Lựa Tốt</t>
  </si>
  <si>
    <t xml:space="preserve">Tìm Trường Phù Hợp Ngay</t>
  </si>
  <si>
    <t xml:space="preserve">Việt Anh nằm trong top trường tư thục uy tín HCM. Xem đánh giá chi tiết từ phụ huynh.</t>
  </si>
  <si>
    <t xml:space="preserve">Danh sách trường so sánh</t>
  </si>
  <si>
    <t xml:space="preserve">School quality comparison</t>
  </si>
  <si>
    <t xml:space="preserve">Remarketing - MN Visitors</t>
  </si>
  <si>
    <t xml:space="preserve">MN page visitors (audience)</t>
  </si>
  <si>
    <t xml:space="preserve">Display network</t>
  </si>
  <si>
    <t xml:space="preserve">8000</t>
  </si>
  <si>
    <t xml:space="preserve">Bạn quan tâm Mầm Non Việt Anh?</t>
  </si>
  <si>
    <t xml:space="preserve">Tham Tour Hôm Nay</t>
  </si>
  <si>
    <t xml:space="preserve">Bạn đã xem trang mầm non. Quay lại để tham tour và hỏi chi tiết.</t>
  </si>
  <si>
    <t xml:space="preserve">Ưu đãi đặc biệt cho tham tour</t>
  </si>
  <si>
    <t xml:space="preserve">GDA remarketing MN</t>
  </si>
  <si>
    <t xml:space="preserve">Remarketing - TH Visitors</t>
  </si>
  <si>
    <t xml:space="preserve">TH page visitors (audience)</t>
  </si>
  <si>
    <t xml:space="preserve">8500</t>
  </si>
  <si>
    <t xml:space="preserve">Tiểu Học Việt Anh Chờ Con</t>
  </si>
  <si>
    <t xml:space="preserve">Chuẩn Bị Lớp 1 Với Chúng Tôi</t>
  </si>
  <si>
    <t xml:space="preserve">Quay lại với Tiểu Học Việt Anh - chuẩn bị lớp 1, chất lượng quốc tế.</t>
  </si>
  <si>
    <t xml:space="preserve">Tham tour + tư vấn miễn phí</t>
  </si>
  <si>
    <t xml:space="preserve">GDA remarketing TH</t>
  </si>
  <si>
    <t xml:space="preserve">YouTube Awareness - TrustBuild</t>
  </si>
  <si>
    <t xml:space="preserve">Parenting, Education, Parents 25-50</t>
  </si>
  <si>
    <t xml:space="preserve">YouTube network</t>
  </si>
  <si>
    <t xml:space="preserve">5000</t>
  </si>
  <si>
    <t xml:space="preserve">Trường Việt Anh - Giáo Dục Chất Lượng</t>
  </si>
  <si>
    <t xml:space="preserve">Cơ sở song ngữ tại HCM</t>
  </si>
  <si>
    <t xml:space="preserve">Tìm Hiểu Thêm</t>
  </si>
  <si>
    <t xml:space="preserve">Video tour trường, testimonial phụ huynh, chương trình học. Hơn 100 video chất lượng cao.</t>
  </si>
  <si>
    <t xml:space="preserve">Tư vấn miễn phí qua Zalo</t>
  </si>
  <si>
    <t xml:space="preserve">Phone, Call to action overlay</t>
  </si>
  <si>
    <t xml:space="preserve">YouTube brand building</t>
  </si>
  <si>
    <t xml:space="preserve">YouTube Conversions - MN</t>
  </si>
  <si>
    <t xml:space="preserve">Cart abandoners + website visitors</t>
  </si>
  <si>
    <t xml:space="preserve">6000</t>
  </si>
  <si>
    <t xml:space="preserve">Mầm Non Việt Anh - Hôm Nay?</t>
  </si>
  <si>
    <t xml:space="preserve">Chỉ Còn 3 Chỗ Trống</t>
  </si>
  <si>
    <t xml:space="preserve">Đặt Lịch Tham Tour</t>
  </si>
  <si>
    <t xml:space="preserve">Bạn quan tâm mầm non. Hãy lấy lịch tham quan ngay hôm nay.</t>
  </si>
  <si>
    <t xml:space="preserve">Hotline tư vấn: xxx-xxx-xxx</t>
  </si>
  <si>
    <t xml:space="preserve">forms.truongvietanh.com/tuyen-sinh-mam-non/dat-lich</t>
  </si>
  <si>
    <t xml:space="preserve">Phone, Call extension</t>
  </si>
  <si>
    <t xml:space="preserve">YouTube bottom funnel MN</t>
  </si>
  <si>
    <t xml:space="preserve">Brand - Vietnamization</t>
  </si>
  <si>
    <t xml:space="preserve">việtanhschool</t>
  </si>
  <si>
    <t xml:space="preserve">Việtanhschool - International School</t>
  </si>
  <si>
    <t xml:space="preserve">Preschool to Highschool</t>
  </si>
  <si>
    <t xml:space="preserve">Explore Programs</t>
  </si>
  <si>
    <t xml:space="preserve">International education in HCM with bilingual programs, STEM, and university preparation.</t>
  </si>
  <si>
    <t xml:space="preserve">Schedule a campus tour</t>
  </si>
  <si>
    <t xml:space="preserve">Phone</t>
  </si>
  <si>
    <t xml:space="preserve">Brand domain variation</t>
  </si>
  <si>
    <t xml:space="preserve">Generic MN - Alternative</t>
  </si>
  <si>
    <t xml:space="preserve">trường mầm non có tốt không</t>
  </si>
  <si>
    <t xml:space="preserve">620</t>
  </si>
  <si>
    <t xml:space="preserve">Lựa Chọn Trường Mầm Non Tốt</t>
  </si>
  <si>
    <t xml:space="preserve">Tiêu Chí Chọn Trường Tốt</t>
  </si>
  <si>
    <t xml:space="preserve">Hướng dẫn cách chọn trường mầm non chất lượng. So sánh Việt Anh với các trường khác.</t>
  </si>
  <si>
    <t xml:space="preserve">Danh sách tiêu chí chi tiết</t>
  </si>
  <si>
    <t xml:space="preserve">Quality comparison MN</t>
  </si>
  <si>
    <t xml:space="preserve">Generic MN - Curriculum</t>
  </si>
  <si>
    <t xml:space="preserve">chương trình mầm non montessori</t>
  </si>
  <si>
    <t xml:space="preserve">12000</t>
  </si>
  <si>
    <t xml:space="preserve">540</t>
  </si>
  <si>
    <t xml:space="preserve">Chương Trình Mầm Non - Phương Pháp Hiện Đại</t>
  </si>
  <si>
    <t xml:space="preserve">Montessori - Steiner - Học Vui</t>
  </si>
  <si>
    <t xml:space="preserve">Xem Chương Trình Việt Anh</t>
  </si>
  <si>
    <t xml:space="preserve">Mầm non Việt Anh áp dụng phương pháp giáo dục hiện đại, an toàn, khuyến khích khám phá.</t>
  </si>
  <si>
    <t xml:space="preserve">Chi tiết phương pháp dạy học</t>
  </si>
  <si>
    <t xml:space="preserve">forms.truongvietanh.com/tuyen-sinh-mam-non/chuong-trinh</t>
  </si>
  <si>
    <t xml:space="preserve">Curriculum focus MN</t>
  </si>
  <si>
    <t xml:space="preserve">Generic MN - New Branch</t>
  </si>
  <si>
    <t xml:space="preserve">trường mầm non gò vấp mở rộng</t>
  </si>
  <si>
    <t xml:space="preserve">11000</t>
  </si>
  <si>
    <t xml:space="preserve">320</t>
  </si>
  <si>
    <t xml:space="preserve">Chi Nhánh Mầm Non Gò Vấp Mới</t>
  </si>
  <si>
    <t xml:space="preserve">Hệ Sơi Động - Khoảng Không Gian Xanh</t>
  </si>
  <si>
    <t xml:space="preserve">Tìm Hiểu Chi Nhánh</t>
  </si>
  <si>
    <t xml:space="preserve">Việt Anh mở rộng cơ sở mầm non, gần hơn với phụ huynh Gò Vấp, Tây Thạnh.</t>
  </si>
  <si>
    <t xml:space="preserve">Địa chỉ và liên hệ chi nhánh</t>
  </si>
  <si>
    <t xml:space="preserve">forms.truongvietanh.com/tuyen-sinh-mam-non/chi-nhanh-he-soi-dong</t>
  </si>
  <si>
    <t xml:space="preserve">Branch expansion MN</t>
  </si>
  <si>
    <t xml:space="preserve">Generic TH - Advanced</t>
  </si>
  <si>
    <t xml:space="preserve">trường tiểu học quốc tế tốt nhất hcm</t>
  </si>
  <si>
    <t xml:space="preserve">420</t>
  </si>
  <si>
    <t xml:space="preserve">Tiểu Học Quốc Tế Hàng Đầu HCM</t>
  </si>
  <si>
    <t xml:space="preserve">Chương Trình STEM - Giáo Dục Toàn Diện</t>
  </si>
  <si>
    <t xml:space="preserve">Tham Tour Ngay</t>
  </si>
  <si>
    <t xml:space="preserve">Tiểu học Việt Anh: STEM giáo dục, ngoại ngữ mạnh, kỹ năng thế kỷ 21.</t>
  </si>
  <si>
    <t xml:space="preserve">Kết quả học sinh xuất sắc</t>
  </si>
  <si>
    <t xml:space="preserve">Premium TH positioning</t>
  </si>
  <si>
    <t xml:space="preserve">Generic TH - After School</t>
  </si>
  <si>
    <t xml:space="preserve">lớp học thêm tiểu học hcm</t>
  </si>
  <si>
    <t xml:space="preserve">9000</t>
  </si>
  <si>
    <t xml:space="preserve">Lớp Học Thêm Tiểu Học Chất Lượng</t>
  </si>
  <si>
    <t xml:space="preserve">Hỗ Trợ Học Tập - Phát Triển Toàn Diện</t>
  </si>
  <si>
    <t xml:space="preserve">Tư Vấn Chi Tiết</t>
  </si>
  <si>
    <t xml:space="preserve">Tiểu Học Việt Anh có lớp học thêm chuyên đề, hỗ trợ học sinh toàn diện.</t>
  </si>
  <si>
    <t xml:space="preserve">Lịch học thêm và giáo viên</t>
  </si>
  <si>
    <t xml:space="preserve">Supplementary classes TH</t>
  </si>
  <si>
    <t xml:space="preserve">Generic THCS - Entrance</t>
  </si>
  <si>
    <t xml:space="preserve">tuyển sinh lớp 6 chuyên hcm</t>
  </si>
  <si>
    <t xml:space="preserve">680</t>
  </si>
  <si>
    <t xml:space="preserve">Tuyển Sinh Lớp 6 Chuyên - THCS Việt Anh</t>
  </si>
  <si>
    <t xml:space="preserve">Lớp Chuyên - Chuẩn Bị Thi</t>
  </si>
  <si>
    <t xml:space="preserve">Đăng Ký Tư Vấn</t>
  </si>
  <si>
    <t xml:space="preserve">THCS Việt Anh: lớp chuyên toán, tiếng anh, chuẩn bị kỳ thi lớp 6.</t>
  </si>
  <si>
    <t xml:space="preserve">Yêu cầu tuyển sinh lớp chuyên</t>
  </si>
  <si>
    <t xml:space="preserve">Specialized class THCS</t>
  </si>
  <si>
    <t xml:space="preserve">Generic THCS - Enrichment</t>
  </si>
  <si>
    <t xml:space="preserve">câu lạc bộ, hoạt động ngoại khoá thcs</t>
  </si>
  <si>
    <t xml:space="preserve">450</t>
  </si>
  <si>
    <t xml:space="preserve">Hoạt Động Ngoại Khoá THCS</t>
  </si>
  <si>
    <t xml:space="preserve">Phát Triển Toàn Diện - Kỹ Năng Mềm</t>
  </si>
  <si>
    <t xml:space="preserve">Xem Các Hoạt Động</t>
  </si>
  <si>
    <t xml:space="preserve">THCS Việt Anh: câu lạc bộ, thể thao, quốc phòng, học tiếp. Phát triển kỹ năng sống.</t>
  </si>
  <si>
    <t xml:space="preserve">Danh sách hoạt động chi tiết</t>
  </si>
  <si>
    <t xml:space="preserve">Extracurricular THCS</t>
  </si>
  <si>
    <t xml:space="preserve">Generic THPT - SAT Prep</t>
  </si>
  <si>
    <t xml:space="preserve">luyện thi sat hcm</t>
  </si>
  <si>
    <t xml:space="preserve">520</t>
  </si>
  <si>
    <t xml:space="preserve">Luyện Thi SAT - THPT Việt Anh</t>
  </si>
  <si>
    <t xml:space="preserve">Chuẩn Bị SAT - Kỳ Vọng 1500+</t>
  </si>
  <si>
    <t xml:space="preserve">THPT Việt Anh: khóa luyện SAT chuyên môn, giáo viên quốc tế, kết quả cao.</t>
  </si>
  <si>
    <t xml:space="preserve">Lộ trình luyện SAT chi tiết</t>
  </si>
  <si>
    <t xml:space="preserve">SAT preparation THPT</t>
  </si>
  <si>
    <t xml:space="preserve">Generic THPT - IELTS</t>
  </si>
  <si>
    <t xml:space="preserve">luyện thi ielts hcm</t>
  </si>
  <si>
    <t xml:space="preserve">16500</t>
  </si>
  <si>
    <t xml:space="preserve">Luyện Thi IELTS - THPT Việt Anh</t>
  </si>
  <si>
    <t xml:space="preserve">Chuẩn Bị IELTS - Mục Tiêu 7.0+</t>
  </si>
  <si>
    <t xml:space="preserve">THPT Việt Anh: khóa IELTS, giáo viên bản xứ, chuẩn bị kỳ thi hiệu quả.</t>
  </si>
  <si>
    <t xml:space="preserve">Lớp IELTS và thời gian khai giảng</t>
  </si>
  <si>
    <t xml:space="preserve">IELTS preparation THPT</t>
  </si>
  <si>
    <t xml:space="preserve">Generic THPT - University Prep</t>
  </si>
  <si>
    <t xml:space="preserve">chuẩn bị hồ sơ đại học quốc tế</t>
  </si>
  <si>
    <t xml:space="preserve">380</t>
  </si>
  <si>
    <t xml:space="preserve">Chuẩn Bị Hồ Sơ Đại Học - THPT Việt Anh</t>
  </si>
  <si>
    <t xml:space="preserve">Hỗ Trợ Từ THPT - Vào ĐH Hàng Đầu</t>
  </si>
  <si>
    <t xml:space="preserve">Việt Anh hỗ trợ học sinh chuẩn bị hồ sơ, viết essay, lựa chọn ngành đại học.</t>
  </si>
  <si>
    <t xml:space="preserve">Tuyến đại học của cựu học sinh</t>
  </si>
  <si>
    <t xml:space="preserve">University application support</t>
  </si>
  <si>
    <t xml:space="preserve">Remarketing - LeadGenerated</t>
  </si>
  <si>
    <t xml:space="preserve">Form completers (audience)</t>
  </si>
  <si>
    <t xml:space="preserve">10000</t>
  </si>
  <si>
    <t xml:space="preserve">Bạn đã Liên Hệ Việt Anh?</t>
  </si>
  <si>
    <t xml:space="preserve">Tham Tour Cơ Sở Ngay</t>
  </si>
  <si>
    <t xml:space="preserve">Đặt Lịch Hôm Nay</t>
  </si>
  <si>
    <t xml:space="preserve">Bạn đã gửi form liên hệ. Hãy tham tour cơ sở để quyết định tốt nhất cho con.</t>
  </si>
  <si>
    <t xml:space="preserve">GDA retarget leads</t>
  </si>
  <si>
    <t xml:space="preserve">Remarketing - CartAbandoners</t>
  </si>
  <si>
    <t xml:space="preserve">Tour bookers w/o tour attended</t>
  </si>
  <si>
    <t xml:space="preserve">9500</t>
  </si>
  <si>
    <t xml:space="preserve">Bạn Đã Đặt Lịch, Hãy Đến!</t>
  </si>
  <si>
    <t xml:space="preserve">Tour Cơ Sở Chờ Bạn</t>
  </si>
  <si>
    <t xml:space="preserve">Xác Nhận Lịch Tham Tour</t>
  </si>
  <si>
    <t xml:space="preserve">Bạn đã đặt lịch tham tour Việt Anh. Xác nhận lịch hoặc thay đổi ngày giờ.</t>
  </si>
  <si>
    <t xml:space="preserve">Hotline: xxxx-xxxx</t>
  </si>
  <si>
    <t xml:space="preserve">GDA tour reminder</t>
  </si>
  <si>
    <t xml:space="preserve">YouTube - Education Tips</t>
  </si>
  <si>
    <t xml:space="preserve">Parents with education interest</t>
  </si>
  <si>
    <t xml:space="preserve">5500</t>
  </si>
  <si>
    <t xml:space="preserve">Mẹo Giáo Dục Con - Chuyên Gia Việt Anh</t>
  </si>
  <si>
    <t xml:space="preserve">Tips Từ Thầy Cô Tâm Huyết</t>
  </si>
  <si>
    <t xml:space="preserve">Xem Thêm Video</t>
  </si>
  <si>
    <t xml:space="preserve">Series video giáo dục: tâm lý con, kỹ năng sống, chuẩn bị học (mầm non đến THPT).</t>
  </si>
  <si>
    <t xml:space="preserve">Kênh YouTube Việt Anh</t>
  </si>
  <si>
    <t xml:space="preserve">Phone, Subscribe</t>
  </si>
  <si>
    <t xml:space="preserve">YouTube educational content</t>
  </si>
  <si>
    <t xml:space="preserve">YouTube - Campus Tour Series</t>
  </si>
  <si>
    <t xml:space="preserve">Parents exploring schools</t>
  </si>
  <si>
    <t xml:space="preserve">5800</t>
  </si>
  <si>
    <t xml:space="preserve">Chuyến Tham Tour Ảo - Việt Anh</t>
  </si>
  <si>
    <t xml:space="preserve">Virtual Campus Tour Video</t>
  </si>
  <si>
    <t xml:space="preserve">Tham Tour Thực Tế</t>
  </si>
  <si>
    <t xml:space="preserve">Xem chi tiết các khu học tập, sân chơi, bếp ăn, thư viện qua video tham tour.</t>
  </si>
  <si>
    <t xml:space="preserve">Đặt lịch tham tour thực tế</t>
  </si>
  <si>
    <t xml:space="preserve">Phone, Call to action</t>
  </si>
  <si>
    <t xml:space="preserve">YouTube virtual tour</t>
  </si>
  <si>
    <t xml:space="preserve">KẾ HOẠCH META ADS – CẤU TRÚC + AUDIENCE + CREATIVE + PIXEL + GHL</t>
  </si>
  <si>
    <t xml:space="preserve">A. CẤU TRÚC TÀI KHOẢN META ADS (BỎ PHÚ NHUẬN)</t>
  </si>
  <si>
    <t xml:space="preserve">Objective</t>
  </si>
  <si>
    <t xml:space="preserve">Audience</t>
  </si>
  <si>
    <t xml:space="preserve">Creative</t>
  </si>
  <si>
    <t xml:space="preserve">Budget/tháng</t>
  </si>
  <si>
    <t xml:space="preserve">GHL Pipeline</t>
  </si>
  <si>
    <t xml:space="preserve">GTM/Pixel Events</t>
  </si>
  <si>
    <t xml:space="preserve">MN_GV_LeadGen</t>
  </si>
  <si>
    <t xml:space="preserve">Lead Generation</t>
  </si>
  <si>
    <t xml:space="preserve">Geo 5km MN GV | Age 25-40 | Interest Parenting | Lookalike 1-3%</t>
  </si>
  <si>
    <t xml:space="preserve">Video testi PH 15-30s + Carousel campus + Lead form</t>
  </si>
  <si>
    <t xml:space="preserve">Pipeline MN</t>
  </si>
  <si>
    <t xml:space="preserve">Lead, ViewContent, CompleteRegistration</t>
  </si>
  <si>
    <t xml:space="preserve">MN_Tinh_LeadGen</t>
  </si>
  <si>
    <t xml:space="preserve">Geo Cần Giuộc (Tây Ninh) + Rạch Giá (An Giang) | Age 25-40</t>
  </si>
  <si>
    <t xml:space="preserve">Video testi + Ảnh campus local + Lead form</t>
  </si>
  <si>
    <t xml:space="preserve">Lead, ViewContent</t>
  </si>
  <si>
    <t xml:space="preserve">TH_GV_LeadGen</t>
  </si>
  <si>
    <t xml:space="preserve">Geo 8km TH GV | Age 28-45 | Lookalike PH TH</t>
  </si>
  <si>
    <t xml:space="preserve">Video lớp học + Carousel chương trình + Messenger</t>
  </si>
  <si>
    <t xml:space="preserve">Pipeline TH</t>
  </si>
  <si>
    <t xml:space="preserve">TH_BT_LeadGen</t>
  </si>
  <si>
    <t xml:space="preserve">Geo 8km Bình Tân | Age 28-45</t>
  </si>
  <si>
    <t xml:space="preserve">Video + Lead form</t>
  </si>
  <si>
    <t xml:space="preserve">Lead</t>
  </si>
  <si>
    <t xml:space="preserve">TH_Tinh_LeadGen</t>
  </si>
  <si>
    <t xml:space="preserve">Geo Thái Sơn + Mekong Xanh</t>
  </si>
  <si>
    <t xml:space="preserve">Video local + Lead form</t>
  </si>
  <si>
    <t xml:space="preserve">THCS_GV_Conv</t>
  </si>
  <si>
    <t xml:space="preserve">Conversions</t>
  </si>
  <si>
    <t xml:space="preserve">Geo TP.HCM | Age 30-50 | Custom: Web 30d</t>
  </si>
  <si>
    <t xml:space="preserve">Video HS+GV + Testi 60s + Webinar ads</t>
  </si>
  <si>
    <t xml:space="preserve">Pipeline THCS</t>
  </si>
  <si>
    <t xml:space="preserve">Lead, WebinarReg, ViewContent</t>
  </si>
  <si>
    <t xml:space="preserve">THPT_GV_Conv</t>
  </si>
  <si>
    <t xml:space="preserve">Geo TP.HCM + miền Nam | Age 35-55 | Lookalike PH THPT</t>
  </si>
  <si>
    <t xml:space="preserve">Video đầu ra + Học bổng + Testi</t>
  </si>
  <si>
    <t xml:space="preserve">Pipeline THPT</t>
  </si>
  <si>
    <t xml:space="preserve">Lead, ScholarshipClick</t>
  </si>
  <si>
    <t xml:space="preserve">Remarketing_All</t>
  </si>
  <si>
    <t xml:space="preserve">PageView 7-30d | Exclude enrolled | Dynamic by cấp</t>
  </si>
  <si>
    <t xml:space="preserve">Carousel campus + ưu đãi + Countdown</t>
  </si>
  <si>
    <t xml:space="preserve">Dynamic</t>
  </si>
  <si>
    <t xml:space="preserve">Retarget tag</t>
  </si>
  <si>
    <t xml:space="preserve">Purchase, Lead</t>
  </si>
  <si>
    <t xml:space="preserve">B. PIXEL + CAPI + GTM SETUP</t>
  </si>
  <si>
    <t xml:space="preserve">Cài Meta Pixel qua GTM</t>
  </si>
  <si>
    <t xml:space="preserve">Tạo tag Meta Pixel Base Code trong GTM → fire on All Pages</t>
  </si>
  <si>
    <t xml:space="preserve">GTM + Meta</t>
  </si>
  <si>
    <t xml:space="preserve">Tạo Custom Events trong GTM</t>
  </si>
  <si>
    <t xml:space="preserve">form_submit, click_call, click_zalo, webinar_register, scholarship_click</t>
  </si>
  <si>
    <t xml:space="preserve">GTM</t>
  </si>
  <si>
    <t xml:space="preserve">Cài Conversion API (CAPI)</t>
  </si>
  <si>
    <t xml:space="preserve">Server-side tracking qua GHL webhook → Meta CAPI endpoint</t>
  </si>
  <si>
    <t xml:space="preserve">GHL + Meta</t>
  </si>
  <si>
    <t xml:space="preserve">Tạo Custom Conversions</t>
  </si>
  <si>
    <t xml:space="preserve">4 events: Form MN, Form TH, Form THCS/THPT, Tour Scheduled</t>
  </si>
  <si>
    <t xml:space="preserve">Meta Events Manager</t>
  </si>
  <si>
    <t xml:space="preserve">Verify domain</t>
  </si>
  <si>
    <t xml:space="preserve">Xác minh domain truongvietanh.com trong Business Manager</t>
  </si>
  <si>
    <t xml:space="preserve">Meta Business Suite</t>
  </si>
  <si>
    <t xml:space="preserve">Tạo Audience Library</t>
  </si>
  <si>
    <t xml:space="preserve">8 saved audiences (4 cấp × 2 geo) + Lookalike 1%/3%/5% + Custom 7d/14d/30d/60d</t>
  </si>
  <si>
    <t xml:space="preserve">Meta Ads Manager</t>
  </si>
  <si>
    <t xml:space="preserve">Sync GHL → Meta</t>
  </si>
  <si>
    <t xml:space="preserve">Upload enrolled parents list → Exclusion | Monthly refresh</t>
  </si>
  <si>
    <t xml:space="preserve">Setup Birch cho Meta</t>
  </si>
  <si>
    <t xml:space="preserve">Kết nối Meta Ads → Birch | Tạo rules CPL, budget pacing</t>
  </si>
  <si>
    <t xml:space="preserve">Ngày 3</t>
  </si>
  <si>
    <t xml:space="preserve">C. CREATIVE RESOURCE PLAN – PHÂN BỔ ẢNH/VIDEO CHO META ADS</t>
  </si>
  <si>
    <t xml:space="preserve">Loại Creative</t>
  </si>
  <si>
    <t xml:space="preserve">Format</t>
  </si>
  <si>
    <t xml:space="preserve">Nguồn ảnh/video</t>
  </si>
  <si>
    <t xml:space="preserve">Refresh cycle</t>
  </si>
  <si>
    <t xml:space="preserve">A/B Test</t>
  </si>
  <si>
    <t xml:space="preserve">Video testimonial PH</t>
  </si>
  <si>
    <t xml:space="preserve">9:16 Reel 15-30s</t>
  </si>
  <si>
    <t xml:space="preserve">PH chia sẻ: "Con tôi vui khi đến trường"</t>
  </si>
  <si>
    <t xml:space="preserve">Quay tại campus, PH thật</t>
  </si>
  <si>
    <t xml:space="preserve">3 tuần</t>
  </si>
  <si>
    <t xml:space="preserve">Test 3 PH khác nhau</t>
  </si>
  <si>
    <t xml:space="preserve">Hook 3s quan trọng nhất</t>
  </si>
  <si>
    <t xml:space="preserve">Carousel campus</t>
  </si>
  <si>
    <t xml:space="preserve">1:1 1080x1080</t>
  </si>
  <si>
    <t xml:space="preserve">6 slides: Sân chơi, Phòng học, Bếp ăn, Camera, GV, Hoạt động</t>
  </si>
  <si>
    <t xml:space="preserve">Chụp tại campus GV</t>
  </si>
  <si>
    <t xml:space="preserve">Test order slides</t>
  </si>
  <si>
    <t xml:space="preserve">Ảnh thật, không stock</t>
  </si>
  <si>
    <t xml:space="preserve">Lead Form ad</t>
  </si>
  <si>
    <t xml:space="preserve">Image + text: "Đăng ký tour MN Việt Anh" | Form prefill</t>
  </si>
  <si>
    <t xml:space="preserve">Thiết kế Canva</t>
  </si>
  <si>
    <t xml:space="preserve">2 tuần</t>
  </si>
  <si>
    <t xml:space="preserve">Test benefit vs offer</t>
  </si>
  <si>
    <t xml:space="preserve">Form ngắn: Tên+SĐT+Cấp</t>
  </si>
  <si>
    <t xml:space="preserve">Video "Nền tảng lớp 1"</t>
  </si>
  <si>
    <t xml:space="preserve">9:16 Reel 30-60s</t>
  </si>
  <si>
    <t xml:space="preserve">Lớp học thực tế, HS đọc TA, GV tương tác</t>
  </si>
  <si>
    <t xml:space="preserve">Quay tại TH GV</t>
  </si>
  <si>
    <t xml:space="preserve">Test 30s vs 60s</t>
  </si>
  <si>
    <t xml:space="preserve">Show HS thật đang học</t>
  </si>
  <si>
    <t xml:space="preserve">Carousel chương trình</t>
  </si>
  <si>
    <t xml:space="preserve">6 slides: Chương trình, TA, STEM, Ngoại khóa, Sĩ số, Tour</t>
  </si>
  <si>
    <t xml:space="preserve">Chụp + thiết kế</t>
  </si>
  <si>
    <t xml:space="preserve">Test headline</t>
  </si>
  <si>
    <t xml:space="preserve">Infographic style</t>
  </si>
  <si>
    <t xml:space="preserve">Image + text local</t>
  </si>
  <si>
    <t xml:space="preserve">Ảnh campus BT + text "Trường tư song ngữ Bình Tân"</t>
  </si>
  <si>
    <t xml:space="preserve">Chụp tại campus BT</t>
  </si>
  <si>
    <t xml:space="preserve">Test 3 images</t>
  </si>
  <si>
    <t xml:space="preserve">Local feel quan trọng</t>
  </si>
  <si>
    <t xml:space="preserve">THCS_GV_LeadGen</t>
  </si>
  <si>
    <t xml:space="preserve">Video testi HS + GV</t>
  </si>
  <si>
    <t xml:space="preserve">HS THCS chia sẻ + GV chủ nhiệm nói về lộ trình</t>
  </si>
  <si>
    <t xml:space="preserve">Quay tại THCS GV</t>
  </si>
  <si>
    <t xml:space="preserve">Test HS vs GV focus</t>
  </si>
  <si>
    <t xml:space="preserve">Emotional storytelling</t>
  </si>
  <si>
    <t xml:space="preserve">THCS_GV_Webinar</t>
  </si>
  <si>
    <t xml:space="preserve">Video invite webinar</t>
  </si>
  <si>
    <t xml:space="preserve">9:16 Reel 15s</t>
  </si>
  <si>
    <t xml:space="preserve">Teaser: "Hội thảo chuyển cấp 5→6 – Miễn phí"</t>
  </si>
  <si>
    <t xml:space="preserve">Thiết kế motion</t>
  </si>
  <si>
    <t xml:space="preserve">Test countdown vs benefit</t>
  </si>
  <si>
    <t xml:space="preserve">Urgency + value</t>
  </si>
  <si>
    <t xml:space="preserve">THPT_GV_LeadGen</t>
  </si>
  <si>
    <t xml:space="preserve">Video "Lộ trình THPT"</t>
  </si>
  <si>
    <t xml:space="preserve">Alumni ĐH chia sẻ + BGH nói về đầu ra</t>
  </si>
  <si>
    <t xml:space="preserve">Quay tại THPT + ĐH</t>
  </si>
  <si>
    <t xml:space="preserve">Test alumni vs BGH</t>
  </si>
  <si>
    <t xml:space="preserve">Data-driven: % ĐH top</t>
  </si>
  <si>
    <t xml:space="preserve">THPT_HocBong</t>
  </si>
  <si>
    <t xml:space="preserve">Image học bổng</t>
  </si>
  <si>
    <t xml:space="preserve">"Học bổng lên đến 100% – Deadline [ngày]" | Bold design</t>
  </si>
  <si>
    <t xml:space="preserve">Thiết kế Canva/AI</t>
  </si>
  <si>
    <t xml:space="preserve">Test % vs giá trị tiền</t>
  </si>
  <si>
    <t xml:space="preserve">Deadline rõ ràng</t>
  </si>
  <si>
    <t xml:space="preserve">Retarget_7d_Hot</t>
  </si>
  <si>
    <t xml:space="preserve">Dynamic creative</t>
  </si>
  <si>
    <t xml:space="preserve">1:1 multi-format</t>
  </si>
  <si>
    <t xml:space="preserve">Testimonial + ưu đãi + countdown + campus</t>
  </si>
  <si>
    <t xml:space="preserve">Mix từ kho</t>
  </si>
  <si>
    <t xml:space="preserve">Auto by Meta</t>
  </si>
  <si>
    <t xml:space="preserve">DCO cho remarketing</t>
  </si>
  <si>
    <t xml:space="preserve">Brand_Awareness</t>
  </si>
  <si>
    <t xml:space="preserve">Brand video 15s</t>
  </si>
  <si>
    <t xml:space="preserve">16:9 + 9:16</t>
  </si>
  <si>
    <t xml:space="preserve">Montage: 8 campus, HS vui, USP overlay, logo end</t>
  </si>
  <si>
    <t xml:space="preserve">Quay + edit pro</t>
  </si>
  <si>
    <t xml:space="preserve">Test 15s vs 30s</t>
  </si>
  <si>
    <t xml:space="preserve">CPM optimize</t>
  </si>
  <si>
    <t xml:space="preserve">D. DAILY OPERATIONS – META ADS HÀNG NGÀY</t>
  </si>
  <si>
    <t xml:space="preserve">Check delivery &amp; spend</t>
  </si>
  <si>
    <t xml:space="preserve">Ads Manager → Campaign overview → Check pacing 24h</t>
  </si>
  <si>
    <t xml:space="preserve">Meta Ads Manager / Birch</t>
  </si>
  <si>
    <t xml:space="preserve">Spend vs daily target ±10%</t>
  </si>
  <si>
    <t xml:space="preserve">Overspend → lower budget | Underspend → check ad set</t>
  </si>
  <si>
    <t xml:space="preserve">Check CPL by campaign</t>
  </si>
  <si>
    <t xml:space="preserve">Filter last 3 days → Sort by CPL → Identify top/bottom</t>
  </si>
  <si>
    <t xml:space="preserve">CPL &lt; target kênh</t>
  </si>
  <si>
    <t xml:space="preserve">CPL &gt; 150% target → pause ad set → review creative</t>
  </si>
  <si>
    <t xml:space="preserve">Check ad set learning phase</t>
  </si>
  <si>
    <t xml:space="preserve">Review ad sets: Learning, Active, Learning Limited</t>
  </si>
  <si>
    <t xml:space="preserve">50 conversions / 7 ngày</t>
  </si>
  <si>
    <t xml:space="preserve">Learning Limited → consolidate ad sets hoặc tăng budget</t>
  </si>
  <si>
    <t xml:space="preserve">Review ad rejections</t>
  </si>
  <si>
    <t xml:space="preserve">Check ad review status → Fix rejected ads</t>
  </si>
  <si>
    <t xml:space="preserve">No rejected ads</t>
  </si>
  <si>
    <t xml:space="preserve">Edit ad → resubmit → nếu lặp lại → contact support</t>
  </si>
  <si>
    <t xml:space="preserve">9:00</t>
  </si>
  <si>
    <t xml:space="preserve">Check Frequency &amp; CTR</t>
  </si>
  <si>
    <t xml:space="preserve">Campaign level → Frequency col + CTR</t>
  </si>
  <si>
    <t xml:space="preserve">Freq &lt; 3, CTR &gt; 1%</t>
  </si>
  <si>
    <t xml:space="preserve">Freq &gt; 3 → refresh creative | CTR &lt; 0.8% → new copy/image</t>
  </si>
  <si>
    <t xml:space="preserve">Audience overlap check</t>
  </si>
  <si>
    <t xml:space="preserve">Meta → Audience overlap tool → Check cross-campaign</t>
  </si>
  <si>
    <t xml:space="preserve">Meta Audience Tool</t>
  </si>
  <si>
    <t xml:space="preserve">Overlap &lt; 30%</t>
  </si>
  <si>
    <t xml:space="preserve">&gt; 30% → exclude hoặc merge audiences</t>
  </si>
  <si>
    <t xml:space="preserve">Scale decision (daily)</t>
  </si>
  <si>
    <t xml:space="preserve">Top 3 ad sets by CPL + quality → increase 15-20%</t>
  </si>
  <si>
    <t xml:space="preserve">CPL &lt; target + Q.Rate &gt; 45%</t>
  </si>
  <si>
    <t xml:space="preserve">Scale immediately, monitor 24h</t>
  </si>
  <si>
    <t xml:space="preserve">Log daily metrics</t>
  </si>
  <si>
    <t xml:space="preserve">Ghi spend, leads, CPL, CTR vào KPI tracker</t>
  </si>
  <si>
    <t xml:space="preserve">Excel/Sheets</t>
  </si>
  <si>
    <t xml:space="preserve">E. AUDIENCE LIBRARY – DANH SÁCH AUDIENCE CHI TIẾT</t>
  </si>
  <si>
    <t xml:space="preserve">Audience Name</t>
  </si>
  <si>
    <t xml:space="preserve">Type</t>
  </si>
  <si>
    <t xml:space="preserve">Targeting chi tiết</t>
  </si>
  <si>
    <t xml:space="preserve">Size est.</t>
  </si>
  <si>
    <t xml:space="preserve">Dùng cho Campaign</t>
  </si>
  <si>
    <t xml:space="preserve">Prospecting_MN_GV</t>
  </si>
  <si>
    <t xml:space="preserve">Saved</t>
  </si>
  <si>
    <t xml:space="preserve">Geo: Gò Vấp 5km | Age 25-40 | Female | Interest: Parenting, Preschool, Child development</t>
  </si>
  <si>
    <t xml:space="preserve">200K-400K</t>
  </si>
  <si>
    <t xml:space="preserve">Core audience MN</t>
  </si>
  <si>
    <t xml:space="preserve">Prospecting_TH_GV</t>
  </si>
  <si>
    <t xml:space="preserve">Geo: Gò Vấp 8km | Age 28-45 | Parents | Interest: Education, Primary school</t>
  </si>
  <si>
    <t xml:space="preserve">300K-500K</t>
  </si>
  <si>
    <t xml:space="preserve">Core audience TH</t>
  </si>
  <si>
    <t xml:space="preserve">Prospecting_TH_BT</t>
  </si>
  <si>
    <t xml:space="preserve">Geo: Bình Tân 8km | Age 28-45 | Parents</t>
  </si>
  <si>
    <t xml:space="preserve">250K-400K</t>
  </si>
  <si>
    <t xml:space="preserve">Bình Tân local</t>
  </si>
  <si>
    <t xml:space="preserve">Prospecting_THCS</t>
  </si>
  <si>
    <t xml:space="preserve">Geo: TP.HCM | Age 32-48 | Interest: Secondary education, Exam prep</t>
  </si>
  <si>
    <t xml:space="preserve">500K-800K</t>
  </si>
  <si>
    <t xml:space="preserve">Broader for THCS</t>
  </si>
  <si>
    <t xml:space="preserve">Prospecting_THPT</t>
  </si>
  <si>
    <t xml:space="preserve">Geo: TP.HCM + miền Nam | Age 36-55 | Interest: High school, Scholarship, University</t>
  </si>
  <si>
    <t xml:space="preserve">600K-1M</t>
  </si>
  <si>
    <t xml:space="preserve">Broadest for THPT</t>
  </si>
  <si>
    <t xml:space="preserve">LAL_1%_Enrolled</t>
  </si>
  <si>
    <t xml:space="preserve">Lookalike</t>
  </si>
  <si>
    <t xml:space="preserve">Source: Enrolled parents list | 1% lookalike VN</t>
  </si>
  <si>
    <t xml:space="preserve">700K-1M</t>
  </si>
  <si>
    <t xml:space="preserve">All Lead Gen</t>
  </si>
  <si>
    <t xml:space="preserve">Best quality LAL</t>
  </si>
  <si>
    <t xml:space="preserve">LAL_3%_Leads</t>
  </si>
  <si>
    <t xml:space="preserve">Source: All qualified leads | 3% lookalike VN</t>
  </si>
  <si>
    <t xml:space="preserve">2M-3M</t>
  </si>
  <si>
    <t xml:space="preserve">Scale campaigns</t>
  </si>
  <si>
    <t xml:space="preserve">Volume LAL</t>
  </si>
  <si>
    <t xml:space="preserve">Custom_Web_7d</t>
  </si>
  <si>
    <t xml:space="preserve">Custom</t>
  </si>
  <si>
    <t xml:space="preserve">Website visitors last 7 days | All pages</t>
  </si>
  <si>
    <t xml:space="preserve">5K-20K</t>
  </si>
  <si>
    <t xml:space="preserve">Hottest remarketing</t>
  </si>
  <si>
    <t xml:space="preserve">Custom_Web_30d</t>
  </si>
  <si>
    <t xml:space="preserve">Website visitors last 30 days</t>
  </si>
  <si>
    <t xml:space="preserve">20K-50K</t>
  </si>
  <si>
    <t xml:space="preserve">Retarget_21d_Warm</t>
  </si>
  <si>
    <t xml:space="preserve">Warm remarketing</t>
  </si>
  <si>
    <t xml:space="preserve">Custom_Fee_Page</t>
  </si>
  <si>
    <t xml:space="preserve">Visitors to /hoc-phi pages | Last 14 days</t>
  </si>
  <si>
    <t xml:space="preserve">2K-8K</t>
  </si>
  <si>
    <t xml:space="preserve">Highest intent</t>
  </si>
  <si>
    <t xml:space="preserve">Custom_Video_50</t>
  </si>
  <si>
    <t xml:space="preserve">Video viewers 50%+ | Last 30 days</t>
  </si>
  <si>
    <t xml:space="preserve">10K-30K</t>
  </si>
  <si>
    <t xml:space="preserve">Engaged viewers</t>
  </si>
  <si>
    <t xml:space="preserve">Exclusion_Enrolled</t>
  </si>
  <si>
    <t xml:space="preserve">Upload enrolled parents list</t>
  </si>
  <si>
    <t xml:space="preserve">1K-5K</t>
  </si>
  <si>
    <t xml:space="preserve">ALL campaigns</t>
  </si>
  <si>
    <t xml:space="preserve">MUST exclude always</t>
  </si>
  <si>
    <t xml:space="preserve">CHI TIẾT CREATIVE QUẢNG CÁO (Detailed Ad Creative Specs)</t>
  </si>
  <si>
    <t xml:space="preserve">Tên Ad</t>
  </si>
  <si>
    <t xml:space="preserve">Tiêu Đề (25 ký tự)</t>
  </si>
  <si>
    <t xml:space="preserve">Văn Bản Chính (125 ký tự)</t>
  </si>
  <si>
    <t xml:space="preserve">Mô Tả</t>
  </si>
  <si>
    <t xml:space="preserve">Kích Thước Hình</t>
  </si>
  <si>
    <t xml:space="preserve">Đối Tượng</t>
  </si>
  <si>
    <t xml:space="preserve">Vị Trí</t>
  </si>
  <si>
    <t xml:space="preserve">Variant</t>
  </si>
  <si>
    <t xml:space="preserve">CTR % Kỳ Vọng</t>
  </si>
  <si>
    <t xml:space="preserve">Budget/Ngày (VND)</t>
  </si>
  <si>
    <t xml:space="preserve">MN_Carousel_01</t>
  </si>
  <si>
    <t xml:space="preserve">Q1: MN Awareness</t>
  </si>
  <si>
    <t xml:space="preserve">Carousel</t>
  </si>
  <si>
    <t xml:space="preserve">Mầm Non Chất Lượng</t>
  </si>
  <si>
    <t xml:space="preserve">Khám phá mầm non tuyệt vời với giáo viên chuyên nghiệp, môi trường an toàn và chương trình song ngữ.</t>
  </si>
  <si>
    <t xml:space="preserve">Học tập vui vẻ, phát triển toàn diện</t>
  </si>
  <si>
    <t xml:space="preserve">Xem Chi Tiết</t>
  </si>
  <si>
    <t xml:space="preserve">1200x628px</t>
  </si>
  <si>
    <t xml:space="preserve">P: 25-45 tuổi, con 3-5</t>
  </si>
  <si>
    <t xml:space="preserve">Feed, Stories</t>
  </si>
  <si>
    <t xml:space="preserve">A (Hero)</t>
  </si>
  <si>
    <t xml:space="preserve">MN_Video_01</t>
  </si>
  <si>
    <t xml:space="preserve">Ngày Hạnh Phúc Tại MN</t>
  </si>
  <si>
    <t xml:space="preserve">Video 30s giới thiệu hoạt động mầm non: chơi, học, vui cùng bạn. Kết thúc: "Ghi danh ngay!"</t>
  </si>
  <si>
    <t xml:space="preserve">30s video, 1920x1080</t>
  </si>
  <si>
    <t xml:space="preserve">Ghi Danh Ngay</t>
  </si>
  <si>
    <t xml:space="preserve">1920x1080px</t>
  </si>
  <si>
    <t xml:space="preserve">Feed, Reels</t>
  </si>
  <si>
    <t xml:space="preserve">https://khoaviet.edu.vn/mn-video</t>
  </si>
  <si>
    <t xml:space="preserve">TH_Image_01</t>
  </si>
  <si>
    <t xml:space="preserve">Image</t>
  </si>
  <si>
    <t xml:space="preserve">Tiểu Học Tuyệt Vời</t>
  </si>
  <si>
    <t xml:space="preserve">Con bạn sẽ học với giáo viên giỏi, có cơ sở vật chất hiện đại, chương trình quốc tế. Ghi danh lớp 1 2026!</t>
  </si>
  <si>
    <t xml:space="preserve">Chương trình đa năng, cơ sở hiện đại</t>
  </si>
  <si>
    <t xml:space="preserve">P: 30-50 tuổi, con 6-8</t>
  </si>
  <si>
    <t xml:space="preserve">https://khoaviet.edu.vn/th-lop1</t>
  </si>
  <si>
    <t xml:space="preserve">B (Social Proof)</t>
  </si>
  <si>
    <t xml:space="preserve">TH_Carousel_01</t>
  </si>
  <si>
    <t xml:space="preserve">Lớp 1 Năm 2026</t>
  </si>
  <si>
    <t xml:space="preserve">Slides: (1) Con nhà bạn học gì? (2) Cơ sở vật chất (3) Giáo viên tuyệt vời (4) Học bổng</t>
  </si>
  <si>
    <t xml:space="preserve">Tuyển sinh lớp 1 2026 - Open Day 20/4</t>
  </si>
  <si>
    <t xml:space="preserve">Dự Open Day</t>
  </si>
  <si>
    <t xml:space="preserve">P: 30-50, con 6-8</t>
  </si>
  <si>
    <t xml:space="preserve">THCS_Image_01</t>
  </si>
  <si>
    <t xml:space="preserve">Cấp 1 Chất Lượng Cao</t>
  </si>
  <si>
    <t xml:space="preserve">Lớp 7 2026: Chương trình hiện đại, có học sinh giỏi, cơ sở phòng thí nghiệm đầy đủ.</t>
  </si>
  <si>
    <t xml:space="preserve">Chương trình chuẩn quốc tế, giáo viên chuyên</t>
  </si>
  <si>
    <t xml:space="preserve">P: 35-55, con 10-12</t>
  </si>
  <si>
    <t xml:space="preserve">THCS_Video_01</t>
  </si>
  <si>
    <t xml:space="preserve">THCS Xứng Đáng</t>
  </si>
  <si>
    <t xml:space="preserve">30s video: học sinh làm thí nghiệm, thảo luận, dự hội thi. "Con yêu trường từ ngày đầu"</t>
  </si>
  <si>
    <t xml:space="preserve">Video testimonial học sinh, 30s</t>
  </si>
  <si>
    <t xml:space="preserve">Xem Video</t>
  </si>
  <si>
    <t xml:space="preserve">https://khoaviet.edu.vn/thcs-video</t>
  </si>
  <si>
    <t xml:space="preserve">THPT_Carousel_01</t>
  </si>
  <si>
    <t xml:space="preserve">Lớp 10 2026 Tuyệt Vời</t>
  </si>
  <si>
    <t xml:space="preserve">Slides: (1) Lớp 10 là bước ngoặt (2) Giáo viên đầu ngành (3) Học bổng &amp; hỗ trợ (4) Cơ sở xịn</t>
  </si>
  <si>
    <t xml:space="preserve">Lớp 10 2026 - Ghi danh ngay!</t>
  </si>
  <si>
    <t xml:space="preserve">Ghi Danh</t>
  </si>
  <si>
    <t xml:space="preserve">P: 40-60, con 14-16</t>
  </si>
  <si>
    <t xml:space="preserve">https://khoaviet.edu.vn/lop10</t>
  </si>
  <si>
    <t xml:space="preserve">THPT_Video_01</t>
  </si>
  <si>
    <t xml:space="preserve">Lớp 10 Xứng Đáng Chọn</t>
  </si>
  <si>
    <t xml:space="preserve">30s: học sinh nói về học tập, bạn bè, giáo viên. "Quyết định tốt nhất của tôi"</t>
  </si>
  <si>
    <t xml:space="preserve">Testimonial video cử nhân, 30s</t>
  </si>
  <si>
    <t xml:space="preserve">Liên Hệ</t>
  </si>
  <si>
    <t xml:space="preserve">https://khoaviet.edu.vn/thpt-video</t>
  </si>
  <si>
    <t xml:space="preserve">OpenDay_Carousel_01</t>
  </si>
  <si>
    <t xml:space="preserve">Mở Cửa Ngày 20/4</t>
  </si>
  <si>
    <t xml:space="preserve">Slides: (1) Lớp mầm non (2) Lớp tiểu học (3) Lớp THCS (4) Lớp THPT + Đặt vé</t>
  </si>
  <si>
    <t xml:space="preserve">Open Day 20/4 - Miễn phí vé - Có quà tặng</t>
  </si>
  <si>
    <t xml:space="preserve">Đặt Vé Ngay</t>
  </si>
  <si>
    <t xml:space="preserve">All: 25-60</t>
  </si>
  <si>
    <t xml:space="preserve">Scholarship_Image_01</t>
  </si>
  <si>
    <t xml:space="preserve">Học Bổng Đến 20 Triệu</t>
  </si>
  <si>
    <t xml:space="preserve">Năm 2026, Trường Việt Anh cấp học bổng cho 50 học sinh xuất sắc. Bạn có tư cách không?</t>
  </si>
  <si>
    <t xml:space="preserve">Học bổng, hỗ trợ tài chính</t>
  </si>
  <si>
    <t xml:space="preserve">Xem Điều Kiện</t>
  </si>
  <si>
    <t xml:space="preserve">P: 35-60, con &gt;6</t>
  </si>
  <si>
    <t xml:space="preserve">Feed</t>
  </si>
  <si>
    <t xml:space="preserve">Teachers_Image_01</t>
  </si>
  <si>
    <t xml:space="preserve">Đội Ngũ Giáo Viên Tuyệt Vời</t>
  </si>
  <si>
    <t xml:space="preserve">Hơn 80 giáo viên có trình độ cao, kinh nghiệm 10+ năm. Hết lòng vì con em.</t>
  </si>
  <si>
    <t xml:space="preserve">Giáo viên giỏi, yêu thương, trách nhiệm</t>
  </si>
  <si>
    <t xml:space="preserve">Facilities_Carousel_01</t>
  </si>
  <si>
    <t xml:space="preserve">Cơ Sở Vật Chất Hiện Đại</t>
  </si>
  <si>
    <t xml:space="preserve">Slides: (1) Phòng học xịn (2) Sân chơi an toàn (3) Phòng máy tính (4) Thư viện</t>
  </si>
  <si>
    <t xml:space="preserve">6 cơ sở, 100% an toàn, hiện đại</t>
  </si>
  <si>
    <t xml:space="preserve">Xem Tour</t>
  </si>
  <si>
    <t xml:space="preserve">Bilingual_Image_01</t>
  </si>
  <si>
    <t xml:space="preserve">Chương Trình Song Ngữ Anh-Việt</t>
  </si>
  <si>
    <t xml:space="preserve">Học tiếng Anh tự nhiên, từ lớp mầm non. Native speakers, phương pháp hiện đại.</t>
  </si>
  <si>
    <t xml:space="preserve">Song ngữ, tiếng Anh chuẩn quốc tế</t>
  </si>
  <si>
    <t xml:space="preserve">Tư Vấn Ngay</t>
  </si>
  <si>
    <t xml:space="preserve">P: 25-55, con &gt;3</t>
  </si>
  <si>
    <t xml:space="preserve">Activities_Video_01</t>
  </si>
  <si>
    <t xml:space="preserve">Hoạt Động Ngoại Khóa Phong Phú</t>
  </si>
  <si>
    <t xml:space="preserve">15s: học sinh chơi thể thao, nghệ thuật, sáng tạo. "Vui vẻ + Phát triển"</t>
  </si>
  <si>
    <t xml:space="preserve">Video hoạt động, 15s ngắn</t>
  </si>
  <si>
    <t xml:space="preserve">Xem Thêm</t>
  </si>
  <si>
    <t xml:space="preserve">Reels, Stories</t>
  </si>
  <si>
    <t xml:space="preserve">Safety_Image_01</t>
  </si>
  <si>
    <t xml:space="preserve">100% An Toàn Cho Bé</t>
  </si>
  <si>
    <t xml:space="preserve">Camera 24/7, bảo vệ chuyên nghiệp, hệ thống cảnh báo tự động. Bố mẹ yên tâm.</t>
  </si>
  <si>
    <t xml:space="preserve">An toàn, bảo mật, chăm sóc</t>
  </si>
  <si>
    <t xml:space="preserve">All: 25-50</t>
  </si>
  <si>
    <t xml:space="preserve">Testimonial_Video_01</t>
  </si>
  <si>
    <t xml:space="preserve">Phụ Huynh Nói Gì?</t>
  </si>
  <si>
    <t xml:space="preserve">30s testimonial: 2-3 phụ huynh chia sẻ cảm nhận. "Con tôi tiến bộ vô cùng"</t>
  </si>
  <si>
    <t xml:space="preserve">Video chứng thực, 30s</t>
  </si>
  <si>
    <t xml:space="preserve">Xem Đầy Đủ</t>
  </si>
  <si>
    <t xml:space="preserve">https://khoaviet.edu.vn/testimonials</t>
  </si>
  <si>
    <t xml:space="preserve">Tuition_Image_01</t>
  </si>
  <si>
    <t xml:space="preserve">Học Phí Hợp Lý + Nhiều Gói Hỗ Trợ</t>
  </si>
  <si>
    <t xml:space="preserve">Trường Việt Anh: Học phí từ 2-5 triệu/tháng, linh hoạt, có gói bán phần thời gian.</t>
  </si>
  <si>
    <t xml:space="preserve">Giá cạnh tranh, hỗ trợ tài chính</t>
  </si>
  <si>
    <t xml:space="preserve">Xem Chi Phí</t>
  </si>
  <si>
    <t xml:space="preserve">P: 30-60</t>
  </si>
  <si>
    <t xml:space="preserve">Hybrid_Learning_Image_01</t>
  </si>
  <si>
    <t xml:space="preserve">Học Tập Linh Hoạt: Online + Offline</t>
  </si>
  <si>
    <t xml:space="preserve">Nếu con bệnh hay cần linh hoạt, có thể học online. Khi đến trường, học offline bình thường.</t>
  </si>
  <si>
    <t xml:space="preserve">Mô hình hybrid, linh hoạt, an toàn</t>
  </si>
  <si>
    <t xml:space="preserve">Tư Vấn</t>
  </si>
  <si>
    <t xml:space="preserve">Promo_Limited_01</t>
  </si>
  <si>
    <t xml:space="preserve">Ưu Đãi Sớm Ghi Danh T4</t>
  </si>
  <si>
    <t xml:space="preserve">Ghi danh từ 1-15/4: Giảm 10% học phí tháng 4. Số lượng hạn chế!</t>
  </si>
  <si>
    <t xml:space="preserve">Khuyến mãi sớm ghi danh, hạn chế</t>
  </si>
  <si>
    <t xml:space="preserve">https://khoaviet.edu.vn/promo</t>
  </si>
  <si>
    <t xml:space="preserve">B. CAMPAIGNS THEO PHỄU — CHI TIẾT TỪNG AD SET + AD</t>
  </si>
  <si>
    <t xml:space="preserve">Ad Set Name</t>
  </si>
  <si>
    <t xml:space="preserve">Audience (Include)</t>
  </si>
  <si>
    <t xml:space="preserve">Audience (Exclude)</t>
  </si>
  <si>
    <t xml:space="preserve">Age</t>
  </si>
  <si>
    <t xml:space="preserve">Location</t>
  </si>
  <si>
    <t xml:space="preserve">Budget/day</t>
  </si>
  <si>
    <t xml:space="preserve">Ad Name</t>
  </si>
  <si>
    <t xml:space="preserve">Primary Text</t>
  </si>
  <si>
    <t xml:space="preserve">MN_Awareness_T4-T9_TopFunnel</t>
  </si>
  <si>
    <t xml:space="preserve">Brand Awareness</t>
  </si>
  <si>
    <t xml:space="preserve">LAL_Enrolled_1%</t>
  </si>
  <si>
    <t xml:space="preserve">LAL_Enrolled 1% | GV+BT+TS area</t>
  </si>
  <si>
    <t xml:space="preserve">FormSubmitted, Enrolled</t>
  </si>
  <si>
    <t xml:space="preserve">25-40</t>
  </si>
  <si>
    <t xml:space="preserve">HCM - District 1,3,7</t>
  </si>
  <si>
    <t xml:space="preserve">200000</t>
  </si>
  <si>
    <t xml:space="preserve">MN_Carousel_5Reasons</t>
  </si>
  <si>
    <t xml:space="preserve">5 lý do chọn Việt Anh</t>
  </si>
  <si>
    <t xml:space="preserve">Lợi ích tối ưu cho con em. Môi trường song ngữ, tự do sáng tạo, cơ sở vật chất hiện đại.</t>
  </si>
  <si>
    <t xml:space="preserve">Tìm hiểu thêm</t>
  </si>
  <si>
    <t xml:space="preserve">ViewContent</t>
  </si>
  <si>
    <t xml:space="preserve">Top funnel carousel</t>
  </si>
  <si>
    <t xml:space="preserve">MN_Video_TourSchool</t>
  </si>
  <si>
    <t xml:space="preserve">Ngôi trường nào cho con?</t>
  </si>
  <si>
    <t xml:space="preserve">Chuyến tham quan Việt Anh - nơi con yêu thích</t>
  </si>
  <si>
    <t xml:space="preserve">Đăng ký tư vấn</t>
  </si>
  <si>
    <t xml:space="preserve">30s video hook</t>
  </si>
  <si>
    <t xml:space="preserve">MN_Reels_BTS</t>
  </si>
  <si>
    <t xml:space="preserve">Reels</t>
  </si>
  <si>
    <t xml:space="preserve">Behind the scenes Mầm Non</t>
  </si>
  <si>
    <t xml:space="preserve">Ngày hôm nay ở Việt Anh...</t>
  </si>
  <si>
    <t xml:space="preserve">Xem thêm</t>
  </si>
  <si>
    <t xml:space="preserve">15s trending music</t>
  </si>
  <si>
    <t xml:space="preserve">Interest_Parents_25-40</t>
  </si>
  <si>
    <t xml:space="preserve">Parents with 2-5yo kids | Parenting interest</t>
  </si>
  <si>
    <t xml:space="preserve">HCM</t>
  </si>
  <si>
    <t xml:space="preserve">150000</t>
  </si>
  <si>
    <t xml:space="preserve">MN_Carousel_Campus</t>
  </si>
  <si>
    <t xml:space="preserve">Cơ sở vật chất tuyệt vời</t>
  </si>
  <si>
    <t xml:space="preserve">Tham tour và trải nghiệm</t>
  </si>
  <si>
    <t xml:space="preserve">Interest targeting</t>
  </si>
  <si>
    <t xml:space="preserve">MN_Video_Curriculum</t>
  </si>
  <si>
    <t xml:space="preserve">Chương trình học Mầm Non</t>
  </si>
  <si>
    <t xml:space="preserve">Tương tác, chơi, học - cân bằng hoàn hảo</t>
  </si>
  <si>
    <t xml:space="preserve">30s curriculum overview</t>
  </si>
  <si>
    <t xml:space="preserve">MN_Reels_Activities</t>
  </si>
  <si>
    <t xml:space="preserve">Hoạt động tại lớp</t>
  </si>
  <si>
    <t xml:space="preserve">Trẻ vui vẻ, tự tin</t>
  </si>
  <si>
    <t xml:space="preserve">15s activities</t>
  </si>
  <si>
    <t xml:space="preserve">Custom_MN_PageVisitors_Exclude_FormComplete</t>
  </si>
  <si>
    <t xml:space="preserve">Website visitors MN pages</t>
  </si>
  <si>
    <t xml:space="preserve">FormSubmitted</t>
  </si>
  <si>
    <t xml:space="preserve">100000</t>
  </si>
  <si>
    <t xml:space="preserve">MN_Testimonial_PH</t>
  </si>
  <si>
    <t xml:space="preserve">Phụ huynh nói gì?</t>
  </si>
  <si>
    <t xml:space="preserve">Nghe từ bố mẹ như mình...</t>
  </si>
  <si>
    <t xml:space="preserve">Xem lời khen</t>
  </si>
  <si>
    <t xml:space="preserve">forms.truongvietanh.com/tuyen-sinh-mam-non/phu-huynh-noi-gi</t>
  </si>
  <si>
    <t xml:space="preserve">ViewContent, Lead</t>
  </si>
  <si>
    <t xml:space="preserve">Retargeting to testimonial</t>
  </si>
  <si>
    <t xml:space="preserve">MN_Carousel_Testimonials</t>
  </si>
  <si>
    <t xml:space="preserve">Niềm tin từ phụ huynh</t>
  </si>
  <si>
    <t xml:space="preserve">5 câu chuyện thành công</t>
  </si>
  <si>
    <t xml:space="preserve">Testimonial carousel</t>
  </si>
  <si>
    <t xml:space="preserve">MN_LeadGen_T4-T9_MidFunnel</t>
  </si>
  <si>
    <t xml:space="preserve">MN_Testimonial_Viewers_Exclude_FormComplete</t>
  </si>
  <si>
    <t xml:space="preserve">Viewed testimonial pages</t>
  </si>
  <si>
    <t xml:space="preserve">120000</t>
  </si>
  <si>
    <t xml:space="preserve">MN_Program_Details</t>
  </si>
  <si>
    <t xml:space="preserve">Chương trình chi tiết</t>
  </si>
  <si>
    <t xml:space="preserve">Từ Trang 3 sang Trang 4</t>
  </si>
  <si>
    <t xml:space="preserve">Xem chương trình</t>
  </si>
  <si>
    <t xml:space="preserve">Mid-funnel promotion</t>
  </si>
  <si>
    <t xml:space="preserve">MN_Program_Viewers_Exclude_FormComplete</t>
  </si>
  <si>
    <t xml:space="preserve">Viewed program page</t>
  </si>
  <si>
    <t xml:space="preserve">MN_Tuition_Info</t>
  </si>
  <si>
    <t xml:space="preserve">Học phí minh bạch</t>
  </si>
  <si>
    <t xml:space="preserve">Không bất ngờ về chi phí</t>
  </si>
  <si>
    <t xml:space="preserve">Xem học phí</t>
  </si>
  <si>
    <t xml:space="preserve">Tuition page promotion</t>
  </si>
  <si>
    <t xml:space="preserve">MN_Tuition_Viewers_Exclude_FormComplete</t>
  </si>
  <si>
    <t xml:space="preserve">Viewed tuition page</t>
  </si>
  <si>
    <t xml:space="preserve">MN_CTA_FormVariantB</t>
  </si>
  <si>
    <t xml:space="preserve">Hạn chế chỗ, Đăng ký ngay</t>
  </si>
  <si>
    <t xml:space="preserve">Chỉ còn 3 chỗ trống tháng này</t>
  </si>
  <si>
    <t xml:space="preserve">Đăng ký ngay</t>
  </si>
  <si>
    <t xml:space="preserve">forms.truongvietanh.com/tuyen-sinh-mam-non/form-variant-b</t>
  </si>
  <si>
    <t xml:space="preserve">Lead, CompleteRegistration</t>
  </si>
  <si>
    <t xml:space="preserve">Urgency variant</t>
  </si>
  <si>
    <t xml:space="preserve">MN_Conversion_T4-T9_BottomFunnel</t>
  </si>
  <si>
    <t xml:space="preserve">MN_FormComplete_Exclude_TourBooked</t>
  </si>
  <si>
    <t xml:space="preserve">Form completed (lead)</t>
  </si>
  <si>
    <t xml:space="preserve">TourBooked, Enrolled</t>
  </si>
  <si>
    <t xml:space="preserve">MN_TourBooking_Push</t>
  </si>
  <si>
    <t xml:space="preserve">Đặt lịch tham quan</t>
  </si>
  <si>
    <t xml:space="preserve">Hôm nay hay tuần tới?</t>
  </si>
  <si>
    <t xml:space="preserve">Đặt lịch ngay</t>
  </si>
  <si>
    <t xml:space="preserve">forms.truongvietanh.com/tuyen-sinh-mam-non/dat-lich-tham-quan</t>
  </si>
  <si>
    <t xml:space="preserve">Bottom funnel - tour push</t>
  </si>
  <si>
    <t xml:space="preserve">MN_TourAttended_Exclude_Enrolled</t>
  </si>
  <si>
    <t xml:space="preserve">Tour attendees</t>
  </si>
  <si>
    <t xml:space="preserve">Enrolled</t>
  </si>
  <si>
    <t xml:space="preserve">MN_Enrollment_Final</t>
  </si>
  <si>
    <t xml:space="preserve">Hoàn tất đăng ký</t>
  </si>
  <si>
    <t xml:space="preserve">Bé đã thích Việt Anh, bây giờ đăng ký</t>
  </si>
  <si>
    <t xml:space="preserve">forms.truongvietanh.com/tuyen-sinh-mam-non/dang-ky-hoc</t>
  </si>
  <si>
    <t xml:space="preserve">CompleteRegistration, Purchase</t>
  </si>
  <si>
    <t xml:space="preserve">Final conversion push</t>
  </si>
  <si>
    <t xml:space="preserve">MN_OpenDay_T6</t>
  </si>
  <si>
    <t xml:space="preserve">Event Engagement</t>
  </si>
  <si>
    <t xml:space="preserve">Email_MN_Subscribers</t>
  </si>
  <si>
    <t xml:space="preserve">Email subscribers</t>
  </si>
  <si>
    <t xml:space="preserve">EventAttended, Enrolled</t>
  </si>
  <si>
    <t xml:space="preserve">MN_OpenDay_Announcement</t>
  </si>
  <si>
    <t xml:space="preserve">Open Day tháng 6</t>
  </si>
  <si>
    <t xml:space="preserve">Ghé thăm và gặp cô giáo</t>
  </si>
  <si>
    <t xml:space="preserve">Đăng ký dự</t>
  </si>
  <si>
    <t xml:space="preserve">forms.truongvietanh.com/tuyen-sinh-mam-non/open-day-t6</t>
  </si>
  <si>
    <t xml:space="preserve">Lead, AddToCalendar</t>
  </si>
  <si>
    <t xml:space="preserve">Event campaign</t>
  </si>
  <si>
    <t xml:space="preserve">MN_Webinar</t>
  </si>
  <si>
    <t xml:space="preserve">Parent_Network_MN</t>
  </si>
  <si>
    <t xml:space="preserve">Parent networks + lookalike</t>
  </si>
  <si>
    <t xml:space="preserve">WebinarAttended, Enrolled</t>
  </si>
  <si>
    <t xml:space="preserve">80000</t>
  </si>
  <si>
    <t xml:space="preserve">MN_Webinar_Promo</t>
  </si>
  <si>
    <t xml:space="preserve">Webinar: 5 tips cho con</t>
  </si>
  <si>
    <t xml:space="preserve">Học từ chuyên gia</t>
  </si>
  <si>
    <t xml:space="preserve">Đăng ký Webinar</t>
  </si>
  <si>
    <t xml:space="preserve">forms.truongvietanh.com/tuyen-sinh-mam-non/webinar-5-tips</t>
  </si>
  <si>
    <t xml:space="preserve">Educational content</t>
  </si>
  <si>
    <t xml:space="preserve">MN_Scholarship</t>
  </si>
  <si>
    <t xml:space="preserve">LAL_Enrolled_2-5%</t>
  </si>
  <si>
    <t xml:space="preserve">LAL 2-5% + high income geo</t>
  </si>
  <si>
    <t xml:space="preserve">30-50</t>
  </si>
  <si>
    <t xml:space="preserve">HCM - 1,3,7</t>
  </si>
  <si>
    <t xml:space="preserve">50000</t>
  </si>
  <si>
    <t xml:space="preserve">MN_Scholarship_Alert</t>
  </si>
  <si>
    <t xml:space="preserve">Học bổng Việt Anh</t>
  </si>
  <si>
    <t xml:space="preserve">Học bổng đạt chuẩn quốc tế</t>
  </si>
  <si>
    <t xml:space="preserve">forms.truongvietanh.com/tuyen-sinh-mam-non/hoc-bong</t>
  </si>
  <si>
    <t xml:space="preserve">Scholarship targeting</t>
  </si>
  <si>
    <t xml:space="preserve">MN_HeSoiDong_T6</t>
  </si>
  <si>
    <t xml:space="preserve">Interest_BranchExpansion</t>
  </si>
  <si>
    <t xml:space="preserve">New location interest + parent networks</t>
  </si>
  <si>
    <t xml:space="preserve">HCM + Tỉnh lân cận</t>
  </si>
  <si>
    <t xml:space="preserve">MN_NewBranch_Intro</t>
  </si>
  <si>
    <t xml:space="preserve">Chi nhánh Hệ Sơi Động</t>
  </si>
  <si>
    <t xml:space="preserve">Việt Anh mở rộng - gần bạn hơn</t>
  </si>
  <si>
    <t xml:space="preserve">Tìm hiểu chi nhánh</t>
  </si>
  <si>
    <t xml:space="preserve">Branch expansion</t>
  </si>
  <si>
    <t xml:space="preserve">TH_Awareness_T4-T9_TopFunnel</t>
  </si>
  <si>
    <t xml:space="preserve">LAL_Enrolled_1%_TH</t>
  </si>
  <si>
    <t xml:space="preserve">25-45</t>
  </si>
  <si>
    <t xml:space="preserve">250000</t>
  </si>
  <si>
    <t xml:space="preserve">TH_Carousel_Reasons</t>
  </si>
  <si>
    <t xml:space="preserve">5 lý do chuẩn bị Lớp 1</t>
  </si>
  <si>
    <t xml:space="preserve">Môi trường yên tĩnh, thầy cô tâm huyết</t>
  </si>
  <si>
    <t xml:space="preserve">TH awareness</t>
  </si>
  <si>
    <t xml:space="preserve">Interest_5yo_Parents</t>
  </si>
  <si>
    <t xml:space="preserve">Parents with 5-7yo | Education interest</t>
  </si>
  <si>
    <t xml:space="preserve">TH_Video_ClassRoom</t>
  </si>
  <si>
    <t xml:space="preserve">Lớp học hiện đại</t>
  </si>
  <si>
    <t xml:space="preserve">Thiết kế cho sự phát triển toàn diện</t>
  </si>
  <si>
    <t xml:space="preserve">Xem lớp học</t>
  </si>
  <si>
    <t xml:space="preserve">Modern classroom</t>
  </si>
  <si>
    <t xml:space="preserve">Custom_TH_PageVisitors</t>
  </si>
  <si>
    <t xml:space="preserve">Website TH visitors</t>
  </si>
  <si>
    <t xml:space="preserve">TH_Testimonial_Alumni</t>
  </si>
  <si>
    <t xml:space="preserve">Cựu học sinh nói gì?</t>
  </si>
  <si>
    <t xml:space="preserve">Những câu chuyện thành công từ TH</t>
  </si>
  <si>
    <t xml:space="preserve">forms.truongvietanh.com/tuyen-sinh-tieu-hoc/hoc-sinh-noi-gi</t>
  </si>
  <si>
    <t xml:space="preserve">Alumni testimonial</t>
  </si>
  <si>
    <t xml:space="preserve">TH_LeadGen_T4-T9_MidFunnel</t>
  </si>
  <si>
    <t xml:space="preserve">TH_TestimonialViewers</t>
  </si>
  <si>
    <t xml:space="preserve">Testimonial page viewers</t>
  </si>
  <si>
    <t xml:space="preserve">TH_Curriculum_Detail</t>
  </si>
  <si>
    <t xml:space="preserve">Chương trình giảng dạy TH</t>
  </si>
  <si>
    <t xml:space="preserve">STEM + Ngôn ngữ + Kỹ năng sống</t>
  </si>
  <si>
    <t xml:space="preserve">Xem chi tiết</t>
  </si>
  <si>
    <t xml:space="preserve">TH curriculum</t>
  </si>
  <si>
    <t xml:space="preserve">TH_Conversion_T4-T9_BottomFunnel</t>
  </si>
  <si>
    <t xml:space="preserve">TH_FormComplete_NoTour</t>
  </si>
  <si>
    <t xml:space="preserve">TH leads</t>
  </si>
  <si>
    <t xml:space="preserve">TourBooked</t>
  </si>
  <si>
    <t xml:space="preserve">180000</t>
  </si>
  <si>
    <t xml:space="preserve">TH_TourBooking</t>
  </si>
  <si>
    <t xml:space="preserve">Đặt lịch tham quan TH</t>
  </si>
  <si>
    <t xml:space="preserve">Thứ Bảy hoặc Chủ nhật?</t>
  </si>
  <si>
    <t xml:space="preserve">Đặt lịch</t>
  </si>
  <si>
    <t xml:space="preserve">forms.truongvietanh.com/tuyen-sinh-tieu-hoc/dat-lich</t>
  </si>
  <si>
    <t xml:space="preserve">TH tour booking</t>
  </si>
  <si>
    <t xml:space="preserve">THCS_Awareness_T3-T9_TopFunnel</t>
  </si>
  <si>
    <t xml:space="preserve">LAL_Enrolled_1%_THCS</t>
  </si>
  <si>
    <t xml:space="preserve">LAL 1% THCS | Parents of 11-12yo</t>
  </si>
  <si>
    <t xml:space="preserve">280000</t>
  </si>
  <si>
    <t xml:space="preserve">THCS_Carousel_Quality</t>
  </si>
  <si>
    <t xml:space="preserve">Trường THCS chất lượng</t>
  </si>
  <si>
    <t xml:space="preserve">Chuẩn bị tốt nhất cho kỳ thi Lớp 6</t>
  </si>
  <si>
    <t xml:space="preserve">THCS top funnel</t>
  </si>
  <si>
    <t xml:space="preserve">Interest_THCS_Parents</t>
  </si>
  <si>
    <t xml:space="preserve">Parents with 11-12yo | Education</t>
  </si>
  <si>
    <t xml:space="preserve">220000</t>
  </si>
  <si>
    <t xml:space="preserve">THCS_Video_Facilities</t>
  </si>
  <si>
    <t xml:space="preserve">Cơ sở THCS Việt Anh</t>
  </si>
  <si>
    <t xml:space="preserve">Phòng thí nghiệm, thư viện, phòng máy tính</t>
  </si>
  <si>
    <t xml:space="preserve">Xem video</t>
  </si>
  <si>
    <t xml:space="preserve">THCS facilities</t>
  </si>
  <si>
    <t xml:space="preserve">THPT_Awareness_T1-T4_TopFunnel</t>
  </si>
  <si>
    <t xml:space="preserve">LAL_Enrolled_1%_THPT</t>
  </si>
  <si>
    <t xml:space="preserve">LAL 1% THPT | Parents 14-16yo</t>
  </si>
  <si>
    <t xml:space="preserve">35-55</t>
  </si>
  <si>
    <t xml:space="preserve">300000</t>
  </si>
  <si>
    <t xml:space="preserve">THPT_Carousel_Success</t>
  </si>
  <si>
    <t xml:space="preserve">Đại học từ Việt Anh</t>
  </si>
  <si>
    <t xml:space="preserve">Tỷ lệ vào ĐH hàng đầu</t>
  </si>
  <si>
    <t xml:space="preserve">THPT top funnel</t>
  </si>
  <si>
    <t xml:space="preserve">Interest_THPT_Parents</t>
  </si>
  <si>
    <t xml:space="preserve">Parents with 14-16yo | Career planning</t>
  </si>
  <si>
    <t xml:space="preserve">THPT_Video_UnivPrep</t>
  </si>
  <si>
    <t xml:space="preserve">Chuẩn bị đại học</t>
  </si>
  <si>
    <t xml:space="preserve">SAT, IELTS, Chọn ngành từ THPT</t>
  </si>
  <si>
    <t xml:space="preserve">University prep focus</t>
  </si>
  <si>
    <t xml:space="preserve">TH_Video_SchoolCulture</t>
  </si>
  <si>
    <t xml:space="preserve">Văn hóa trường TH Việt Anh</t>
  </si>
  <si>
    <t xml:space="preserve">Nơi con yêu học và thích đi học</t>
  </si>
  <si>
    <t xml:space="preserve">School culture TH</t>
  </si>
  <si>
    <t xml:space="preserve">Interest_6yo_Education</t>
  </si>
  <si>
    <t xml:space="preserve">Parents 6-8yo | Education</t>
  </si>
  <si>
    <t xml:space="preserve">140000</t>
  </si>
  <si>
    <t xml:space="preserve">TH_Carousel_ActivitiesWeek</t>
  </si>
  <si>
    <t xml:space="preserve">Tuần học sôi động</t>
  </si>
  <si>
    <t xml:space="preserve">Từ tiếng anh, toán, khoa học đến thể dục</t>
  </si>
  <si>
    <t xml:space="preserve">Tham tour</t>
  </si>
  <si>
    <t xml:space="preserve">Weekly activities</t>
  </si>
  <si>
    <t xml:space="preserve">TH_ProgramViewers</t>
  </si>
  <si>
    <t xml:space="preserve">Program page viewers</t>
  </si>
  <si>
    <t xml:space="preserve">TH_Tuition_Comparison</t>
  </si>
  <si>
    <t xml:space="preserve">So sánh học phí TH</t>
  </si>
  <si>
    <t xml:space="preserve">Giá trị - Chất lượng - Minh bạch</t>
  </si>
  <si>
    <t xml:space="preserve">forms.truongvietanh.com/tuyen-sinh-tieu-hoc/hoc-phi</t>
  </si>
  <si>
    <t xml:space="preserve">TH tuition comparison</t>
  </si>
  <si>
    <t xml:space="preserve">TH_TuitionViewers_NoForm</t>
  </si>
  <si>
    <t xml:space="preserve">Tuition viewers w/o form</t>
  </si>
  <si>
    <t xml:space="preserve">130000</t>
  </si>
  <si>
    <t xml:space="preserve">TH_Enrollment_Push</t>
  </si>
  <si>
    <t xml:space="preserve">Chỉ còn 5 chỗ TH 2026</t>
  </si>
  <si>
    <t xml:space="preserve">Hạn chế tuyển sinh, ưu tiên đăng ký sớm</t>
  </si>
  <si>
    <t xml:space="preserve">forms.truongvietanh.com/tuyen-sinh-tieu-hoc/dang-ky-hoc</t>
  </si>
  <si>
    <t xml:space="preserve">Urgency TH</t>
  </si>
  <si>
    <t xml:space="preserve">TH_LeadComplete_NoTour</t>
  </si>
  <si>
    <t xml:space="preserve">TH leads (form completed)</t>
  </si>
  <si>
    <t xml:space="preserve">170000</t>
  </si>
  <si>
    <t xml:space="preserve">TH_TourReminder</t>
  </si>
  <si>
    <t xml:space="preserve">Đặt lịch tham tour TH</t>
  </si>
  <si>
    <t xml:space="preserve">Hôm nay hoặc tuần tới?</t>
  </si>
  <si>
    <t xml:space="preserve">forms.truongvietanh.com/tuyen-sinh-tieu-hoc/dat-lich-tham-quan</t>
  </si>
  <si>
    <t xml:space="preserve">TH tour reminder</t>
  </si>
  <si>
    <t xml:space="preserve">TH_PostTourNoEnroll</t>
  </si>
  <si>
    <t xml:space="preserve">160000</t>
  </si>
  <si>
    <t xml:space="preserve">TH_EnrollmentFinal</t>
  </si>
  <si>
    <t xml:space="preserve">Hoàn tất nhập học TH</t>
  </si>
  <si>
    <t xml:space="preserve">Con đã chọn Việt Anh, hôm nay hoàn tất</t>
  </si>
  <si>
    <t xml:space="preserve">Hoàn tất ngay</t>
  </si>
  <si>
    <t xml:space="preserve">Purchase</t>
  </si>
  <si>
    <t xml:space="preserve">TH final enrollment</t>
  </si>
  <si>
    <t xml:space="preserve">TH_Scholarship_HighAchievers</t>
  </si>
  <si>
    <t xml:space="preserve">LAL_Academic_Excellence</t>
  </si>
  <si>
    <t xml:space="preserve">LAL academics + high income</t>
  </si>
  <si>
    <t xml:space="preserve">28-50</t>
  </si>
  <si>
    <t xml:space="preserve">90000</t>
  </si>
  <si>
    <t xml:space="preserve">TH_Scholarship_Promo</t>
  </si>
  <si>
    <t xml:space="preserve">Học bổng Tiểu Học</t>
  </si>
  <si>
    <t xml:space="preserve">Hỗ trợ học sinh giỏi</t>
  </si>
  <si>
    <t xml:space="preserve">Tìm hiểu chi tiết</t>
  </si>
  <si>
    <t xml:space="preserve">forms.truongvietanh.com/tuyen-sinh-tieu-hoc/hoc-bong</t>
  </si>
  <si>
    <t xml:space="preserve">TH scholarships</t>
  </si>
  <si>
    <t xml:space="preserve">TH_OpenDay_T6</t>
  </si>
  <si>
    <t xml:space="preserve">Email_TH_Subscribers</t>
  </si>
  <si>
    <t xml:space="preserve">Email subscribers TH</t>
  </si>
  <si>
    <t xml:space="preserve">EventAttended</t>
  </si>
  <si>
    <t xml:space="preserve">TH_OpenDay_Announcement</t>
  </si>
  <si>
    <t xml:space="preserve">Open Day Tiểu Học T6</t>
  </si>
  <si>
    <t xml:space="preserve">Gặp gỡ thầy cô, tham tour cơ sở</t>
  </si>
  <si>
    <t xml:space="preserve">forms.truongvietanh.com/tuyen-sinh-tieu-hoc/open-day-t6</t>
  </si>
  <si>
    <t xml:space="preserve">TH event</t>
  </si>
  <si>
    <t xml:space="preserve">Parents 11-12yo | Exam prep</t>
  </si>
  <si>
    <t xml:space="preserve">THCS_Video_ExamSuccess</t>
  </si>
  <si>
    <t xml:space="preserve">Tỷ lệ lớp 6 của Việt Anh</t>
  </si>
  <si>
    <t xml:space="preserve">95% đỗ các trường top</t>
  </si>
  <si>
    <t xml:space="preserve">THCS exam success</t>
  </si>
  <si>
    <t xml:space="preserve">Custom_THCS_PageVisitors</t>
  </si>
  <si>
    <t xml:space="preserve">THCS website visitors</t>
  </si>
  <si>
    <t xml:space="preserve">THCS_Testimonial_Student</t>
  </si>
  <si>
    <t xml:space="preserve">Học sinh THCS nói gì?</t>
  </si>
  <si>
    <t xml:space="preserve">Từ trải nghiệm của các em</t>
  </si>
  <si>
    <t xml:space="preserve">forms.truongvietanh.com/tuyen-sinh-thcs/hoc-sinh-noi-gi</t>
  </si>
  <si>
    <t xml:space="preserve">Student testimonial</t>
  </si>
  <si>
    <t xml:space="preserve">THCS_LeadGen_T3-T9_MidFunnel</t>
  </si>
  <si>
    <t xml:space="preserve">THCS_TestiViewers</t>
  </si>
  <si>
    <t xml:space="preserve">Testimonial viewers THCS</t>
  </si>
  <si>
    <t xml:space="preserve">THCS_Program_Detail</t>
  </si>
  <si>
    <t xml:space="preserve">Chương trình THCS chi tiết</t>
  </si>
  <si>
    <t xml:space="preserve">STEM, tiếng anh, kỹ năng sống</t>
  </si>
  <si>
    <t xml:space="preserve">THCS curriculum</t>
  </si>
  <si>
    <t xml:space="preserve">THCS_TuitionViewers</t>
  </si>
  <si>
    <t xml:space="preserve">Tuition page THCS viewers</t>
  </si>
  <si>
    <t xml:space="preserve">THCS_TuitionDetail</t>
  </si>
  <si>
    <t xml:space="preserve">Học phí THCS 2026</t>
  </si>
  <si>
    <t xml:space="preserve">Cơ cấu chi phí rõ ràng</t>
  </si>
  <si>
    <t xml:space="preserve">THCS tuition detail</t>
  </si>
  <si>
    <t xml:space="preserve">THCS_Conversion_T3-T9_BottomFunnel</t>
  </si>
  <si>
    <t xml:space="preserve">THCS_FormComplete_NoTour</t>
  </si>
  <si>
    <t xml:space="preserve">THCS leads</t>
  </si>
  <si>
    <t xml:space="preserve">THCS_TourBooking_Promo</t>
  </si>
  <si>
    <t xml:space="preserve">Đặt lịch tham quan THCS</t>
  </si>
  <si>
    <t xml:space="preserve">Cơ sở đạt chuẩn quốc tế</t>
  </si>
  <si>
    <t xml:space="preserve">forms.truongvietanh.com/tuyen-sinh-thcs/dat-lich-tham-quan</t>
  </si>
  <si>
    <t xml:space="preserve">THCS tour booking</t>
  </si>
  <si>
    <t xml:space="preserve">THCS_TourAttended_NoEnroll</t>
  </si>
  <si>
    <t xml:space="preserve">THCS tour attendees</t>
  </si>
  <si>
    <t xml:space="preserve">THCS_EnrollmentFinal</t>
  </si>
  <si>
    <t xml:space="preserve">Hoàn tất nhập học THCS</t>
  </si>
  <si>
    <t xml:space="preserve">Bắt đầu con đường thành công</t>
  </si>
  <si>
    <t xml:space="preserve">forms.truongvietanh.com/tuyen-sinh-thcs/dang-ky-hoc</t>
  </si>
  <si>
    <t xml:space="preserve">THCS final enrollment</t>
  </si>
  <si>
    <t xml:space="preserve">THCS_ExamPrep_Intensive</t>
  </si>
  <si>
    <t xml:space="preserve">THCS_Parents_Exam_Focus</t>
  </si>
  <si>
    <t xml:space="preserve">Parents intense exam prep interest</t>
  </si>
  <si>
    <t xml:space="preserve">THCS_ExamCoaching</t>
  </si>
  <si>
    <t xml:space="preserve">Luyện thi lớp 6 chuyên</t>
  </si>
  <si>
    <t xml:space="preserve">Từ cơ bản đến nâng cao</t>
  </si>
  <si>
    <t xml:space="preserve">Tư vấn miễn phí</t>
  </si>
  <si>
    <t xml:space="preserve">Exam coaching THCS</t>
  </si>
  <si>
    <t xml:space="preserve">THCS_Webinar_ParentSupport</t>
  </si>
  <si>
    <t xml:space="preserve">Parents_THCS_Support_Seeking</t>
  </si>
  <si>
    <t xml:space="preserve">Parents looking for support</t>
  </si>
  <si>
    <t xml:space="preserve">THCS_Webinar_Tips</t>
  </si>
  <si>
    <t xml:space="preserve">Webinar: Hỗ trợ con thi lớp 6</t>
  </si>
  <si>
    <t xml:space="preserve">Kỹ năng quản lý, tâm lý thi cử</t>
  </si>
  <si>
    <t xml:space="preserve">forms.truongvietanh.com/tuyen-sinh-thcs/webinar-exam-tips</t>
  </si>
  <si>
    <t xml:space="preserve">Parent support webinar</t>
  </si>
  <si>
    <t xml:space="preserve">Parents 14-16yo | University prep</t>
  </si>
  <si>
    <t xml:space="preserve">THPT_Video_UnivSuccess</t>
  </si>
  <si>
    <t xml:space="preserve">Học sinh THPT vào ĐH nước ngoài</t>
  </si>
  <si>
    <t xml:space="preserve">Kỷ lục vào ĐH top thế giới</t>
  </si>
  <si>
    <t xml:space="preserve">Xem thành tích</t>
  </si>
  <si>
    <t xml:space="preserve">University success THPT</t>
  </si>
  <si>
    <t xml:space="preserve">Custom_THPT_PageVisitors</t>
  </si>
  <si>
    <t xml:space="preserve">THPT website visitors</t>
  </si>
  <si>
    <t xml:space="preserve">230000</t>
  </si>
  <si>
    <t xml:space="preserve">THPT_Testimonial_Alumni</t>
  </si>
  <si>
    <t xml:space="preserve">Cựu học sinh THPT ở nước ngoài</t>
  </si>
  <si>
    <t xml:space="preserve">Câu chuyện đại học của em</t>
  </si>
  <si>
    <t xml:space="preserve">forms.truongvietanh.com/tuyen-sinh-thpt/alumni-noi-gi</t>
  </si>
  <si>
    <t xml:space="preserve">Alumni THPT</t>
  </si>
  <si>
    <t xml:space="preserve">THPT_LeadGen_T1-T4_MidFunnel</t>
  </si>
  <si>
    <t xml:space="preserve">THPT_TestiViewers</t>
  </si>
  <si>
    <t xml:space="preserve">Alumni testimonial viewers</t>
  </si>
  <si>
    <t xml:space="preserve">THPT_SAT_Program</t>
  </si>
  <si>
    <t xml:space="preserve">Chương trình chuẩn bị SAT</t>
  </si>
  <si>
    <t xml:space="preserve">Lộ trình 3 năm chuẩn bị ĐH</t>
  </si>
  <si>
    <t xml:space="preserve">forms.truongvietanh.com/tuyen-sinh-thpt/chuong-trinh-sat</t>
  </si>
  <si>
    <t xml:space="preserve">SAT program THPT</t>
  </si>
  <si>
    <t xml:space="preserve">THPT_ProgramViewers</t>
  </si>
  <si>
    <t xml:space="preserve">Program viewers THPT</t>
  </si>
  <si>
    <t xml:space="preserve">THPT_IELTSProgram</t>
  </si>
  <si>
    <t xml:space="preserve">Chương trình IELTS tại THPT</t>
  </si>
  <si>
    <t xml:space="preserve">Kỳ vọng 7.0+ cho tất cả</t>
  </si>
  <si>
    <t xml:space="preserve">Tìm hiểu</t>
  </si>
  <si>
    <t xml:space="preserve">forms.truongvietanh.com/tuyen-sinh-thpt/chuong-trinh-ielts</t>
  </si>
  <si>
    <t xml:space="preserve">IELTS program THPT</t>
  </si>
  <si>
    <t xml:space="preserve">THPT_Conversion_T1-T4_BottomFunnel</t>
  </si>
  <si>
    <t xml:space="preserve">THPT_FormComplete</t>
  </si>
  <si>
    <t xml:space="preserve">THPT leads</t>
  </si>
  <si>
    <t xml:space="preserve">THPT_TourBooking</t>
  </si>
  <si>
    <t xml:space="preserve">Đặt lịch tham quan THPT</t>
  </si>
  <si>
    <t xml:space="preserve">Gặp Trưởng phòng tuyển sinh</t>
  </si>
  <si>
    <t xml:space="preserve">forms.truongvietanh.com/tuyen-sinh-thpt/dat-lich-tham-quan</t>
  </si>
  <si>
    <t xml:space="preserve">THPT tour booking</t>
  </si>
  <si>
    <t xml:space="preserve">THPT_TourAttended</t>
  </si>
  <si>
    <t xml:space="preserve">THPT tour attendees</t>
  </si>
  <si>
    <t xml:space="preserve">210000</t>
  </si>
  <si>
    <t xml:space="preserve">THPT_EnrollmentFinal</t>
  </si>
  <si>
    <t xml:space="preserve">Hoàn tất nhập học THPT</t>
  </si>
  <si>
    <t xml:space="preserve">Bắt đầu hành trình ĐH</t>
  </si>
  <si>
    <t xml:space="preserve">forms.truongvietanh.com/tuyen-sinh-thpt/dang-ky-hoc</t>
  </si>
  <si>
    <t xml:space="preserve">THPT final enrollment</t>
  </si>
  <si>
    <t xml:space="preserve">THPT_Scholarship_Excellent</t>
  </si>
  <si>
    <t xml:space="preserve">LAL_Academic_Excellence_THPT</t>
  </si>
  <si>
    <t xml:space="preserve">High performers + high income</t>
  </si>
  <si>
    <t xml:space="preserve">THPT_Scholarship_Promo</t>
  </si>
  <si>
    <t xml:space="preserve">Học bổng THPT Việt Anh</t>
  </si>
  <si>
    <t xml:space="preserve">Hỗ trợ học sinh xuất sắc</t>
  </si>
  <si>
    <t xml:space="preserve">forms.truongvietanh.com/tuyen-sinh-thpt/hoc-bong</t>
  </si>
  <si>
    <t xml:space="preserve">THPT scholarships</t>
  </si>
  <si>
    <t xml:space="preserve">THPT_Webinar_UniversityPath</t>
  </si>
  <si>
    <t xml:space="preserve">THPT_ParentsCareerPlanning</t>
  </si>
  <si>
    <t xml:space="preserve">Parents planning for university</t>
  </si>
  <si>
    <t xml:space="preserve">THPT_Webinar_UnivPath</t>
  </si>
  <si>
    <t xml:space="preserve">Webinar: Lộ trình ĐH từ THPT</t>
  </si>
  <si>
    <t xml:space="preserve">SAT, chọn ngành, hồ sơ ĐH</t>
  </si>
  <si>
    <t xml:space="preserve">forms.truongvietanh.com/tuyen-sinh-thpt/webinar-univ-path</t>
  </si>
  <si>
    <t xml:space="preserve">University path webinar</t>
  </si>
  <si>
    <t xml:space="preserve">THPT_OpenDay_T3</t>
  </si>
  <si>
    <t xml:space="preserve">Email_THPT_Subscribers</t>
  </si>
  <si>
    <t xml:space="preserve">THPT email subscribers</t>
  </si>
  <si>
    <t xml:space="preserve">THPT_OpenDay_Announcement</t>
  </si>
  <si>
    <t xml:space="preserve">Open Day THPT tháng 3</t>
  </si>
  <si>
    <t xml:space="preserve">Gặp thầy cô, tour phòng thí nghiệm</t>
  </si>
  <si>
    <t xml:space="preserve">forms.truongvietanh.com/tuyen-sinh-thpt/open-day-t3</t>
  </si>
  <si>
    <t xml:space="preserve">THPT open day</t>
  </si>
  <si>
    <t xml:space="preserve">All_Levels_Referral_Program</t>
  </si>
  <si>
    <t xml:space="preserve">All_Alumni_Network</t>
  </si>
  <si>
    <t xml:space="preserve">Enrolled parents + alumni</t>
  </si>
  <si>
    <t xml:space="preserve">25-55</t>
  </si>
  <si>
    <t xml:space="preserve">HCM + Tỉnh</t>
  </si>
  <si>
    <t xml:space="preserve">Referral_Bonus_Promo</t>
  </si>
  <si>
    <t xml:space="preserve">Giới thiệu - Nhận quà tặng</t>
  </si>
  <si>
    <t xml:space="preserve">Giới thiệu bạn, nhận 1 triệu</t>
  </si>
  <si>
    <t xml:space="preserve">Tham gia ngay</t>
  </si>
  <si>
    <t xml:space="preserve">forms.truongvietanh.com/chuong-trinh-gioi-thieu</t>
  </si>
  <si>
    <t xml:space="preserve">Referral incentive all levels</t>
  </si>
  <si>
    <t xml:space="preserve">All_Levels_Community_Engagement</t>
  </si>
  <si>
    <t xml:space="preserve">Engagement</t>
  </si>
  <si>
    <t xml:space="preserve">All_Parents_Community</t>
  </si>
  <si>
    <t xml:space="preserve">Parents all children ages</t>
  </si>
  <si>
    <t xml:space="preserve">60000</t>
  </si>
  <si>
    <t xml:space="preserve">Community_Activity_Showcase</t>
  </si>
  <si>
    <t xml:space="preserve">Cộng đồng Việt Anh - Kết nối</t>
  </si>
  <si>
    <t xml:space="preserve">Sự kiện, hoạt động hàng tháng</t>
  </si>
  <si>
    <t xml:space="preserve">Community engagement</t>
  </si>
  <si>
    <t xml:space="preserve">KẾ HOẠCH TIKTOK ADS – 100 VIDEO TESTIMONIAL + CẤU TRÚC + GTM</t>
  </si>
  <si>
    <t xml:space="preserve">A. CẤU TRÚC CAMPAIGN TIKTOK</t>
  </si>
  <si>
    <t xml:space="preserve">Targeting</t>
  </si>
  <si>
    <t xml:space="preserve">Creative (từ kho 100 video)</t>
  </si>
  <si>
    <t xml:space="preserve">Spark_Testi_MN</t>
  </si>
  <si>
    <t xml:space="preserve">Traffic/Lead</t>
  </si>
  <si>
    <t xml:space="preserve">Age 25-45 | Parenting | Geo HCM+Tỉnh</t>
  </si>
  <si>
    <t xml:space="preserve">Boost organic testi PH MN | Hook 3s | 15-30s</t>
  </si>
  <si>
    <t xml:space="preserve">CPV ≤ 2K | Engage ≥ 5%</t>
  </si>
  <si>
    <t xml:space="preserve">ViewContent, ClickLink</t>
  </si>
  <si>
    <t xml:space="preserve">Dùng 100 video có sẵn</t>
  </si>
  <si>
    <t xml:space="preserve">Spark_Testi_THPT</t>
  </si>
  <si>
    <t xml:space="preserve">Age 30-55 | Education | Geo HCM</t>
  </si>
  <si>
    <t xml:space="preserve">Boost testi HS THPT + GV | Hook 3s</t>
  </si>
  <si>
    <t xml:space="preserve">CPV ≤ 2.5K | Lead</t>
  </si>
  <si>
    <t xml:space="preserve">Social proof</t>
  </si>
  <si>
    <t xml:space="preserve">InFeed_CampusTour</t>
  </si>
  <si>
    <t xml:space="preserve">Traffic</t>
  </si>
  <si>
    <t xml:space="preserve">Age 25-45 | Geo radius 10km</t>
  </si>
  <si>
    <t xml:space="preserve">Virtual tour video | Day-in-the-life | CTA tour</t>
  </si>
  <si>
    <t xml:space="preserve">CPL ≤ 90K | CTR ≥ 1.5%</t>
  </si>
  <si>
    <t xml:space="preserve">Quay sẵn hoặc UGC</t>
  </si>
  <si>
    <t xml:space="preserve">LeadGen_Form</t>
  </si>
  <si>
    <t xml:space="preserve">Lead Gen</t>
  </si>
  <si>
    <t xml:space="preserve">Age 28-45 | School selection | Lookalike</t>
  </si>
  <si>
    <t xml:space="preserve">Video HS + Instant form: Tên+SĐT+Cấp</t>
  </si>
  <si>
    <t xml:space="preserve">CPL ≤ 80K | Form ≥ 3%</t>
  </si>
  <si>
    <t xml:space="preserve">Lead, FormSubmit</t>
  </si>
  <si>
    <t xml:space="preserve">Form → GHL auto</t>
  </si>
  <si>
    <t xml:space="preserve">TopView_Brand</t>
  </si>
  <si>
    <t xml:space="preserve">Reach</t>
  </si>
  <si>
    <t xml:space="preserve">Broad 25-50 HCM | 1 ngày</t>
  </si>
  <si>
    <t xml:space="preserve">Video 15s brand hệ thống | 8 cơ sở</t>
  </si>
  <si>
    <t xml:space="preserve">Reach ≥ 2M | CPM ≤ 50K</t>
  </si>
  <si>
    <t xml:space="preserve">Impression</t>
  </si>
  <si>
    <t xml:space="preserve">Chỉ 2-3 ngày peak</t>
  </si>
  <si>
    <t xml:space="preserve">B. TIKTOK PIXEL + GTM SETUP</t>
  </si>
  <si>
    <t xml:space="preserve">Tạo TikTok Pixel</t>
  </si>
  <si>
    <t xml:space="preserve">Tạo pixel trong TikTok Ads Manager</t>
  </si>
  <si>
    <t xml:space="preserve">Cài qua GTM</t>
  </si>
  <si>
    <t xml:space="preserve">Tạo Custom HTML tag với TikTok Pixel base code → All Pages</t>
  </si>
  <si>
    <t xml:space="preserve">Tạo Event tags</t>
  </si>
  <si>
    <t xml:space="preserve">ViewContent (LP view), ClickButton (CTA), SubmitForm, CompleteRegistration</t>
  </si>
  <si>
    <t xml:space="preserve">Test với TikTok Pixel Helper</t>
  </si>
  <si>
    <t xml:space="preserve">Verify events firing đúng trên mỗi LP</t>
  </si>
  <si>
    <t xml:space="preserve">Chrome Extension</t>
  </si>
  <si>
    <t xml:space="preserve">Tạo Custom Audiences</t>
  </si>
  <si>
    <t xml:space="preserve">Website visitors 7d/14d/30d + Video viewers 50%+ + Form submitters</t>
  </si>
  <si>
    <t xml:space="preserve">Tạo Lookalike</t>
  </si>
  <si>
    <t xml:space="preserve">Từ enrolled parents list + Form submitters</t>
  </si>
  <si>
    <t xml:space="preserve">Setup Birch cho TikTok</t>
  </si>
  <si>
    <t xml:space="preserve">Kết nối TikTok → Birch | Budget pacing rules</t>
  </si>
  <si>
    <t xml:space="preserve">CHI TIẾT QUẢNG CÁO TIKTOK (Detailed TikTok Ad Specs)</t>
  </si>
  <si>
    <t xml:space="preserve">Mục Tiêu</t>
  </si>
  <si>
    <t xml:space="preserve">Thời Lượng (s)</t>
  </si>
  <si>
    <t xml:space="preserve">Hook (3s đầu)</t>
  </si>
  <si>
    <t xml:space="preserve">Script Outline</t>
  </si>
  <si>
    <t xml:space="preserve">Hashtag</t>
  </si>
  <si>
    <t xml:space="preserve">Nhạc/Sound</t>
  </si>
  <si>
    <t xml:space="preserve">Đối Tượng (Age)</t>
  </si>
  <si>
    <t xml:space="preserve">Sở Thích</t>
  </si>
  <si>
    <t xml:space="preserve">KPI Kỳ Vọng</t>
  </si>
  <si>
    <t xml:space="preserve">TK_MN_Challenge_01</t>
  </si>
  <si>
    <t xml:space="preserve">In-Feed</t>
  </si>
  <si>
    <t xml:space="preserve">"Thử thách: Con bạn lên sân trường!"</t>
  </si>
  <si>
    <t xml:space="preserve">Trẻ chơi, cười, vui vẻ tại trường. Hashtag challenge.</t>
  </si>
  <si>
    <t xml:space="preserve">#MầmNonTrườngViệtAnh #ConYêuTrường</t>
  </si>
  <si>
    <t xml:space="preserve">Nhạc trending vui nhộn</t>
  </si>
  <si>
    <t xml:space="preserve">16-40</t>
  </si>
  <si>
    <t xml:space="preserve">Phụ huynh, Giáo viên</t>
  </si>
  <si>
    <t xml:space="preserve">HCMC</t>
  </si>
  <si>
    <t xml:space="preserve">Views 500K+, Engagement 5%</t>
  </si>
  <si>
    <t xml:space="preserve">TK_TH_DayInLife_01</t>
  </si>
  <si>
    <t xml:space="preserve">"Một ngày học tiểu học siêu vui!"</t>
  </si>
  <si>
    <t xml:space="preserve">Vlog 30s: sáng: lớp học, giảng dạy, trưa: ăn cơm, chơi, chiều: ngoại khóa</t>
  </si>
  <si>
    <t xml:space="preserve">#MộtNgàyTạiTrườngViệtAnh #TiểuHọcTuyệtVời</t>
  </si>
  <si>
    <t xml:space="preserve">Nhạc inspirational nhẹ</t>
  </si>
  <si>
    <t xml:space="preserve">20-50</t>
  </si>
  <si>
    <t xml:space="preserve">Phụ huynh, Mẹ</t>
  </si>
  <si>
    <t xml:space="preserve">HCMC, Bình Dương</t>
  </si>
  <si>
    <t xml:space="preserve">Views 800K+, Save 3%</t>
  </si>
  <si>
    <t xml:space="preserve">TK_THCS_Experiment_01</t>
  </si>
  <si>
    <t xml:space="preserve">"Thí nghiệm quá bất ngờ!"</t>
  </si>
  <si>
    <t xml:space="preserve">STEM thí nghiệm hóa học, vật lý. Kết thúc bất ngờ.</t>
  </si>
  <si>
    <t xml:space="preserve">#ThíNghiệmTHCS #KhoaPháoHóa</t>
  </si>
  <si>
    <t xml:space="preserve">Nhạc suspense trending</t>
  </si>
  <si>
    <t xml:space="preserve">25-50</t>
  </si>
  <si>
    <t xml:space="preserve">Giáo viên, Phụ huynh</t>
  </si>
  <si>
    <t xml:space="preserve">Views 1M+, Comments 2%</t>
  </si>
  <si>
    <t xml:space="preserve">TK_THPT_Success_01</t>
  </si>
  <si>
    <t xml:space="preserve">"Lớp 10 đã giúp tôi thay đổi"</t>
  </si>
  <si>
    <t xml:space="preserve">Testimonial: học sinh kể chuyện thay đổi + kết quả học tập.</t>
  </si>
  <si>
    <t xml:space="preserve">#Lớp10TrườngViệtAnh #SuccessStory</t>
  </si>
  <si>
    <t xml:space="preserve">Nhạc motivational</t>
  </si>
  <si>
    <t xml:space="preserve">30-60</t>
  </si>
  <si>
    <t xml:space="preserve">Phụ huynh, Học sinh cũ</t>
  </si>
  <si>
    <t xml:space="preserve">Views 600K+, Save 2.5%</t>
  </si>
  <si>
    <t xml:space="preserve">TK_OpenDay_Countdown_01</t>
  </si>
  <si>
    <t xml:space="preserve">Conversion</t>
  </si>
  <si>
    <t xml:space="preserve">"3 NGÀY NỮA MỚI OPEN DAY!"</t>
  </si>
  <si>
    <t xml:space="preserve">Countdown hype: show các hoạt động, cơ sở sẽ thấy tại open day.</t>
  </si>
  <si>
    <t xml:space="preserve">#OpenDay20Tháng4 #ĐợiChưa</t>
  </si>
  <si>
    <t xml:space="preserve">Nhạc hype trending</t>
  </si>
  <si>
    <t xml:space="preserve">Phụ huynh</t>
  </si>
  <si>
    <t xml:space="preserve">Saves 4%, Conversions 1.5%</t>
  </si>
  <si>
    <t xml:space="preserve">TK_Scholarship_Promo_01</t>
  </si>
  <si>
    <t xml:space="preserve">"Học bổng 20 TRIỆU CHỜ BẠN!"</t>
  </si>
  <si>
    <t xml:space="preserve">Giới thiệu học bổng, cách apply, deadline sắp tới.</t>
  </si>
  <si>
    <t xml:space="preserve">#HọcBổng #CơHộiVàng</t>
  </si>
  <si>
    <t xml:space="preserve">Nhạc excited upbeat</t>
  </si>
  <si>
    <t xml:space="preserve">Phụ huynh, Học sinh</t>
  </si>
  <si>
    <t xml:space="preserve">Clicks 2.5%, Conversions 1.2%</t>
  </si>
  <si>
    <t xml:space="preserve">TK_Teachers_Spotlight_01</t>
  </si>
  <si>
    <t xml:space="preserve">"Nghe các cô giáo nói!"</t>
  </si>
  <si>
    <t xml:space="preserve">Giáo viên tự giới thiệu, vì sao yêu thích công việc tại trường.</t>
  </si>
  <si>
    <t xml:space="preserve">#GiáoViênTrườngViệtAnh #LaThầnTượng</t>
  </si>
  <si>
    <t xml:space="preserve">Nhạc warm &amp; friendly</t>
  </si>
  <si>
    <t xml:space="preserve">25-60</t>
  </si>
  <si>
    <t xml:space="preserve">Views 700K+, Engagement 4%</t>
  </si>
  <si>
    <t xml:space="preserve">TK_Facilities_Tour_01</t>
  </si>
  <si>
    <t xml:space="preserve">"Tour cơ sở 2 phút!"</t>
  </si>
  <si>
    <t xml:space="preserve">Quick tour: phòng học, sân chơi, thư viện, phòng máy tính.</t>
  </si>
  <si>
    <t xml:space="preserve">#TourCơSở #CơSởXịn</t>
  </si>
  <si>
    <t xml:space="preserve">Nhạc exploration upbeat</t>
  </si>
  <si>
    <t xml:space="preserve">Views 900K+, Saves 2.8%</t>
  </si>
  <si>
    <t xml:space="preserve">TK_Student_Life_01</t>
  </si>
  <si>
    <t xml:space="preserve">"Sự thật về học sinh Việt Anh"</t>
  </si>
  <si>
    <t xml:space="preserve">Funny/relatable: học sinh kể lại sự thật vui vẻ về trường.</t>
  </si>
  <si>
    <t xml:space="preserve">#ĐứcSinhhọcViệtAnh #Sựthật</t>
  </si>
  <si>
    <t xml:space="preserve">Nhạc funny trending</t>
  </si>
  <si>
    <t xml:space="preserve">15-40</t>
  </si>
  <si>
    <t xml:space="preserve">Học sinh cũ, bạn bè</t>
  </si>
  <si>
    <t xml:space="preserve">HCMC, các tỉnh</t>
  </si>
  <si>
    <t xml:space="preserve">Views 1.2M+, Comments 3%</t>
  </si>
  <si>
    <t xml:space="preserve">TK_Bilingual_Journey_01</t>
  </si>
  <si>
    <t xml:space="preserve">"Hành trình tiếng Anh của tôi"</t>
  </si>
  <si>
    <t xml:space="preserve">Học sinh kể lại sự tiến bộ từ lớp mầm non đến cấp ba.</t>
  </si>
  <si>
    <t xml:space="preserve">#HànhTrìnhTiếngAnh #NgoạiNgữ</t>
  </si>
  <si>
    <t xml:space="preserve">Nhạc inspirational</t>
  </si>
  <si>
    <t xml:space="preserve">Views 700K+, Saves 3%</t>
  </si>
  <si>
    <t xml:space="preserve">TK_Activities_Montage_01</t>
  </si>
  <si>
    <t xml:space="preserve">"Con yêu trường vì..."</t>
  </si>
  <si>
    <t xml:space="preserve">Montage nhanh: thể thao, nghệ thuật, khám phá. 1 activity/1 giây.</t>
  </si>
  <si>
    <t xml:space="preserve">#HoạtĐộngNgoàiKhóa #ConYêuTrường</t>
  </si>
  <si>
    <t xml:space="preserve">Nhạc energetic upbeat</t>
  </si>
  <si>
    <t xml:space="preserve">20-55</t>
  </si>
  <si>
    <t xml:space="preserve">Views 1.1M+, Engagement 5%</t>
  </si>
  <si>
    <t xml:space="preserve">TK_Safety_Trust_01</t>
  </si>
  <si>
    <t xml:space="preserve">"An toàn 100% - Bố mẹ yên tâm"</t>
  </si>
  <si>
    <t xml:space="preserve">Show camera system, bảo vệ, hệ thống báo động.</t>
  </si>
  <si>
    <t xml:space="preserve">#AnToàn #BốMẹYênTâm</t>
  </si>
  <si>
    <t xml:space="preserve">Nhạc calm reassuring</t>
  </si>
  <si>
    <t xml:space="preserve">Views 500K+, Save 2%</t>
  </si>
  <si>
    <t xml:space="preserve">TK_Cost_Friendly_01</t>
  </si>
  <si>
    <t xml:space="preserve">"Học phí bao nhiêu? Bạn sẽ bất ngờ!"</t>
  </si>
  <si>
    <t xml:space="preserve">Reveal học phí + gói hỗ trợ, so sánh với trường khác (không nêu tên).</t>
  </si>
  <si>
    <t xml:space="preserve">#HọcPhíHợpLý #GiáCạnhTranh</t>
  </si>
  <si>
    <t xml:space="preserve">Nhạc exciting reveal</t>
  </si>
  <si>
    <t xml:space="preserve">Clicks 2.2%, Conversions 1.3%</t>
  </si>
  <si>
    <t xml:space="preserve">TK_Hybrid_Flexibility_01</t>
  </si>
  <si>
    <t xml:space="preserve">"Bệnh hay bận không lo!"</t>
  </si>
  <si>
    <t xml:space="preserve">Giới thiệu mô hình hybrid: online when needed, offline normally.</t>
  </si>
  <si>
    <t xml:space="preserve">#HọcTậpLinhHoạt #ConKhỏeConTiên</t>
  </si>
  <si>
    <t xml:space="preserve">Nhạc modern upbeat</t>
  </si>
  <si>
    <t xml:space="preserve">Views 600K+, Engagement 3.5%</t>
  </si>
  <si>
    <t xml:space="preserve">TK_Community_Family_01</t>
  </si>
  <si>
    <t xml:space="preserve">"Cộng đồng nơi bạn là gia đình"</t>
  </si>
  <si>
    <t xml:space="preserve">Montage: học sinh chơi cùng, giáo viên chăm sóc, sự gắn kết.</t>
  </si>
  <si>
    <t xml:space="preserve">#CộngĐồngGiáoD #GiàĐìnhTrườngHọc</t>
  </si>
  <si>
    <t xml:space="preserve">Nhạc warm emotional</t>
  </si>
  <si>
    <t xml:space="preserve">Views 800K+, Saves 3.2%</t>
  </si>
  <si>
    <t xml:space="preserve">B. TIKTOK ADS CAMPAIGNS THEO PHỄU + CREATIVE SCRIPTS</t>
  </si>
  <si>
    <t xml:space="preserve">Audience Targeting</t>
  </si>
  <si>
    <t xml:space="preserve">Ad Type</t>
  </si>
  <si>
    <t xml:space="preserve">Creative Hook (0-3s)</t>
  </si>
  <si>
    <t xml:space="preserve">Creative Body (3-18s)</t>
  </si>
  <si>
    <t xml:space="preserve">Creative CTA (18-30s)</t>
  </si>
  <si>
    <t xml:space="preserve">KPI Target</t>
  </si>
  <si>
    <t xml:space="preserve">Spark_Testimonial_MN</t>
  </si>
  <si>
    <t xml:space="preserve">Age 25-40 | Parenting interest | Parents 0-5yo</t>
  </si>
  <si>
    <t xml:space="preserve">Spark Ad (boost organic)</t>
  </si>
  <si>
    <t xml:space="preserve">"Mình lo gì khi con đi mầm non?" Phụ huynh Việt Anh chia sẻ...</t>
  </si>
  <si>
    <t xml:space="preserve">Video PH kể về con, tiếp cận giáo dục, sự phát triển sau 1 năm tại Việt Anh</t>
  </si>
  <si>
    <t xml:space="preserve">Xem thêm testimonial tại Việt Anh. Tham tour miễn phí hôm nay!</t>
  </si>
  <si>
    <t xml:space="preserve">CPV ≤ 3K, Engage ≥ 8%</t>
  </si>
  <si>
    <t xml:space="preserve">Organic boost - testimonial</t>
  </si>
  <si>
    <t xml:space="preserve">Spark_Tour_MN</t>
  </si>
  <si>
    <t xml:space="preserve">Age 25-40 | New parents | HCM geo</t>
  </si>
  <si>
    <t xml:space="preserve">"Cơ sở mầm non như thế nào là tốt?" Tour nhanh Việt Anh...</t>
  </si>
  <si>
    <t xml:space="preserve">Video 15s tour các phòng học, sân chơi, bếp ăn, thư viện</t>
  </si>
  <si>
    <t xml:space="preserve">Đặt lịch tham tour hôm nay - chỗ giới hạn! Zalo hoặc form đăng ký</t>
  </si>
  <si>
    <t xml:space="preserve">70000</t>
  </si>
  <si>
    <t xml:space="preserve">CPV ≤ 2.5K, Save ≥ 10%</t>
  </si>
  <si>
    <t xml:space="preserve">ViewContent, ClickLink, AddToCart</t>
  </si>
  <si>
    <t xml:space="preserve">Campus tour spark</t>
  </si>
  <si>
    <t xml:space="preserve">Spark_ActivitiesMN</t>
  </si>
  <si>
    <t xml:space="preserve">Age 25-40 | Parents 2-5yo | Lifestyle interest</t>
  </si>
  <si>
    <t xml:space="preserve">"Cô giáo dạy gì cho con?" Xem hoạt động thường ngày...</t>
  </si>
  <si>
    <t xml:space="preserve">Montage 20s: vẽ, chơi, học tiếng anh, ăn cơm, ngủ trưa, chơi ngoài trời</t>
  </si>
  <si>
    <t xml:space="preserve">Theo dõi Việt Anh để xem thêm videos. Like và chia sẻ cho bạn bè!</t>
  </si>
  <si>
    <t xml:space="preserve">Engagement ≥ 12%, CPV ≤ 2K</t>
  </si>
  <si>
    <t xml:space="preserve">ViewContent, ClickLink, Like</t>
  </si>
  <si>
    <t xml:space="preserve">Activities showcase</t>
  </si>
  <si>
    <t xml:space="preserve">Spark_AlumniSuccess_TH</t>
  </si>
  <si>
    <t xml:space="preserve">Age 25-45 | Parents 5-8yo | Education interest</t>
  </si>
  <si>
    <t xml:space="preserve">"Cô con học Tiểu Học Việt Anh rồi" - Phụ huynh chia sẻ...</t>
  </si>
  <si>
    <t xml:space="preserve">Alumni success stories: vào lớp 6 chuyên, SAT score cao, tự tin kỹ năng mềm</t>
  </si>
  <si>
    <t xml:space="preserve">Tham tour TH hoặc tư vấn chi tiết. Link trong bio</t>
  </si>
  <si>
    <t xml:space="preserve">CPV ≤ 3K, Save ≥ 12%</t>
  </si>
  <si>
    <t xml:space="preserve">ViewContent, ClickLink, Lead</t>
  </si>
  <si>
    <t xml:space="preserve">Alumni success TH</t>
  </si>
  <si>
    <t xml:space="preserve">Spark_Grade1Prep_TH</t>
  </si>
  <si>
    <t xml:space="preserve">Age 25-40 | Parents preparing for grade 1</t>
  </si>
  <si>
    <t xml:space="preserve">"Chuẩn bị con vào lớp 1 - bắt đầu từ đâu?" Chuyên gia Việt Anh...</t>
  </si>
  <si>
    <t xml:space="preserve">Tips video: kỹ năng cơ bản, môi trường học tập, chương trình chuẩn bị</t>
  </si>
  <si>
    <t xml:space="preserve">Tìm hiểu chương trình chuẩn bị lớp 1 tại Việt Anh. Đặt lịch ngay!</t>
  </si>
  <si>
    <t xml:space="preserve">85000</t>
  </si>
  <si>
    <t xml:space="preserve">CPV ≤ 3.2K, Engage ≥ 9%</t>
  </si>
  <si>
    <t xml:space="preserve">Grade 1 prep TH</t>
  </si>
  <si>
    <t xml:space="preserve">Spark_ExamPrep_THCS</t>
  </si>
  <si>
    <t xml:space="preserve">Age 30-50 | Parents 11-12yo | Exam preparation interest</t>
  </si>
  <si>
    <t xml:space="preserve">"Chuẩn bị thi lớp 6 - Kinh nghiệm từ trường THCS hàng đầu"</t>
  </si>
  <si>
    <t xml:space="preserve">Exam tips, success rate stats, student testimonials, study methods</t>
  </si>
  <si>
    <t xml:space="preserve">Tham tour THCS + tư vấn chuẩn bị thi. Liên hệ qua Zalo hoặc form</t>
  </si>
  <si>
    <t xml:space="preserve">CPV ≤ 3.5K, Save ≥ 15%</t>
  </si>
  <si>
    <t xml:space="preserve">Exam prep THCS</t>
  </si>
  <si>
    <t xml:space="preserve">Spark_UniversitySAT_THPT</t>
  </si>
  <si>
    <t xml:space="preserve">Age 35-55 | Parents 14-17yo | Career + education interest</t>
  </si>
  <si>
    <t xml:space="preserve">"Con muốn vào ĐH nước ngoài? Bắt đầu từ THPT Việt Anh"</t>
  </si>
  <si>
    <t xml:space="preserve">SAT prep, IELTS classes, university admission success stories, alumni at top universities</t>
  </si>
  <si>
    <t xml:space="preserve">Tư vấn lộ trình SAT/IELTS + Đại học. Tham tour THPT Việt Anh</t>
  </si>
  <si>
    <t xml:space="preserve">CPV ≤ 4K, Save ≥ 12%</t>
  </si>
  <si>
    <t xml:space="preserve">University prep THPT</t>
  </si>
  <si>
    <t xml:space="preserve">Spark_OpenDay_Event</t>
  </si>
  <si>
    <t xml:space="preserve">Event Promotion</t>
  </si>
  <si>
    <t xml:space="preserve">Age 25-50 | Parents all levels | HCM location</t>
  </si>
  <si>
    <t xml:space="preserve">"Ghé thăm Việt Anh vào thứ 7 - Open Day tháng 6!" Đăng ký miễn phí</t>
  </si>
  <si>
    <t xml:space="preserve">Video highlights: tour cơ sở, gặp thầy cô, vui chơi cùng học sinh</t>
  </si>
  <si>
    <t xml:space="preserve">Đăng ký Open Day ngay - Hạn chế 100 gia đình. Zalo: xxx-xxx-xxx</t>
  </si>
  <si>
    <t xml:space="preserve">CPV ≤ 2.5K, Engage ≥ 15%</t>
  </si>
  <si>
    <t xml:space="preserve">ViewContent, ClickLink, AddToCalendar</t>
  </si>
  <si>
    <t xml:space="preserve">OpenDay event</t>
  </si>
  <si>
    <t xml:space="preserve">Spark_Webinar_EduTalk</t>
  </si>
  <si>
    <t xml:space="preserve">Age 25-50 | Parents interested in education</t>
  </si>
  <si>
    <t xml:space="preserve">"5 Tips để con tự tin và sáng tạo - Từ chuyên gia giáo dục"</t>
  </si>
  <si>
    <t xml:space="preserve">Educational tips, expert talking head, interactive elements, key takeaways</t>
  </si>
  <si>
    <t xml:space="preserve">Đăng ký Webinar miễn phí - Ngồn theo giáo dục con em. Link dưới</t>
  </si>
  <si>
    <t xml:space="preserve">CPV ≤ 2.8K, Save ≥ 8%</t>
  </si>
  <si>
    <t xml:space="preserve">Webinar promo</t>
  </si>
  <si>
    <t xml:space="preserve">Spark_ScholarshipHighAchiever</t>
  </si>
  <si>
    <t xml:space="preserve">Age 30-50 | High-income parents | HCM District 1,3,7</t>
  </si>
  <si>
    <t xml:space="preserve">"Con xuất sắc? Học bổng Việt Anh cho học sinh giỏi"</t>
  </si>
  <si>
    <t xml:space="preserve">Scholarship info, application process, past scholarship recipients testimonials</t>
  </si>
  <si>
    <t xml:space="preserve">Tìm hiểu điều kiện và hồ sơ học bổng. Tư vấn miễn phí</t>
  </si>
  <si>
    <t xml:space="preserve">CPV ≤ 3K, Save ≥ 10%</t>
  </si>
  <si>
    <t xml:space="preserve">Scholarship campaign</t>
  </si>
  <si>
    <t xml:space="preserve">Spark_Referral_Bonus</t>
  </si>
  <si>
    <t xml:space="preserve">Age 25-45 | Parents + alumni network</t>
  </si>
  <si>
    <t xml:space="preserve">"Giới thiệu bạn đến Việt Anh - Nhận quà tặng trị giá 2 triệu"</t>
  </si>
  <si>
    <t xml:space="preserve">Referral reward program, how-to apply, previous referrers sharing experience</t>
  </si>
  <si>
    <t xml:space="preserve">Tham gia chương trình giới thiệu ngay. Quy tắc chi tiết trong link</t>
  </si>
  <si>
    <t xml:space="preserve">CPV ≤ 2.5K, Click ≥ 18%</t>
  </si>
  <si>
    <t xml:space="preserve">forms.truongvietanh.com/tuyen-sinh-mam-non/chuong-trinh-gioi-thieu</t>
  </si>
  <si>
    <t xml:space="preserve">Referral incentive</t>
  </si>
  <si>
    <t xml:space="preserve">Spark_BrandStory_VietAnh</t>
  </si>
  <si>
    <t xml:space="preserve">Age 25-55 | Parents all demographics | HCM + suburbs</t>
  </si>
  <si>
    <t xml:space="preserve">"Câu chuyện Việt Anh - Từ một lớp học nhỏ đến top trường HCM"</t>
  </si>
  <si>
    <t xml:space="preserve">Company history, mission, values, growth story, founder vision</t>
  </si>
  <si>
    <t xml:space="preserve">Theo dõi để xem thêm. Ghé thăm Việt Anh để hiểu rõ hơn</t>
  </si>
  <si>
    <t xml:space="preserve">Engagement ≥ 10%, CPV ≤ 2K</t>
  </si>
  <si>
    <t xml:space="preserve">Brand story awareness</t>
  </si>
  <si>
    <t xml:space="preserve">Spark_TeacherLife_Culture</t>
  </si>
  <si>
    <t xml:space="preserve">Age 25-50 | Parents, educators | Lifestyle interest</t>
  </si>
  <si>
    <t xml:space="preserve">"Một ngày của cô giáo Việt Anh - Yêu nghề, yêu học sinh"</t>
  </si>
  <si>
    <t xml:space="preserve">Day-in-the-life vlog, teacher passion stories, classroom culture, student interactions</t>
  </si>
  <si>
    <t xml:space="preserve">Like, share, comment. Đây là thầy cô dạy con bạn!</t>
  </si>
  <si>
    <t xml:space="preserve">45000</t>
  </si>
  <si>
    <t xml:space="preserve">Engagement ≥ 15%, CPV ≤ 1.8K</t>
  </si>
  <si>
    <t xml:space="preserve">ViewContent, ClickLink, Share</t>
  </si>
  <si>
    <t xml:space="preserve">Teacher culture</t>
  </si>
  <si>
    <t xml:space="preserve">Spark_Parent_Concerns_MN</t>
  </si>
  <si>
    <t xml:space="preserve">Age 25-40 | Anxious parents | Parenting forums</t>
  </si>
  <si>
    <t xml:space="preserve">Spark Ad</t>
  </si>
  <si>
    <t xml:space="preserve">"Mẹ lo con bị bắt nạt, không hòa nhập?" Trẻ ở Việt Anh...</t>
  </si>
  <si>
    <t xml:space="preserve">Real students, safe environment, inclusive culture, daily activities, friendships forming</t>
  </si>
  <si>
    <t xml:space="preserve">An tâm gửi con ở Việt Anh. Tư vấn môi trường an toàn, vui vẻ</t>
  </si>
  <si>
    <t xml:space="preserve">75000</t>
  </si>
  <si>
    <t xml:space="preserve">CPV ≤ 3K, Save ≥ 9%</t>
  </si>
  <si>
    <t xml:space="preserve">Parental concerns MN</t>
  </si>
  <si>
    <t xml:space="preserve">Spark_DevelopmentMilestones_MN</t>
  </si>
  <si>
    <t xml:space="preserve">Education</t>
  </si>
  <si>
    <t xml:space="preserve">Age 25-40 | Child development interest</t>
  </si>
  <si>
    <t xml:space="preserve">"Giai đoạn vàng phát triển - Con bây giờ cần gì?" Chuyên gia...</t>
  </si>
  <si>
    <t xml:space="preserve">Development milestones 2-5yo, cognitive growth, motor skills, social development</t>
  </si>
  <si>
    <t xml:space="preserve">Như tại Việt Anh, chúng tôi tập trung vào phát triển toàn diện</t>
  </si>
  <si>
    <t xml:space="preserve">65000</t>
  </si>
  <si>
    <t xml:space="preserve">CPV ≤ 2.8K, Engage ≥ 10%</t>
  </si>
  <si>
    <t xml:space="preserve">Developmental focus MN</t>
  </si>
  <si>
    <t xml:space="preserve">Spark_PrepKindergarten_MN</t>
  </si>
  <si>
    <t xml:space="preserve">Age 25-40 | 4-5yo parents | Back to school season</t>
  </si>
  <si>
    <t xml:space="preserve">"Chuẩn bị vào mầm non - Mẹ nên làm gì?" Hướng dẫn từ cô...</t>
  </si>
  <si>
    <t xml:space="preserve">Preparation tips, readiness checklist, what to expect, parent orientation, separation anxiety</t>
  </si>
  <si>
    <t xml:space="preserve">Chúng tôi hỗ trợ bạn và con qua mỗi bước. Tham tour ngay</t>
  </si>
  <si>
    <t xml:space="preserve">CPV ≤ 3K, Save ≥ 11%</t>
  </si>
  <si>
    <t xml:space="preserve">Kindergarten prep MN</t>
  </si>
  <si>
    <t xml:space="preserve">Spark_ReadinessAssessment_TH</t>
  </si>
  <si>
    <t xml:space="preserve">Age 25-45 | 5yo parents | Academic readiness interest</t>
  </si>
  <si>
    <t xml:space="preserve">"Con sẵn sàng vào lớp 1 chưa?" Test đơn giản từ giáo viên...</t>
  </si>
  <si>
    <t xml:space="preserve">Reading readiness, math skills, independence, focus, classroom behavior assessment</t>
  </si>
  <si>
    <t xml:space="preserve">Việt Anh hỗ trợ qua giai đoạn chuyển tiếp. Tư vấn miễn phí</t>
  </si>
  <si>
    <t xml:space="preserve">95000</t>
  </si>
  <si>
    <t xml:space="preserve">CPV ≤ 3.5K, Save ≥ 12%</t>
  </si>
  <si>
    <t xml:space="preserve">https://forms.truongvietanh.com/tuyen-sinh-tieu-hoc/test-san-sang</t>
  </si>
  <si>
    <t xml:space="preserve">Readiness TH</t>
  </si>
  <si>
    <t xml:space="preserve">Spark_HomeworkSupport_TH</t>
  </si>
  <si>
    <t xml:space="preserve">Age 25-45 | Parents worried about workload</t>
  </si>
  <si>
    <t xml:space="preserve">"Con quá nhiều bài tập tại nhà? Cân bằng học tập và vui chơi"</t>
  </si>
  <si>
    <t xml:space="preserve">Homework philosophy, study schedule tips, work-life balance, teacher guidance</t>
  </si>
  <si>
    <t xml:space="preserve">Tại Việt Anh, bài tập được cân bằng hợp lý. Xem cách chúng tôi làm</t>
  </si>
  <si>
    <t xml:space="preserve">CPV ≤ 3K, Engage ≥ 11%</t>
  </si>
  <si>
    <t xml:space="preserve">Homework approach TH</t>
  </si>
  <si>
    <t xml:space="preserve">Spark_AdolescentChallenges_THCS</t>
  </si>
  <si>
    <t xml:space="preserve">Age 30-50 | THCS parents | Parenting challenges</t>
  </si>
  <si>
    <t xml:space="preserve">"Con vào THCS, tâm lý thay đổi, học tập khó khăn..." Giải pháp...</t>
  </si>
  <si>
    <t xml:space="preserve">Teen development, support systems, mentoring, emotional intelligence, academic guidance</t>
  </si>
  <si>
    <t xml:space="preserve">THCS Việt Anh hỗ trợ vượt qua giai đoạn khó khăn, phát triển cân bằng</t>
  </si>
  <si>
    <t xml:space="preserve">110000</t>
  </si>
  <si>
    <t xml:space="preserve">CPV ≤ 4K, Save ≥ 10%</t>
  </si>
  <si>
    <t xml:space="preserve">Adolescent support THCS</t>
  </si>
  <si>
    <t xml:space="preserve">Spark_CareerExploration_THCS</t>
  </si>
  <si>
    <t xml:space="preserve">Age 30-50 | Career-minded parents</t>
  </si>
  <si>
    <t xml:space="preserve">"Con định chọn ngành nào? Từ THCS đến ĐH, hãy chuẩn bị"</t>
  </si>
  <si>
    <t xml:space="preserve">Career exploration programs, interest assessment, subject guidance, future planning</t>
  </si>
  <si>
    <t xml:space="preserve">THCS Việt Anh giúp học sinh khám phá đam mê, lựa chọn con đường phù hợp</t>
  </si>
  <si>
    <t xml:space="preserve">CPV ≤ 3.5K, Engage ≥ 12%</t>
  </si>
  <si>
    <t xml:space="preserve">Career planning THCS</t>
  </si>
  <si>
    <t xml:space="preserve">Spark_GlobalOpportunities_THPT</t>
  </si>
  <si>
    <t xml:space="preserve">Age 35-55 | Ambitious parents | Global interest</t>
  </si>
  <si>
    <t xml:space="preserve">"Con muốn học ĐH nước ngoài? Từ THPT Việt Anh, con có thể..."</t>
  </si>
  <si>
    <t xml:space="preserve">International programs, SAT/IELTS prep, exchange programs, global network alumni</t>
  </si>
  <si>
    <t xml:space="preserve">THPT Việt Anh: cửa mở sang cơ hội toàn cầu. Tư vấn lộ trình SAT</t>
  </si>
  <si>
    <t xml:space="preserve">CPV ≤ 4.5K, Save ≥ 14%</t>
  </si>
  <si>
    <t xml:space="preserve">Global opportunities THPT</t>
  </si>
  <si>
    <t xml:space="preserve">Spark_SATSuccess_THPT</t>
  </si>
  <si>
    <t xml:space="preserve">Age 35-55 | Parents focused on SAT</t>
  </si>
  <si>
    <t xml:space="preserve">"SAT score 1500+ - Học sinh THPT Việt Anh chia sẻ hành trình"</t>
  </si>
  <si>
    <t xml:space="preserve">Student success stories, score improvements, study strategies, teacher testimonials</t>
  </si>
  <si>
    <t xml:space="preserve">Chúng tôi giúp học sinh đạt điểm SAT cao, vào ĐH dream. Xem chi tiết</t>
  </si>
  <si>
    <t xml:space="preserve">CPV ≤ 4K, Save ≥ 13%</t>
  </si>
  <si>
    <t xml:space="preserve">SAT excellence THPT</t>
  </si>
  <si>
    <t xml:space="preserve">Spark_SiblingJourney_AllLevels</t>
  </si>
  <si>
    <t xml:space="preserve">Age 25-50 | Multi-child parents | Family interest</t>
  </si>
  <si>
    <t xml:space="preserve">"Cả 3 con học Việt Anh - Từ mầm non đến THPT, hành trình 15 năm"</t>
  </si>
  <si>
    <t xml:space="preserve">Family testimonial, sibling bonding, shared values, school evolution, long-term relationships</t>
  </si>
  <si>
    <t xml:space="preserve">Những gia đình tin tưởng chúng tôi với toàn bộ hành trình giáo dục của con</t>
  </si>
  <si>
    <t xml:space="preserve">Multi-level sibling journey</t>
  </si>
  <si>
    <t xml:space="preserve">Spark_SocialResponsibility_AllLevels</t>
  </si>
  <si>
    <t xml:space="preserve">Age 25-55 | Socially conscious parents</t>
  </si>
  <si>
    <t xml:space="preserve">"Giáo dục không chỉ là điểm số - Giáo dục tâm hồn, trách nhiệm xã hội"</t>
  </si>
  <si>
    <t xml:space="preserve">Community service, environmental awareness, charity programs, social values education</t>
  </si>
  <si>
    <t xml:space="preserve">Việt Anh nuôi dạy những công dân toàn cầu có tâm, có trách nhiệm</t>
  </si>
  <si>
    <t xml:space="preserve">CPV ≤ 2.5K, Engage ≥ 13%</t>
  </si>
  <si>
    <t xml:space="preserve">Social responsibility focus</t>
  </si>
  <si>
    <t xml:space="preserve">GOHIGHLEVEL – SETUP TỪ ĐẦU + CRM + AUTOMATION + SALES + ZALO</t>
  </si>
  <si>
    <t xml:space="preserve">A. SETUP TÀI KHOẢN GHL TỪ ĐẦU</t>
  </si>
  <si>
    <t xml:space="preserve">Module</t>
  </si>
  <si>
    <t xml:space="preserve">Hành động chi tiết</t>
  </si>
  <si>
    <t xml:space="preserve">Kết quả cần có</t>
  </si>
  <si>
    <t xml:space="preserve">Tạo sub-account cho Việt Anh | Timezone VN | Currency VND</t>
  </si>
  <si>
    <t xml:space="preserve">Account live</t>
  </si>
  <si>
    <t xml:space="preserve">Custom Fields</t>
  </si>
  <si>
    <t xml:space="preserve">Tạo fields: Campus, Grade, Source Channel, Campaign ID, Campaign Name, Keyword Theme, Lead Status, Qualified Flag, Tour Date, Tour Attended, Application, Deposit, Enrollment</t>
  </si>
  <si>
    <t xml:space="preserve">Tất cả fields có</t>
  </si>
  <si>
    <t xml:space="preserve">Pipelines</t>
  </si>
  <si>
    <t xml:space="preserve">Tạo 4 pipelines: MN, TH, THCS, THPT | Stages: New → Contacted → Qualified → Tour Booked → Tour Done → Offer → Enrolled → Lost</t>
  </si>
  <si>
    <t xml:space="preserve">4 pipelines active</t>
  </si>
  <si>
    <t xml:space="preserve">Tags</t>
  </si>
  <si>
    <t xml:space="preserve">Tạo tag system: src_google, src_meta, src_tiktok, src_zalo, src_organic, campus_gv, campus_bt, campus_tinh, grade_mn, grade_th, grade_thcs, grade_thpt, qualified, booked_tour, tour_attended, enrolled, lost</t>
  </si>
  <si>
    <t xml:space="preserve">Tags ready</t>
  </si>
  <si>
    <t xml:space="preserve">Users &amp; Teams</t>
  </si>
  <si>
    <t xml:space="preserve">Tạo users cho sales team | Assign theo campus | Round-robin rules</t>
  </si>
  <si>
    <t xml:space="preserve">Team assigned</t>
  </si>
  <si>
    <t xml:space="preserve">Phone &amp; SMS</t>
  </si>
  <si>
    <t xml:space="preserve">Setup Twilio / VN SMS provider | Verify phone numbers | SMS templates</t>
  </si>
  <si>
    <t xml:space="preserve">SMS working</t>
  </si>
  <si>
    <t xml:space="preserve">Kết nối Zalo OA | Tạo 8 template messages | Auto-reply menu</t>
  </si>
  <si>
    <t xml:space="preserve">Zalo connected</t>
  </si>
  <si>
    <t xml:space="preserve">Setup domain, DKIM, SPF | Email templates: Welcome, Tour reminder, Follow-up, Scholarship, Thank you</t>
  </si>
  <si>
    <t xml:space="preserve">Email verified</t>
  </si>
  <si>
    <t xml:space="preserve">Calendar</t>
  </si>
  <si>
    <t xml:space="preserve">Tạo booking calendar cho 6 cơ sở (bỏ PN) | Availability slots | Auto SMS confirm</t>
  </si>
  <si>
    <t xml:space="preserve">Calendar live</t>
  </si>
  <si>
    <t xml:space="preserve">Forms</t>
  </si>
  <si>
    <t xml:space="preserve">Tạo 8 forms (1/LP) | UTM auto-capture | Pipeline auto-assign</t>
  </si>
  <si>
    <t xml:space="preserve">Forms embedded</t>
  </si>
  <si>
    <t xml:space="preserve">Landing Pages</t>
  </si>
  <si>
    <t xml:space="preserve">Build hoặc embed 8 LP trong GHL | Form + tracking + Zalo widget</t>
  </si>
  <si>
    <t xml:space="preserve">LPs live</t>
  </si>
  <si>
    <t xml:space="preserve">Ngày 3-5</t>
  </si>
  <si>
    <t xml:space="preserve">B. AUTOMATION WORKFLOWS</t>
  </si>
  <si>
    <t xml:space="preserve">Workflow</t>
  </si>
  <si>
    <t xml:space="preserve">Trigger</t>
  </si>
  <si>
    <t xml:space="preserve">Actions</t>
  </si>
  <si>
    <t xml:space="preserve">SLA</t>
  </si>
  <si>
    <t xml:space="preserve">Kết quả</t>
  </si>
  <si>
    <t xml:space="preserve">Auto-assign lead</t>
  </si>
  <si>
    <t xml:space="preserve">New contact created</t>
  </si>
  <si>
    <t xml:space="preserve">Round-robin assign theo campus + Push notification + SMS to sales</t>
  </si>
  <si>
    <t xml:space="preserve">&lt; 5 phút</t>
  </si>
  <si>
    <t xml:space="preserve">Lead có owner ngay</t>
  </si>
  <si>
    <t xml:space="preserve">Welcome sequence</t>
  </si>
  <si>
    <t xml:space="preserve">New lead + src_google/meta/tiktok</t>
  </si>
  <si>
    <t xml:space="preserve">SMS welcome 30s + Zalo message 5 phút + Email brochure 1h</t>
  </si>
  <si>
    <t xml:space="preserve">Tự động</t>
  </si>
  <si>
    <t xml:space="preserve">Mọi lead được chào</t>
  </si>
  <si>
    <t xml:space="preserve">Nurture chưa tour</t>
  </si>
  <si>
    <t xml:space="preserve">Lead &gt; 48h chưa book tour</t>
  </si>
  <si>
    <t xml:space="preserve">SMS Day 2 → Zalo Day 4 → Email Day 7 → Call task Day 10</t>
  </si>
  <si>
    <t xml:space="preserve">4 touchpoints</t>
  </si>
  <si>
    <t xml:space="preserve">Tăng Lead→Tour</t>
  </si>
  <si>
    <t xml:space="preserve">Ngày 4</t>
  </si>
  <si>
    <t xml:space="preserve">Tour reminder</t>
  </si>
  <si>
    <t xml:space="preserve">Appointment booked</t>
  </si>
  <si>
    <t xml:space="preserve">SMS 48h trước + Zalo 2h trước + Email confirm</t>
  </si>
  <si>
    <t xml:space="preserve">Giảm no-show</t>
  </si>
  <si>
    <t xml:space="preserve">Post-tour follow-up</t>
  </si>
  <si>
    <t xml:space="preserve">Tour completed (status changed)</t>
  </si>
  <si>
    <t xml:space="preserve">Thank you SMS 2h + Offer email 24h + Call task 48h</t>
  </si>
  <si>
    <t xml:space="preserve">3 touchpoints</t>
  </si>
  <si>
    <t xml:space="preserve">Tăng Tour→Enroll</t>
  </si>
  <si>
    <t xml:space="preserve">Lost re-engage</t>
  </si>
  <si>
    <t xml:space="preserve">Marked Lost &gt; 30 ngày</t>
  </si>
  <si>
    <t xml:space="preserve">Monthly email + SMS promo | Re-enter pipeline nếu click</t>
  </si>
  <si>
    <t xml:space="preserve">Monthly</t>
  </si>
  <si>
    <t xml:space="preserve">Reactivation</t>
  </si>
  <si>
    <t xml:space="preserve">Webinar sequence</t>
  </si>
  <si>
    <t xml:space="preserve">Webinar registered</t>
  </si>
  <si>
    <t xml:space="preserve">Confirm email + SMS 24h + Zalo 2h + Post-webinar call 24h</t>
  </si>
  <si>
    <t xml:space="preserve">Tăng attend + tour</t>
  </si>
  <si>
    <t xml:space="preserve">Ngày 5</t>
  </si>
  <si>
    <t xml:space="preserve">Scholarship workflow</t>
  </si>
  <si>
    <t xml:space="preserve">Scholarship form submitted</t>
  </si>
  <si>
    <t xml:space="preserve">Auto email confirm + Assign to senior counselor + Task create</t>
  </si>
  <si>
    <t xml:space="preserve">Immediate</t>
  </si>
  <si>
    <t xml:space="preserve">THPT priority</t>
  </si>
  <si>
    <t xml:space="preserve">Webhook → Sheets</t>
  </si>
  <si>
    <t xml:space="preserve">Any status change (qualified/tour/enroll)</t>
  </si>
  <si>
    <t xml:space="preserve">Custom webhook → Middleware → Google Sheets → Birch reads</t>
  </si>
  <si>
    <t xml:space="preserve">Real-time</t>
  </si>
  <si>
    <t xml:space="preserve">Birch data sync</t>
  </si>
  <si>
    <t xml:space="preserve">C. CRM + SALES INTEGRATION</t>
  </si>
  <si>
    <t xml:space="preserve">Ai dùng</t>
  </si>
  <si>
    <t xml:space="preserve">Pipeline Dashboard</t>
  </si>
  <si>
    <t xml:space="preserve">Kanban view theo campus + cấp</t>
  </si>
  <si>
    <t xml:space="preserve">Theo dõi real-time</t>
  </si>
  <si>
    <t xml:space="preserve">Sales Manager</t>
  </si>
  <si>
    <t xml:space="preserve">Filter by campus</t>
  </si>
  <si>
    <t xml:space="preserve">Conversations</t>
  </si>
  <si>
    <t xml:space="preserve">Unified inbox: SMS + Zalo + Email + FB Messenger</t>
  </si>
  <si>
    <t xml:space="preserve">Tất cả kênh 1 chỗ</t>
  </si>
  <si>
    <t xml:space="preserve">Sales team</t>
  </si>
  <si>
    <t xml:space="preserve">Reply nhanh</t>
  </si>
  <si>
    <t xml:space="preserve">Opportunities</t>
  </si>
  <si>
    <t xml:space="preserve">Gắn giá trị = học phí năm 1 | Track close rate</t>
  </si>
  <si>
    <t xml:space="preserve">Forecast revenue</t>
  </si>
  <si>
    <t xml:space="preserve">Manager + BGH</t>
  </si>
  <si>
    <t xml:space="preserve">Dự báo doanh thu</t>
  </si>
  <si>
    <t xml:space="preserve">Reporting</t>
  </si>
  <si>
    <t xml:space="preserve">Lead by source, campaign, campus | Conversion funnel | SLA tracking</t>
  </si>
  <si>
    <t xml:space="preserve">Đo hiệu quả</t>
  </si>
  <si>
    <t xml:space="preserve">Auto weekly email</t>
  </si>
  <si>
    <t xml:space="preserve">Call tracking</t>
  </si>
  <si>
    <t xml:space="preserve">Ghi âm cuộc gọi + log duration + outcome</t>
  </si>
  <si>
    <t xml:space="preserve">QA + Training</t>
  </si>
  <si>
    <t xml:space="preserve">QA team</t>
  </si>
  <si>
    <t xml:space="preserve">Mystery call chấm điểm</t>
  </si>
  <si>
    <t xml:space="preserve">Review request</t>
  </si>
  <si>
    <t xml:space="preserve">Sau enrollment → auto gửi review link Google Business</t>
  </si>
  <si>
    <t xml:space="preserve">Tăng review organic</t>
  </si>
  <si>
    <t xml:space="preserve">Giúp Local SEO</t>
  </si>
  <si>
    <t xml:space="preserve">D. GHL + BIRCH INTEGRATION CHI TIẾT</t>
  </si>
  <si>
    <t xml:space="preserve">Chi tiết kỹ thuật</t>
  </si>
  <si>
    <t xml:space="preserve">Webhook Setup</t>
  </si>
  <si>
    <t xml:space="preserve">Tạo webhook từ GHL → Google Sheets</t>
  </si>
  <si>
    <t xml:space="preserve">GHL Workflow → Custom Webhook → POST to Sheets API middleware</t>
  </si>
  <si>
    <t xml:space="preserve">Data sync real-time</t>
  </si>
  <si>
    <t xml:space="preserve">GHL + Apps Script</t>
  </si>
  <si>
    <t xml:space="preserve">Middleware Build</t>
  </si>
  <si>
    <t xml:space="preserve">Xây middleware nhận webhook GHL</t>
  </si>
  <si>
    <t xml:space="preserve">Node.js/Apps Script → Parse payload → Write to Google Sheets</t>
  </si>
  <si>
    <t xml:space="preserve">Middleware running 24/7</t>
  </si>
  <si>
    <t xml:space="preserve">Apps Script / Cloud Run</t>
  </si>
  <si>
    <t xml:space="preserve">Ngày 3-4</t>
  </si>
  <si>
    <t xml:space="preserve">Sheet Structure</t>
  </si>
  <si>
    <t xml:space="preserve">Tạo Google Sheet cho Birch đọc</t>
  </si>
  <si>
    <t xml:space="preserve">Columns: Date, Contact ID, Campus, Grade, Source, Campaign, Status, Qualified, Tour, Enrolled</t>
  </si>
  <si>
    <t xml:space="preserve">Sheet ready for Birch</t>
  </si>
  <si>
    <t xml:space="preserve">Google Sheets</t>
  </si>
  <si>
    <t xml:space="preserve">Birch Connect Sheet</t>
  </si>
  <si>
    <t xml:space="preserve">Kết nối Birch với Google Sheets</t>
  </si>
  <si>
    <t xml:space="preserve">Birch Settings → Data Sources → Google Sheets → Share sheet</t>
  </si>
  <si>
    <t xml:space="preserve">Birch reads GHL data</t>
  </si>
  <si>
    <t xml:space="preserve">Custom Metrics Birch</t>
  </si>
  <si>
    <t xml:space="preserve">Tạo metrics kết hợp ads + CRM</t>
  </si>
  <si>
    <t xml:space="preserve">Qualified Rate = Q.Leads/Total Leads | Tour Rate = Tours/Leads | CAC = Spend/Enrolled</t>
  </si>
  <si>
    <t xml:space="preserve">Birch shows CRM metrics</t>
  </si>
  <si>
    <t xml:space="preserve">Birch Custom Metrics</t>
  </si>
  <si>
    <t xml:space="preserve">Auto Scale Rule</t>
  </si>
  <si>
    <t xml:space="preserve">Rule: Scale campaign nếu quality tốt</t>
  </si>
  <si>
    <t xml:space="preserve">IF CPL &lt; target AND Qualified Rate &gt; 50% AND Tour Rate &gt; 20% → Increase budget 15%</t>
  </si>
  <si>
    <t xml:space="preserve">Auto budget increase</t>
  </si>
  <si>
    <t xml:space="preserve">Birch Automation</t>
  </si>
  <si>
    <t xml:space="preserve">Auto Pause Rule</t>
  </si>
  <si>
    <t xml:space="preserve">Rule: Pause nếu quality xấu</t>
  </si>
  <si>
    <t xml:space="preserve">IF CPL &gt; target 30% AND Tour Rate &lt; 10% for 5 days → Pause adset + Alert</t>
  </si>
  <si>
    <t xml:space="preserve">Auto protection</t>
  </si>
  <si>
    <t xml:space="preserve">Campus Alert Rule</t>
  </si>
  <si>
    <t xml:space="preserve">Rule: Alert khi campus hụt target</t>
  </si>
  <si>
    <t xml:space="preserve">IF Campus X enrolled &lt; monthly target 20% by mid-month → Alert Slack</t>
  </si>
  <si>
    <t xml:space="preserve">Campus gap detection</t>
  </si>
  <si>
    <t xml:space="preserve">Meta CAPI Setup</t>
  </si>
  <si>
    <t xml:space="preserve">Conversion API từ GHL → Meta</t>
  </si>
  <si>
    <t xml:space="preserve">GHL Workflow → On status change → POST to Meta CAPI endpoint with event data</t>
  </si>
  <si>
    <t xml:space="preserve">Server-side tracking active</t>
  </si>
  <si>
    <t xml:space="preserve">GHL + Meta CAPI</t>
  </si>
  <si>
    <t xml:space="preserve">Google Offline Conv</t>
  </si>
  <si>
    <t xml:space="preserve">Upload offline conversions Google</t>
  </si>
  <si>
    <t xml:space="preserve">GHL → Tour completed → Upload to Google Ads as offline conversion via API</t>
  </si>
  <si>
    <t xml:space="preserve">Google Ads sees tour data</t>
  </si>
  <si>
    <t xml:space="preserve">GHL + Google Ads API</t>
  </si>
  <si>
    <t xml:space="preserve">Lead Scoring Setup</t>
  </si>
  <si>
    <t xml:space="preserve">Xây lead scoring trong GHL</t>
  </si>
  <si>
    <t xml:space="preserve">Score: +10 form submit, +20 call answered, +30 tour booked, +50 tour attended, -10 no answer 3x</t>
  </si>
  <si>
    <t xml:space="preserve">Lead priority ranking</t>
  </si>
  <si>
    <t xml:space="preserve">GHL Lead Scoring</t>
  </si>
  <si>
    <t xml:space="preserve">Dashboard GHL</t>
  </si>
  <si>
    <t xml:space="preserve">Build dashboard CRM realtime</t>
  </si>
  <si>
    <t xml:space="preserve">Pipeline view + Lead by source + Tour calendar + SLA tracker + Revenue forecast</t>
  </si>
  <si>
    <t xml:space="preserve">Dashboard live</t>
  </si>
  <si>
    <t xml:space="preserve">GHL Dashboard Builder</t>
  </si>
  <si>
    <t xml:space="preserve">Ngày 5-6</t>
  </si>
  <si>
    <t xml:space="preserve">E. GHL + ADS PLATFORMS INTEGRATION MAP</t>
  </si>
  <si>
    <t xml:space="preserve">Nền tảng Ads</t>
  </si>
  <si>
    <t xml:space="preserve">Loại Integration</t>
  </si>
  <si>
    <t xml:space="preserve">Data Flow</t>
  </si>
  <si>
    <t xml:space="preserve">Setup Tool</t>
  </si>
  <si>
    <t xml:space="preserve">Automation</t>
  </si>
  <si>
    <t xml:space="preserve">Lead Form Sync</t>
  </si>
  <si>
    <t xml:space="preserve">Meta Lead Form → GHL (instant)</t>
  </si>
  <si>
    <t xml:space="preserve">Auto-import lead từ Meta form vào GHL pipeline</t>
  </si>
  <si>
    <t xml:space="preserve">GHL Integration + Zapier</t>
  </si>
  <si>
    <t xml:space="preserve">New lead → Auto-assign → Welcome SMS 30s</t>
  </si>
  <si>
    <t xml:space="preserve">CAPI (Server)</t>
  </si>
  <si>
    <t xml:space="preserve">GHL Status Change → Meta CAPI</t>
  </si>
  <si>
    <t xml:space="preserve">Gửi offline events: Qualified, Tour, Enrolled về Meta</t>
  </si>
  <si>
    <t xml:space="preserve">GHL Webhook + Meta CAPI</t>
  </si>
  <si>
    <t xml:space="preserve">Improve Meta optimization + audience quality</t>
  </si>
  <si>
    <t xml:space="preserve">Audience Sync</t>
  </si>
  <si>
    <t xml:space="preserve">GHL Enrolled List → Meta Custom Audience</t>
  </si>
  <si>
    <t xml:space="preserve">Exclude enrolled + Create lookalike từ best leads</t>
  </si>
  <si>
    <t xml:space="preserve">GHL Export + Meta Upload</t>
  </si>
  <si>
    <t xml:space="preserve">Monthly refresh audience exclusion</t>
  </si>
  <si>
    <t xml:space="preserve">Offline Conversion</t>
  </si>
  <si>
    <t xml:space="preserve">GHL Tour/Enroll → Google Ads Offline Conv</t>
  </si>
  <si>
    <t xml:space="preserve">Google Ads optimize cho Tour thay vì chỉ form submit</t>
  </si>
  <si>
    <t xml:space="preserve">GHL → Sheets → Google Ads API</t>
  </si>
  <si>
    <t xml:space="preserve">Weekly upload offline conversions</t>
  </si>
  <si>
    <t xml:space="preserve">Birch Bridge</t>
  </si>
  <si>
    <t xml:space="preserve">GHL → Sheets → Birch → Google Ads</t>
  </si>
  <si>
    <t xml:space="preserve">Birch dùng CRM data để auto-optimize budget</t>
  </si>
  <si>
    <t xml:space="preserve">Birch + Google Sheets</t>
  </si>
  <si>
    <t xml:space="preserve">Auto scale/pause dựa trên CRM quality</t>
  </si>
  <si>
    <t xml:space="preserve">TikTok Lead Form → GHL</t>
  </si>
  <si>
    <t xml:space="preserve">Import TikTok leads vào GHL auto</t>
  </si>
  <si>
    <t xml:space="preserve">Zapier / Make.com</t>
  </si>
  <si>
    <t xml:space="preserve">New lead → Pipeline + Welcome seq</t>
  </si>
  <si>
    <t xml:space="preserve">Website → TikTok Pixel → Events</t>
  </si>
  <si>
    <t xml:space="preserve">Track form submit, call click cho TikTok optimization</t>
  </si>
  <si>
    <t xml:space="preserve">GTM + TikTok Pixel</t>
  </si>
  <si>
    <t xml:space="preserve">Event-based optimization</t>
  </si>
  <si>
    <t xml:space="preserve">OA Connect</t>
  </si>
  <si>
    <t xml:space="preserve">Zalo OA → GHL Conversations</t>
  </si>
  <si>
    <t xml:space="preserve">Tất cả Zalo message hiện trong GHL inbox</t>
  </si>
  <si>
    <t xml:space="preserve">GHL Zalo Integration</t>
  </si>
  <si>
    <t xml:space="preserve">Auto-reply + broadcast từ GHL</t>
  </si>
  <si>
    <t xml:space="preserve">Pixel Sync</t>
  </si>
  <si>
    <t xml:space="preserve">Website → Zalo Pixel → Remarketing</t>
  </si>
  <si>
    <t xml:space="preserve">Build Zalo remarketing audience từ web visitors</t>
  </si>
  <si>
    <t xml:space="preserve">GTM + Zalo Pixel</t>
  </si>
  <si>
    <t xml:space="preserve">Retarget OA followers + web visitors</t>
  </si>
  <si>
    <t xml:space="preserve">All Platforms</t>
  </si>
  <si>
    <t xml:space="preserve">UTM Tracking</t>
  </si>
  <si>
    <t xml:space="preserve">UTM params → GHL Custom Fields</t>
  </si>
  <si>
    <t xml:space="preserve">Attribution chính xác: biết lead từ campaign/keyword nào</t>
  </si>
  <si>
    <t xml:space="preserve">GHL Form + Hidden fields</t>
  </si>
  <si>
    <t xml:space="preserve">Auto-capture UTM vào contact record</t>
  </si>
  <si>
    <t xml:space="preserve">Cross-platform</t>
  </si>
  <si>
    <t xml:space="preserve">All Ads → Birch → Rules + Reports</t>
  </si>
  <si>
    <t xml:space="preserve">Quản lý budget, pacing, alerts tất cả ads từ 1 dashboard</t>
  </si>
  <si>
    <t xml:space="preserve">Birch Workspace</t>
  </si>
  <si>
    <t xml:space="preserve">Auto email report T2+T5 cho team</t>
  </si>
  <si>
    <t xml:space="preserve">F. GHL AUTOMATION WORKFLOWS – CHI TIẾT TỪNG BƯỚC</t>
  </si>
  <si>
    <t xml:space="preserve">Action</t>
  </si>
  <si>
    <t xml:space="preserve">Delay</t>
  </si>
  <si>
    <t xml:space="preserve">Channel</t>
  </si>
  <si>
    <t xml:space="preserve">Nội dung tóm tắt</t>
  </si>
  <si>
    <t xml:space="preserve">Condition</t>
  </si>
  <si>
    <t xml:space="preserve">KPI đo</t>
  </si>
  <si>
    <t xml:space="preserve">Welcome Sequence</t>
  </si>
  <si>
    <t xml:space="preserve">SMS gửi ngay</t>
  </si>
  <si>
    <t xml:space="preserve">30 giây</t>
  </si>
  <si>
    <t xml:space="preserve">SMS</t>
  </si>
  <si>
    <t xml:space="preserve">Chào [Tên], cảm ơn bạn quan tâm Việt Anh. Tư vấn viên sẽ gọi trong 5 phút!</t>
  </si>
  <si>
    <t xml:space="preserve">New lead created</t>
  </si>
  <si>
    <t xml:space="preserve">Delivery rate</t>
  </si>
  <si>
    <t xml:space="preserve">Assign to Sales</t>
  </si>
  <si>
    <t xml:space="preserve">1 phút</t>
  </si>
  <si>
    <t xml:space="preserve">Round-robin assign theo campus + grade → Push notification</t>
  </si>
  <si>
    <t xml:space="preserve">Assign time &lt; 2 min</t>
  </si>
  <si>
    <t xml:space="preserve">Zalo message</t>
  </si>
  <si>
    <t xml:space="preserve">5 phút</t>
  </si>
  <si>
    <t xml:space="preserve">Chào [Tên]! Tôi là [Sales]. Rất vui được tư vấn. Bạn quan tâm cấp nào?</t>
  </si>
  <si>
    <t xml:space="preserve">IF Zalo connected</t>
  </si>
  <si>
    <t xml:space="preserve">Reply rate ≥ 25%</t>
  </si>
  <si>
    <t xml:space="preserve">Email brochure</t>
  </si>
  <si>
    <t xml:space="preserve">1 giờ</t>
  </si>
  <si>
    <t xml:space="preserve">Email chào đón + brochure PDF + link website + CTA book tour</t>
  </si>
  <si>
    <t xml:space="preserve">All leads</t>
  </si>
  <si>
    <t xml:space="preserve">Open rate ≥ 30%</t>
  </si>
  <si>
    <t xml:space="preserve">Internal alert</t>
  </si>
  <si>
    <t xml:space="preserve">IF lead chưa được gọi sau 5 min → Alert manager Slack/Zalo</t>
  </si>
  <si>
    <t xml:space="preserve">No call logged</t>
  </si>
  <si>
    <t xml:space="preserve">SLA compliance</t>
  </si>
  <si>
    <t xml:space="preserve">Nurture No-Tour</t>
  </si>
  <si>
    <t xml:space="preserve">SMS nhắc nhẹ</t>
  </si>
  <si>
    <t xml:space="preserve">Day 2</t>
  </si>
  <si>
    <t xml:space="preserve">[Tên] ơi, đã tìm hiểu về trường chưa? Mời bạn đặt lịch tour miễn phí!</t>
  </si>
  <si>
    <t xml:space="preserve">Lead &gt; 48h, no tour booked</t>
  </si>
  <si>
    <t xml:space="preserve">Reply rate</t>
  </si>
  <si>
    <t xml:space="preserve">Zalo article</t>
  </si>
  <si>
    <t xml:space="preserve">Day 4</t>
  </si>
  <si>
    <t xml:space="preserve">Gửi article: "5 tiêu chí chọn trường [Cấp] cho con" + CTA tour</t>
  </si>
  <si>
    <t xml:space="preserve">Still no tour</t>
  </si>
  <si>
    <t xml:space="preserve">Click rate</t>
  </si>
  <si>
    <t xml:space="preserve">Email testimonial</t>
  </si>
  <si>
    <t xml:space="preserve">Day 7</t>
  </si>
  <si>
    <t xml:space="preserve">Email testimonial video PH + campus photos + CTA book tour</t>
  </si>
  <si>
    <t xml:space="preserve">Open + Click</t>
  </si>
  <si>
    <t xml:space="preserve">Task: Gọi điện</t>
  </si>
  <si>
    <t xml:space="preserve">Day 10</t>
  </si>
  <si>
    <t xml:space="preserve">Tạo task cho sales: Gọi [Tên] – lead chưa tour 10 ngày</t>
  </si>
  <si>
    <t xml:space="preserve">Call outcome</t>
  </si>
  <si>
    <t xml:space="preserve">SMS ưu đãi</t>
  </si>
  <si>
    <t xml:space="preserve">Day 14</t>
  </si>
  <si>
    <t xml:space="preserve">Ưu đãi đặc biệt cho [Tên]: Giảm [X]% nếu nộp hồ sơ trong tuần!</t>
  </si>
  <si>
    <t xml:space="preserve">Conv rate</t>
  </si>
  <si>
    <t xml:space="preserve">Post-Tour</t>
  </si>
  <si>
    <t xml:space="preserve">SMS cảm ơn</t>
  </si>
  <si>
    <t xml:space="preserve">2 giờ</t>
  </si>
  <si>
    <t xml:space="preserve">Cảm ơn [Tên] đã đến tham quan! Nếu cần thêm thông tin, nhắn ngay!</t>
  </si>
  <si>
    <t xml:space="preserve">Tour completed</t>
  </si>
  <si>
    <t xml:space="preserve">Email offer</t>
  </si>
  <si>
    <t xml:space="preserve">24 giờ</t>
  </si>
  <si>
    <t xml:space="preserve">Email ưu đãi riêng cho PH đã tour + Deadline hồ sơ + Scholarship info</t>
  </si>
  <si>
    <t xml:space="preserve">Task: Follow-up call</t>
  </si>
  <si>
    <t xml:space="preserve">48 giờ</t>
  </si>
  <si>
    <t xml:space="preserve">Tạo task: Gọi [Tên] hỏi cảm nhận tour + push nộp hồ sơ</t>
  </si>
  <si>
    <t xml:space="preserve">No enrollment</t>
  </si>
  <si>
    <t xml:space="preserve">Zalo reminder</t>
  </si>
  <si>
    <t xml:space="preserve">Day 5</t>
  </si>
  <si>
    <t xml:space="preserve">Nhắc nhẹ: Hạn nộp hồ sơ ưu đãi còn [X] ngày!</t>
  </si>
  <si>
    <t xml:space="preserve">Reply + Conv</t>
  </si>
  <si>
    <t xml:space="preserve">SMS deadline</t>
  </si>
  <si>
    <t xml:space="preserve">Cuối cùng! Ưu đãi [X]% hết hạn [Ngày]. Nộp hồ sơ ngay!</t>
  </si>
  <si>
    <t xml:space="preserve">═══ TÍCH HỢP VỚI PANCAKE CRM + MAKE.COM ═══</t>
  </si>
  <si>
    <t xml:space="preserve">Tính năng GHL</t>
  </si>
  <si>
    <t xml:space="preserve">Đồng bộ với Pancake</t>
  </si>
  <si>
    <t xml:space="preserve">Qua Make.com</t>
  </si>
  <si>
    <t xml:space="preserve">Hướng đi dữ liệu</t>
  </si>
  <si>
    <t xml:space="preserve">Contacts</t>
  </si>
  <si>
    <t xml:space="preserve">Đồng bộ 2 chiều</t>
  </si>
  <si>
    <t xml:space="preserve">Scenario 1 + 2</t>
  </si>
  <si>
    <t xml:space="preserve">GHL ↔ Pancake</t>
  </si>
  <si>
    <t xml:space="preserve">Contact fields phải match 1:1</t>
  </si>
  <si>
    <t xml:space="preserve">Scenario 3</t>
  </si>
  <si>
    <t xml:space="preserve">Cẩn thận infinite loop</t>
  </si>
  <si>
    <t xml:space="preserve">Pipeline/Stages</t>
  </si>
  <si>
    <t xml:space="preserve">GHL → Pancake</t>
  </si>
  <si>
    <t xml:space="preserve">Scenario 4</t>
  </si>
  <si>
    <t xml:space="preserve">GHL là master cho pipeline</t>
  </si>
  <si>
    <t xml:space="preserve">Appointments</t>
  </si>
  <si>
    <t xml:space="preserve">GHL → Pancake (note)</t>
  </si>
  <si>
    <t xml:space="preserve">Scenario 7</t>
  </si>
  <si>
    <t xml:space="preserve">Pancake nhận note, không calendar</t>
  </si>
  <si>
    <t xml:space="preserve">Workflows/Automation</t>
  </si>
  <si>
    <t xml:space="preserve">Pancake không có workflow engine</t>
  </si>
  <si>
    <t xml:space="preserve">Email Marketing</t>
  </si>
  <si>
    <t xml:space="preserve">GHL gửi email, Pancake chỉ chat</t>
  </si>
  <si>
    <t xml:space="preserve">Qua eSMS/SpeedSMS API</t>
  </si>
  <si>
    <t xml:space="preserve">FB/Zalo Chat</t>
  </si>
  <si>
    <t xml:space="preserve">Pancake only</t>
  </si>
  <si>
    <t xml:space="preserve">Pancake là master cho chat</t>
  </si>
  <si>
    <t xml:space="preserve">Chatbot</t>
  </si>
  <si>
    <t xml:space="preserve">Pancake primary</t>
  </si>
  <si>
    <t xml:space="preserve">FB + Zalo chatbot qua Pancake</t>
  </si>
  <si>
    <t xml:space="preserve">Cả hai</t>
  </si>
  <si>
    <t xml:space="preserve">Scenario 5 + 8</t>
  </si>
  <si>
    <t xml:space="preserve">Both → Google Sheets</t>
  </si>
  <si>
    <t xml:space="preserve">Google Sheets là backup/dashboard</t>
  </si>
  <si>
    <t xml:space="preserve">forms.truongvietanh.com</t>
  </si>
  <si>
    <t xml:space="preserve">Ads Tracking</t>
  </si>
  <si>
    <t xml:space="preserve">GHL + Birch</t>
  </si>
  <si>
    <t xml:space="preserve">Scenario 9</t>
  </si>
  <si>
    <t xml:space="preserve">Full attribution chain</t>
  </si>
  <si>
    <t xml:space="preserve">GOOGLE TAG MANAGER – TRACKING SETUP TOÀN BỘ KÊNH</t>
  </si>
  <si>
    <t xml:space="preserve">A. TAGS CẦN CÀI TRONG GTM</t>
  </si>
  <si>
    <t xml:space="preserve">Tag</t>
  </si>
  <si>
    <t xml:space="preserve">Platform</t>
  </si>
  <si>
    <t xml:space="preserve">GA4 Config</t>
  </si>
  <si>
    <t xml:space="preserve">GA4 Configuration</t>
  </si>
  <si>
    <t xml:space="preserve">Google Analytics</t>
  </si>
  <si>
    <t xml:space="preserve">All Pages</t>
  </si>
  <si>
    <t xml:space="preserve">GA4 property chính</t>
  </si>
  <si>
    <t xml:space="preserve">GA4 - form_submit</t>
  </si>
  <si>
    <t xml:space="preserve">GA4 Event</t>
  </si>
  <si>
    <t xml:space="preserve">Form submission (all LPs)</t>
  </si>
  <si>
    <t xml:space="preserve">Khi form được submit</t>
  </si>
  <si>
    <t xml:space="preserve">GA4 - click_call</t>
  </si>
  <si>
    <t xml:space="preserve">Click on tel: links</t>
  </si>
  <si>
    <t xml:space="preserve">Bấm gọi hotline</t>
  </si>
  <si>
    <t xml:space="preserve">GA4 - click_zalo</t>
  </si>
  <si>
    <t xml:space="preserve">Click on Zalo widget/link</t>
  </si>
  <si>
    <t xml:space="preserve">Bấm Zalo</t>
  </si>
  <si>
    <t xml:space="preserve">GA4 - webinar_register</t>
  </si>
  <si>
    <t xml:space="preserve">Webinar form submit</t>
  </si>
  <si>
    <t xml:space="preserve">Đăng ký webinar</t>
  </si>
  <si>
    <t xml:space="preserve">GA4 - scholarship_click</t>
  </si>
  <si>
    <t xml:space="preserve">Click scholarship CTA</t>
  </si>
  <si>
    <t xml:space="preserve">THPT scholarship</t>
  </si>
  <si>
    <t xml:space="preserve">Meta Pixel Base</t>
  </si>
  <si>
    <t xml:space="preserve">Custom HTML</t>
  </si>
  <si>
    <t xml:space="preserve">Pixel ID + PageView event</t>
  </si>
  <si>
    <t xml:space="preserve">Meta - Lead</t>
  </si>
  <si>
    <t xml:space="preserve">Form submission</t>
  </si>
  <si>
    <t xml:space="preserve">Conversion event cho Meta</t>
  </si>
  <si>
    <t xml:space="preserve">Meta - ViewContent</t>
  </si>
  <si>
    <t xml:space="preserve">LP Page View</t>
  </si>
  <si>
    <t xml:space="preserve">Content view tracking</t>
  </si>
  <si>
    <t xml:space="preserve">Meta - CompleteRegistration</t>
  </si>
  <si>
    <t xml:space="preserve">Thank you page view</t>
  </si>
  <si>
    <t xml:space="preserve">Tour/webinar confirmed</t>
  </si>
  <si>
    <t xml:space="preserve">TikTok Pixel Base</t>
  </si>
  <si>
    <t xml:space="preserve">Pixel ID + PageView</t>
  </si>
  <si>
    <t xml:space="preserve">TikTok - ClickButton</t>
  </si>
  <si>
    <t xml:space="preserve">CTA button clicks</t>
  </si>
  <si>
    <t xml:space="preserve">Track engagement</t>
  </si>
  <si>
    <t xml:space="preserve">TikTok - SubmitForm</t>
  </si>
  <si>
    <t xml:space="preserve">Lead event</t>
  </si>
  <si>
    <t xml:space="preserve">Google Ads Conversion</t>
  </si>
  <si>
    <t xml:space="preserve">Form submission + Call click</t>
  </si>
  <si>
    <t xml:space="preserve">Conversion tracking chính</t>
  </si>
  <si>
    <t xml:space="preserve">Google Ads Remarketing</t>
  </si>
  <si>
    <t xml:space="preserve">Audience building</t>
  </si>
  <si>
    <t xml:space="preserve">Zalo Pixel</t>
  </si>
  <si>
    <t xml:space="preserve">All Pages + Form</t>
  </si>
  <si>
    <t xml:space="preserve">Zalo Ads tracking</t>
  </si>
  <si>
    <t xml:space="preserve">B. TRIGGERS CẦN TẠO</t>
  </si>
  <si>
    <t xml:space="preserve">Dùng cho tags</t>
  </si>
  <si>
    <t xml:space="preserve">Page View</t>
  </si>
  <si>
    <t xml:space="preserve">Mọi trang</t>
  </si>
  <si>
    <t xml:space="preserve">GA4, Meta, TikTok, Google Ads RMKT, Zalo</t>
  </si>
  <si>
    <t xml:space="preserve">Base trigger</t>
  </si>
  <si>
    <t xml:space="preserve">Form Submit - All</t>
  </si>
  <si>
    <t xml:space="preserve">Form Submission</t>
  </si>
  <si>
    <t xml:space="preserve">Form ID contains 'ghl' hoặc class</t>
  </si>
  <si>
    <t xml:space="preserve">GA4 form, Meta Lead, TikTok Submit, GG Ads Conv</t>
  </si>
  <si>
    <t xml:space="preserve">Tất cả form trên LP</t>
  </si>
  <si>
    <t xml:space="preserve">Click Call</t>
  </si>
  <si>
    <t xml:space="preserve">Click - Just Links</t>
  </si>
  <si>
    <t xml:space="preserve">Click URL contains 'tel:'</t>
  </si>
  <si>
    <t xml:space="preserve">GA4 click_call, Google Ads call conv</t>
  </si>
  <si>
    <t xml:space="preserve">Hotline click</t>
  </si>
  <si>
    <t xml:space="preserve">Click Zalo</t>
  </si>
  <si>
    <t xml:space="preserve">Click URL contains 'zalo.me'</t>
  </si>
  <si>
    <t xml:space="preserve">GA4 click_zalo</t>
  </si>
  <si>
    <t xml:space="preserve">Zalo widget click</t>
  </si>
  <si>
    <t xml:space="preserve">Click CTA Button</t>
  </si>
  <si>
    <t xml:space="preserve">Click - All Elements</t>
  </si>
  <si>
    <t xml:space="preserve">CSS selector cho CTA buttons</t>
  </si>
  <si>
    <t xml:space="preserve">TikTok ClickButton</t>
  </si>
  <si>
    <t xml:space="preserve">Tour / tư vấn buttons</t>
  </si>
  <si>
    <t xml:space="preserve">Thank You Page</t>
  </si>
  <si>
    <t xml:space="preserve">Page URL contains '/thank-you' hoặc '/cam-on'</t>
  </si>
  <si>
    <t xml:space="preserve">Meta CompleteReg, GA4 conversion</t>
  </si>
  <si>
    <t xml:space="preserve">Sau form submit</t>
  </si>
  <si>
    <t xml:space="preserve">Webinar Form</t>
  </si>
  <si>
    <t xml:space="preserve">Form contains 'webinar'</t>
  </si>
  <si>
    <t xml:space="preserve">GA4 webinar_register</t>
  </si>
  <si>
    <t xml:space="preserve">Chỉ webinar forms</t>
  </si>
  <si>
    <t xml:space="preserve">Scholarship CTA</t>
  </si>
  <si>
    <t xml:space="preserve">Element contains 'scholarship' / 'hoc-bong'</t>
  </si>
  <si>
    <t xml:space="preserve">GA4 scholarship_click</t>
  </si>
  <si>
    <t xml:space="preserve">THPT only</t>
  </si>
  <si>
    <t xml:space="preserve">═══ GTM TRACKING THEO TỪNG TRANG PHỄU ═══</t>
  </si>
  <si>
    <t xml:space="preserve">Phễu</t>
  </si>
  <si>
    <t xml:space="preserve">Tags fire</t>
  </si>
  <si>
    <t xml:space="preserve">Events</t>
  </si>
  <si>
    <t xml:space="preserve">Custom Dimensions</t>
  </si>
  <si>
    <t xml:space="preserve">Audiences tạo</t>
  </si>
  <si>
    <t xml:space="preserve">Trang 1: LP chính</t>
  </si>
  <si>
    <t xml:space="preserve">GA4 Config, Meta PageView, Meta ViewContent (scroll 50%), Meta InitiateCheckout (form focus), Meta Lead (submit), TikTok PageView, Zalo PageView, Google Remarketing</t>
  </si>
  <si>
    <t xml:space="preserve">PageView, ViewContent, InitiateCheckout, Lead</t>
  </si>
  <si>
    <t xml:space="preserve">campus=all_mn, grade=mn, page_type=lp_main</t>
  </si>
  <si>
    <t xml:space="preserve">mn_page_visitors, mn_page_engaged, mn_form_started, mn_form_complete</t>
  </si>
  <si>
    <t xml:space="preserve">Trang 2: Thank You</t>
  </si>
  <si>
    <t xml:space="preserve">forms.truongvietanh.com/tuyen-sinh-mam-non/cam-on</t>
  </si>
  <si>
    <t xml:space="preserve">GA4 Config, GA4 Tour Booked, Meta Schedule, Google Ads Conv (Lead), TikTok SubmitForm</t>
  </si>
  <si>
    <t xml:space="preserve">PageView, Schedule, CompleteRegistration</t>
  </si>
  <si>
    <t xml:space="preserve">campus=from_form, grade=mn, page_type=thank_you</t>
  </si>
  <si>
    <t xml:space="preserve">Trang 2b: Confirmation</t>
  </si>
  <si>
    <t xml:space="preserve">forms.truongvietanh.com/tuyen-sinh-mam-non/xac-nhan</t>
  </si>
  <si>
    <t xml:space="preserve">GA4 Config, GA4 CompleteRegistration</t>
  </si>
  <si>
    <t xml:space="preserve">PageView, CompleteRegistration</t>
  </si>
  <si>
    <t xml:space="preserve">campus=from_booking, grade=mn</t>
  </si>
  <si>
    <t xml:space="preserve">Trang 3: Testimonial</t>
  </si>
  <si>
    <t xml:space="preserve">GA4 Config, Meta ViewContent, Meta Lead (if form), Video tracking</t>
  </si>
  <si>
    <t xml:space="preserve">PageView, ViewContent, Lead</t>
  </si>
  <si>
    <t xml:space="preserve">grade=mn, page_type=testimonial</t>
  </si>
  <si>
    <t xml:space="preserve">Trang 4: Chương trình</t>
  </si>
  <si>
    <t xml:space="preserve">GA4 Config, Meta ViewContent, Meta AddToCart (PDF), Meta Lead (form)</t>
  </si>
  <si>
    <t xml:space="preserve">PageView, ViewContent, AddToCart, Lead</t>
  </si>
  <si>
    <t xml:space="preserve">grade=mn, page_type=program</t>
  </si>
  <si>
    <t xml:space="preserve">mn_program_viewers, mn_pdf_downloaded</t>
  </si>
  <si>
    <t xml:space="preserve">Trang 5: Học phí</t>
  </si>
  <si>
    <t xml:space="preserve">GA4 Config, Meta ViewContent, Meta AddPaymentInfo, Meta Lead, Google Ads Conv (Lead)</t>
  </si>
  <si>
    <t xml:space="preserve">PageView, ViewContent, AddPaymentInfo, Lead</t>
  </si>
  <si>
    <t xml:space="preserve">grade=mn, page_type=tuition</t>
  </si>
  <si>
    <t xml:space="preserve">mn_tuition_viewers, mn_tuition_engaged</t>
  </si>
  <si>
    <t xml:space="preserve">Trang 1: LP Tiểu học</t>
  </si>
  <si>
    <t xml:space="preserve">Tương tự FNL-MN nhưng grade=th</t>
  </si>
  <si>
    <t xml:space="preserve">grade=th, page_type=lp_main</t>
  </si>
  <si>
    <t xml:space="preserve">th_page_visitors, th_form_complete</t>
  </si>
  <si>
    <t xml:space="preserve">Trang 1: LP THCS</t>
  </si>
  <si>
    <t xml:space="preserve">Tương tự + TikTok Pixel (THCS target trẻ hơn)</t>
  </si>
  <si>
    <t xml:space="preserve">grade=thcs, page_type=lp_main</t>
  </si>
  <si>
    <t xml:space="preserve">thcs_page_visitors, thcs_form_complete</t>
  </si>
  <si>
    <t xml:space="preserve">Trang 1: LP THPT</t>
  </si>
  <si>
    <t xml:space="preserve">Tương tự + TikTok Pixel</t>
  </si>
  <si>
    <t xml:space="preserve">grade=thpt, page_type=lp_main</t>
  </si>
  <si>
    <t xml:space="preserve">thpt_page_visitors, thpt_form_complete</t>
  </si>
  <si>
    <t xml:space="preserve">LP Mega Open Day</t>
  </si>
  <si>
    <t xml:space="preserve">GA4, Meta, TikTok, Zalo, Google — all Lead events</t>
  </si>
  <si>
    <t xml:space="preserve">event=open_day_t6</t>
  </si>
  <si>
    <t xml:space="preserve">LP Webinar MN</t>
  </si>
  <si>
    <t xml:space="preserve">GA4, Meta, Zalo Lead events</t>
  </si>
  <si>
    <t xml:space="preserve">PageView, Lead, CompleteRegistration</t>
  </si>
  <si>
    <t xml:space="preserve">event=webinar_mn</t>
  </si>
  <si>
    <t xml:space="preserve">wb_mn_visitors, wb_mn_registered</t>
  </si>
  <si>
    <t xml:space="preserve">LP Học Bổng</t>
  </si>
  <si>
    <t xml:space="preserve">GA4, Meta, Google Lead events</t>
  </si>
  <si>
    <t xml:space="preserve">PageView, Lead</t>
  </si>
  <si>
    <t xml:space="preserve">campaign=scholarship</t>
  </si>
  <si>
    <t xml:space="preserve">LỊCH CÔNG VIỆC MARKETER – HÀNG NGÀY / TUẦN / THÁNG / QUÝ / NĂM</t>
  </si>
  <si>
    <t xml:space="preserve">A. CÔNG VIỆC HÀNG NGÀY (MỖI NGÀY LÀM VIỆC)</t>
  </si>
  <si>
    <t xml:space="preserve">Checklist</t>
  </si>
  <si>
    <t xml:space="preserve">Kiểm tra spend vs budget</t>
  </si>
  <si>
    <t xml:space="preserve">Login Birch → check pacing alert | Nếu overspend → giảm</t>
  </si>
  <si>
    <t xml:space="preserve">8:00-8:15</t>
  </si>
  <si>
    <t xml:space="preserve">Rà search terms</t>
  </si>
  <si>
    <t xml:space="preserve">Birch Explorer → Search terms | Thêm negative nếu cần</t>
  </si>
  <si>
    <t xml:space="preserve">8:15-8:30</t>
  </si>
  <si>
    <t xml:space="preserve">Kiểm tra CPL và lead volume</t>
  </si>
  <si>
    <t xml:space="preserve">Birch hoặc Meta Ads Manager → check CPL by campaign</t>
  </si>
  <si>
    <t xml:space="preserve">8:30-8:45</t>
  </si>
  <si>
    <t xml:space="preserve">Kiểm tra CPV và engagement</t>
  </si>
  <si>
    <t xml:space="preserve">TikTok Ads Manager → check Spark Ads performance</t>
  </si>
  <si>
    <t xml:space="preserve">8:45-9:00</t>
  </si>
  <si>
    <t xml:space="preserve">GHL/CRM</t>
  </si>
  <si>
    <t xml:space="preserve">Kiểm tra lead mới từ đêm qua</t>
  </si>
  <si>
    <t xml:space="preserve">GHL Dashboard → New leads → Verify source tags đúng</t>
  </si>
  <si>
    <t xml:space="preserve">9:00-9:15</t>
  </si>
  <si>
    <t xml:space="preserve">Marketing Manager</t>
  </si>
  <si>
    <t xml:space="preserve">Check SLA phản hồi</t>
  </si>
  <si>
    <t xml:space="preserve">GHL → Pipeline → Lead chưa được gọi &gt; 5 phút → escalate</t>
  </si>
  <si>
    <t xml:space="preserve">9:15-9:30</t>
  </si>
  <si>
    <t xml:space="preserve">Đăng bài social media</t>
  </si>
  <si>
    <t xml:space="preserve">3-4 bài/ngày: FB + IG + TikTok organic | Dùng kho 2,000 bài</t>
  </si>
  <si>
    <t xml:space="preserve">9:30-10:30</t>
  </si>
  <si>
    <t xml:space="preserve">Kiểm tra Zalo OA messages</t>
  </si>
  <si>
    <t xml:space="preserve">Reply tin nhắn mới + Check broadcast schedule</t>
  </si>
  <si>
    <t xml:space="preserve">10:30-11:00</t>
  </si>
  <si>
    <t xml:space="preserve">Content/Sales</t>
  </si>
  <si>
    <t xml:space="preserve">Báo cáo nhanh buổi sáng</t>
  </si>
  <si>
    <t xml:space="preserve">Gửi Slack/Zalo group: lead hôm qua, booked tour, spend</t>
  </si>
  <si>
    <t xml:space="preserve">11:00-11:15</t>
  </si>
  <si>
    <t xml:space="preserve">Sync với Sales</t>
  </si>
  <si>
    <t xml:space="preserve">15 phút meeting: lead quality, objection, tour feedback</t>
  </si>
  <si>
    <t xml:space="preserve">14:00-14:15</t>
  </si>
  <si>
    <t xml:space="preserve">MM + Sales Lead</t>
  </si>
  <si>
    <t xml:space="preserve">B. CÔNG VIỆC HÀNG TUẦN (MỖI THỨ HAI + THỨ NĂM)</t>
  </si>
  <si>
    <t xml:space="preserve">Tối ưu bidding</t>
  </si>
  <si>
    <t xml:space="preserve">Review CPA targets | Adjust bids by campaign | Pause KW yếu</t>
  </si>
  <si>
    <t xml:space="preserve">Thứ 2</t>
  </si>
  <si>
    <t xml:space="preserve">Cập nhật negative KW</t>
  </si>
  <si>
    <t xml:space="preserve">Rà search terms tuần | Thêm negative | Check quality score</t>
  </si>
  <si>
    <t xml:space="preserve">A/B test creative</t>
  </si>
  <si>
    <t xml:space="preserve">Test 2 creative mới / tuần | Compare CTR, CPL, quality</t>
  </si>
  <si>
    <t xml:space="preserve">Performance + Content</t>
  </si>
  <si>
    <t xml:space="preserve">Upload video mới</t>
  </si>
  <si>
    <t xml:space="preserve">2-3 video mới từ kho testimonial | Test hook mới</t>
  </si>
  <si>
    <t xml:space="preserve">Broadcast schedule</t>
  </si>
  <si>
    <t xml:space="preserve">Lên lịch broadcast tour/ưu đãi cho tuần | Segment by campus</t>
  </si>
  <si>
    <t xml:space="preserve">Pipeline review</t>
  </si>
  <si>
    <t xml:space="preserve">Rà pipeline: leads stuck, overdue follow-ups, tour no-shows</t>
  </si>
  <si>
    <t xml:space="preserve">MM + Sales</t>
  </si>
  <si>
    <t xml:space="preserve">Review rules</t>
  </si>
  <si>
    <t xml:space="preserve">Kiểm tra rules nào fired | CPL alerts | Budget pacing</t>
  </si>
  <si>
    <t xml:space="preserve">Báo cáo tuần</t>
  </si>
  <si>
    <t xml:space="preserve">Weekly report: spend, leads, tours, enrollments by campus</t>
  </si>
  <si>
    <t xml:space="preserve">Thứ 5</t>
  </si>
  <si>
    <t xml:space="preserve">Họp tuần MKT + Sales</t>
  </si>
  <si>
    <t xml:space="preserve">30 phút: KPI review, blockers, campus feedback, action items</t>
  </si>
  <si>
    <t xml:space="preserve">All team</t>
  </si>
  <si>
    <t xml:space="preserve">Check Google Business</t>
  </si>
  <si>
    <t xml:space="preserve">Reply reviews mới | Post bài mới | Check info chính xác</t>
  </si>
  <si>
    <t xml:space="preserve">C. CÔNG VIỆC HÀNG THÁNG</t>
  </si>
  <si>
    <t xml:space="preserve">Monthly report</t>
  </si>
  <si>
    <t xml:space="preserve">Tổng spend, leads, tours, enrollments, CAC by campus + channel</t>
  </si>
  <si>
    <t xml:space="preserve">Ngày 1-3</t>
  </si>
  <si>
    <t xml:space="preserve">MM</t>
  </si>
  <si>
    <t xml:space="preserve">Cấu trúc lại campaigns</t>
  </si>
  <si>
    <t xml:space="preserve">Pause campaigns yếu | Tạo campaigns mới nếu cần | Shift budget</t>
  </si>
  <si>
    <t xml:space="preserve">Ngày 1-5</t>
  </si>
  <si>
    <t xml:space="preserve">Refresh audiences</t>
  </si>
  <si>
    <t xml:space="preserve">Update Lookalike | Refresh Custom audiences | Exclude enrolled</t>
  </si>
  <si>
    <t xml:space="preserve">Content refresh</t>
  </si>
  <si>
    <t xml:space="preserve">Quay 3-5 video mới nếu cần | Update Spark Ads library</t>
  </si>
  <si>
    <t xml:space="preserve">Ngày 5-10</t>
  </si>
  <si>
    <t xml:space="preserve">Content + Campus</t>
  </si>
  <si>
    <t xml:space="preserve">CRM cleanup</t>
  </si>
  <si>
    <t xml:space="preserve">Merge duplicates | Update lost reasons | Archive old leads</t>
  </si>
  <si>
    <t xml:space="preserve">Sales + MM</t>
  </si>
  <si>
    <t xml:space="preserve">Automation review</t>
  </si>
  <si>
    <t xml:space="preserve">Kiểm tra workflow performance | Adjust nurture timing | Test SMS</t>
  </si>
  <si>
    <t xml:space="preserve">Rule optimization</t>
  </si>
  <si>
    <t xml:space="preserve">Review rule performance | Adjust thresholds | Add new rules</t>
  </si>
  <si>
    <t xml:space="preserve">Họp tháng với BGH</t>
  </si>
  <si>
    <t xml:space="preserve">CAC, ROI, campus performance, budget shift proposal, next month plan</t>
  </si>
  <si>
    <t xml:space="preserve">Ngày 5-7</t>
  </si>
  <si>
    <t xml:space="preserve">MM + BGH</t>
  </si>
  <si>
    <t xml:space="preserve">Kế hoạch content tháng sau</t>
  </si>
  <si>
    <t xml:space="preserve">Calendar editorial: 90 bài social + 4-8 blog + video plan</t>
  </si>
  <si>
    <t xml:space="preserve">Ngày 25-30</t>
  </si>
  <si>
    <t xml:space="preserve">Content Lead</t>
  </si>
  <si>
    <t xml:space="preserve">GMB monthly update</t>
  </si>
  <si>
    <t xml:space="preserve">Cập nhật ảnh, bài viết, sự kiện cho 6 cơ sở | Review response</t>
  </si>
  <si>
    <t xml:space="preserve">Ngày 15</t>
  </si>
  <si>
    <t xml:space="preserve">D. CÔNG VIỆC HÀNG QUÝ</t>
  </si>
  <si>
    <t xml:space="preserve">Review chiến lược tổng</t>
  </si>
  <si>
    <t xml:space="preserve">So sánh KPI thực vs plan | Điều chỉnh mix kênh | Shift budget</t>
  </si>
  <si>
    <t xml:space="preserve">Audit toàn bộ tracking</t>
  </si>
  <si>
    <t xml:space="preserve">GTM audit: tất cả tags fire đúng? | Pixel health check | CAPI verify</t>
  </si>
  <si>
    <t xml:space="preserve">Performance + Dev</t>
  </si>
  <si>
    <t xml:space="preserve">Competitor analysis</t>
  </si>
  <si>
    <t xml:space="preserve">Rà đối thủ: ads library, keyword, LP, ưu đãi, positioning</t>
  </si>
  <si>
    <t xml:space="preserve">Content audit</t>
  </si>
  <si>
    <t xml:space="preserve">Rà kho content: video nào perform tốt? Bài nào traffic cao? | Gap analysis</t>
  </si>
  <si>
    <t xml:space="preserve">CRM &amp; automation review</t>
  </si>
  <si>
    <t xml:space="preserve">Workflow nào convert tốt? Nurture nào cần sửa? SLA trend?</t>
  </si>
  <si>
    <t xml:space="preserve">Training team</t>
  </si>
  <si>
    <t xml:space="preserve">Cập nhật kỹ năng: Google Ads mới, Meta policy, TikTok trends, GHL features</t>
  </si>
  <si>
    <t xml:space="preserve">E. CÔNG VIỆC HÀNG NĂM (CUỐI MÙA)</t>
  </si>
  <si>
    <t xml:space="preserve">Post-mortem toàn chiến dịch</t>
  </si>
  <si>
    <t xml:space="preserve">Tổng kết: spend, leads, tours, enrollments, CAC, ROI theo campus + kênh</t>
  </si>
  <si>
    <t xml:space="preserve">MM + Sales + BGH</t>
  </si>
  <si>
    <t xml:space="preserve">Lưu playbook</t>
  </si>
  <si>
    <t xml:space="preserve">Ghi lại: top campaigns, top keywords, top creatives, best practices, lessons learned</t>
  </si>
  <si>
    <t xml:space="preserve">Chuẩn bị mùa sau</t>
  </si>
  <si>
    <t xml:space="preserve">Budget proposal + Channel mix + Campus priority + Content plan cho năm sau</t>
  </si>
  <si>
    <t xml:space="preserve">Cập nhật assets</t>
  </si>
  <si>
    <t xml:space="preserve">Refresh video, ảnh, testimonial mới | Quay phụ huynh mới nhập học</t>
  </si>
  <si>
    <t xml:space="preserve">Review tools &amp; contracts</t>
  </si>
  <si>
    <t xml:space="preserve">GHL, Birch, domain, hosting, SMS credits, Zalo OA | Renew/upgrade nếu cần</t>
  </si>
  <si>
    <t xml:space="preserve">MM + IT</t>
  </si>
  <si>
    <t xml:space="preserve">TIMELINE GIẢI NGÂN 03-09/2026</t>
  </si>
  <si>
    <t xml:space="preserve">Trọng tâm</t>
  </si>
  <si>
    <t xml:space="preserve">Checkpoint</t>
  </si>
  <si>
    <t xml:space="preserve">26/03–31/03</t>
  </si>
  <si>
    <t xml:space="preserve">Setup Birch+GHL+GTM+Pixel+LP</t>
  </si>
  <si>
    <t xml:space="preserve">Tracking live</t>
  </si>
  <si>
    <t xml:space="preserve">Go/No-go 31/03</t>
  </si>
  <si>
    <t xml:space="preserve">Tháng 4</t>
  </si>
  <si>
    <t xml:space="preserve">Meta+TikTok mở phủ | Webinar #1-2 | Tour #1-3</t>
  </si>
  <si>
    <t xml:space="preserve">1,400 leads/420 tours</t>
  </si>
  <si>
    <t xml:space="preserve">CPL review tuần 2</t>
  </si>
  <si>
    <t xml:space="preserve">Tháng 5</t>
  </si>
  <si>
    <t xml:space="preserve">Scale paid | Open Day #1 | Zalo broadcast tỉnh</t>
  </si>
  <si>
    <t xml:space="preserve">2,400 leads/720 tours</t>
  </si>
  <si>
    <t xml:space="preserve">Lead→Tour&lt;25%→dừng</t>
  </si>
  <si>
    <t xml:space="preserve">Tháng 6</t>
  </si>
  <si>
    <t xml:space="preserve">Tour cao điểm | Remarket mạnh | Open Day #2</t>
  </si>
  <si>
    <t xml:space="preserve">2,800 leads/840 tours</t>
  </si>
  <si>
    <t xml:space="preserve">Check 53% target</t>
  </si>
  <si>
    <t xml:space="preserve">Tháng 7</t>
  </si>
  <si>
    <t xml:space="preserve">Chốt sale | Học bổng cuối | Pipeline GHL</t>
  </si>
  <si>
    <t xml:space="preserve">&lt;73%→dự phòng</t>
  </si>
  <si>
    <t xml:space="preserve">Tháng 8</t>
  </si>
  <si>
    <t xml:space="preserve">Vét cuối | Retarget database</t>
  </si>
  <si>
    <t xml:space="preserve">1,200 leads/360 tours</t>
  </si>
  <si>
    <t xml:space="preserve">Gần đạt target</t>
  </si>
  <si>
    <t xml:space="preserve">Tháng 9</t>
  </si>
  <si>
    <t xml:space="preserve">Late intake | Chuyển trường | Brand defense</t>
  </si>
  <si>
    <t xml:space="preserve">400 leads/120 tours</t>
  </si>
  <si>
    <t xml:space="preserve">Post-mortem</t>
  </si>
  <si>
    <t xml:space="preserve">DANH BẠ CƠ SỞ (BỎ PHÚ NHUẬN – CẬP NHẬT ĐỊA GIỚI MỚI)</t>
  </si>
  <si>
    <t xml:space="preserve">Khu vực</t>
  </si>
  <si>
    <t xml:space="preserve">Tên trường</t>
  </si>
  <si>
    <t xml:space="preserve">TP.HCM</t>
  </si>
  <si>
    <t xml:space="preserve">Việt Anh Gò Vấp</t>
  </si>
  <si>
    <t xml:space="preserve">TH+THCS+THPT</t>
  </si>
  <si>
    <t xml:space="preserve">160/72 Phan Huy Ích, Gò Vấp</t>
  </si>
  <si>
    <t xml:space="preserve">✅</t>
  </si>
  <si>
    <t xml:space="preserve">Cơ sở lớn, 3 cấp</t>
  </si>
  <si>
    <t xml:space="preserve">Việt Anh Bình Tân</t>
  </si>
  <si>
    <t xml:space="preserve">Số 7 đường 38A, Tân Tạo, Bình Tân</t>
  </si>
  <si>
    <t xml:space="preserve">Khu đông dân</t>
  </si>
  <si>
    <t xml:space="preserve">MN Việt Anh Gò Vấp</t>
  </si>
  <si>
    <t xml:space="preserve">573 Đ. Lê Đức Thọ, P. An Hội Tây, Gò Vấp</t>
  </si>
  <si>
    <t xml:space="preserve">Flagship MN</t>
  </si>
  <si>
    <t xml:space="preserve">Tây Ninh</t>
  </si>
  <si>
    <t xml:space="preserve">22 Đường D2, KDC Cần Giuộc, Tây Ninh</t>
  </si>
  <si>
    <t xml:space="preserve">Cần Giuộc → Tây Ninh</t>
  </si>
  <si>
    <t xml:space="preserve">An Giang</t>
  </si>
  <si>
    <t xml:space="preserve">Lô E7, KĐT Tây Bắc, TP. Rạch Giá, An Giang</t>
  </si>
  <si>
    <t xml:space="preserve">Rạch Giá → An Giang</t>
  </si>
  <si>
    <t xml:space="preserve">⚠️ Phú Nhuận ĐÃ BỎ (sắp đóng cửa). Ngân sách Phú Nhuận phân bổ lại cho các cơ sở còn lại.</t>
  </si>
  <si>
    <t xml:space="preserve">📌 Cần Giuộc → thuộc tỉnh TÂY NINH (trước là Long An). Rạch Giá → thuộc tỉnh AN GIANG (trước là Kiên Giang).</t>
  </si>
  <si>
    <t xml:space="preserve">KẾ HOẠCH ZALO ADS + ZALO OA – NURTURE LOCAL + BROADCAST</t>
  </si>
  <si>
    <t xml:space="preserve">A. ZALO ADS CAMPAIGNS</t>
  </si>
  <si>
    <t xml:space="preserve">GHL Integration</t>
  </si>
  <si>
    <t xml:space="preserve">Zalo_MN_Local</t>
  </si>
  <si>
    <t xml:space="preserve">Geo Gò Vấp+Tỉnh | Age 25-40 | Interest Parenting</t>
  </si>
  <si>
    <t xml:space="preserve">Image+text: Tour invitation, campus ảnh, ưu đãi</t>
  </si>
  <si>
    <t xml:space="preserve">Open ≥ 40% | CTR ≥ 5%</t>
  </si>
  <si>
    <t xml:space="preserve">Lead → Pipeline MN</t>
  </si>
  <si>
    <t xml:space="preserve">Zalo Pixel via GTM</t>
  </si>
  <si>
    <t xml:space="preserve">Zalo_TH_Local</t>
  </si>
  <si>
    <t xml:space="preserve">Geo Gò Vấp+BT+Tỉnh | Age 28-45</t>
  </si>
  <si>
    <t xml:space="preserve">Image+text: Tuyển sinh lớp 1, chương trình</t>
  </si>
  <si>
    <t xml:space="preserve">Open ≥ 35% | CTR ≥ 4%</t>
  </si>
  <si>
    <t xml:space="preserve">Lead → Pipeline TH</t>
  </si>
  <si>
    <t xml:space="preserve">Zalo_THCS_THPT</t>
  </si>
  <si>
    <t xml:space="preserve">Geo TP.HCM | Age 30-55</t>
  </si>
  <si>
    <t xml:space="preserve">Webinar invite, lộ trình, học bổng</t>
  </si>
  <si>
    <t xml:space="preserve">Open ≥ 35% | Reg ≥ 3%</t>
  </si>
  <si>
    <t xml:space="preserve">Lead → Pipeline THCS/THPT</t>
  </si>
  <si>
    <t xml:space="preserve">Zalo_Remarketing</t>
  </si>
  <si>
    <t xml:space="preserve">OA followers + Web visitors</t>
  </si>
  <si>
    <t xml:space="preserve">Tour reminder, ưu đãi cuối, deadline</t>
  </si>
  <si>
    <t xml:space="preserve">Conv ≥ 5%</t>
  </si>
  <si>
    <t xml:space="preserve">Retarget pipeline</t>
  </si>
  <si>
    <t xml:space="preserve">B. ZALO OA SETUP + BROADCAST</t>
  </si>
  <si>
    <t xml:space="preserve">Tạo/Verify Zalo OA</t>
  </si>
  <si>
    <t xml:space="preserve">1 OA chính cho hệ thống Việt Anh | Verify business</t>
  </si>
  <si>
    <t xml:space="preserve">Kết nối GHL</t>
  </si>
  <si>
    <t xml:space="preserve">API Zalo OA → GHL | Auto-reply + Broadcast + Nurture</t>
  </si>
  <si>
    <t xml:space="preserve">Tạo menu auto-reply</t>
  </si>
  <si>
    <t xml:space="preserve">Menu: Tư vấn MN | TH | THCS | THPT | Học phí | Tour | Hotline</t>
  </si>
  <si>
    <t xml:space="preserve">Tạo 8 broadcast templates</t>
  </si>
  <si>
    <t xml:space="preserve">Welcome, Tour invite, Tour reminder, Ưu đãi, Webinar, Scholarship, Thank you, Re-engage</t>
  </si>
  <si>
    <t xml:space="preserve">Segment followers</t>
  </si>
  <si>
    <t xml:space="preserve">By campus, cấp, trạng thái lead | Auto-tag từ GHL</t>
  </si>
  <si>
    <t xml:space="preserve">Lịch broadcast tuần</t>
  </si>
  <si>
    <t xml:space="preserve">Thứ 3: Tour invite | Thứ 6: Ưu đãi/content | Trước webinar: Reminder</t>
  </si>
  <si>
    <t xml:space="preserve">Cài Zalo Pixel qua GTM</t>
  </si>
  <si>
    <t xml:space="preserve">Custom HTML tag trong GTM | Events: PageView, Lead, Form</t>
  </si>
  <si>
    <t xml:space="preserve">C. CHIẾN LƯỢC CONTENT ZALO OA – 8 MẪU BROADCAST</t>
  </si>
  <si>
    <t xml:space="preserve">Template Name</t>
  </si>
  <si>
    <t xml:space="preserve">Nội dung mẫu</t>
  </si>
  <si>
    <t xml:space="preserve">Segment gửi</t>
  </si>
  <si>
    <t xml:space="preserve">GHL Trigger</t>
  </si>
  <si>
    <t xml:space="preserve">Welcome Message</t>
  </si>
  <si>
    <t xml:space="preserve">Chào đón lead mới</t>
  </si>
  <si>
    <t xml:space="preserve">Chào [Tên]! Cảm ơn bạn quan tâm Trường Việt Anh. Chúng tôi có MN, TH, THCS, THPT tại 8 cơ sở. Nhấn menu để tìm hiểu thêm!</t>
  </si>
  <si>
    <t xml:space="preserve">Chọn cấp học quan tâm</t>
  </si>
  <si>
    <t xml:space="preserve">New OA follower</t>
  </si>
  <si>
    <t xml:space="preserve">Auto (khi follow)</t>
  </si>
  <si>
    <t xml:space="preserve">New contact → Welcome seq</t>
  </si>
  <si>
    <t xml:space="preserve">Reply rate ≥ 30%</t>
  </si>
  <si>
    <t xml:space="preserve">Tour Invitation</t>
  </si>
  <si>
    <t xml:space="preserve">Mời tham quan trường</t>
  </si>
  <si>
    <t xml:space="preserve">[Tên] ơi, cuối tuần này Việt Anh mở cửa đón PH tham quan. Cơ sở [Campus]: [Địa chỉ]. Đăng ký tour tại đây!</t>
  </si>
  <si>
    <t xml:space="preserve">Đăng ký tour ngay</t>
  </si>
  <si>
    <t xml:space="preserve">Lead chưa book tour</t>
  </si>
  <si>
    <t xml:space="preserve">2 lần/tuần (T3, T6)</t>
  </si>
  <si>
    <t xml:space="preserve">Lead &gt; 48h no tour</t>
  </si>
  <si>
    <t xml:space="preserve">Tour booked rate ≥ 8%</t>
  </si>
  <si>
    <t xml:space="preserve">Tour Reminder</t>
  </si>
  <si>
    <t xml:space="preserve">Nhắc lịch tour</t>
  </si>
  <si>
    <t xml:space="preserve">[Tên] ơi, lịch tham quan trường của bạn vào [Ngày] lúc [Giờ] tại [Campus]. Chúng tôi rất mong gặp bạn!</t>
  </si>
  <si>
    <t xml:space="preserve">Xác nhận tham dự</t>
  </si>
  <si>
    <t xml:space="preserve">Lead đã book tour</t>
  </si>
  <si>
    <t xml:space="preserve">Auto (48h + 2h trước)</t>
  </si>
  <si>
    <t xml:space="preserve">Tour booked trigger</t>
  </si>
  <si>
    <t xml:space="preserve">Show-up rate ≥ 70%</t>
  </si>
  <si>
    <t xml:space="preserve">Ưu đãi tuyển sinh</t>
  </si>
  <si>
    <t xml:space="preserve">Push ưu đãi/học bổng</t>
  </si>
  <si>
    <t xml:space="preserve">Tin vui! Việt Anh dành ưu đãi [%] cho hồ sơ nộp trước [Deadline]. Áp dụng [Cấp]. Liên hệ ngay!</t>
  </si>
  <si>
    <t xml:space="preserve">Nhận ưu đãi ngay</t>
  </si>
  <si>
    <t xml:space="preserve">Lead qualified chưa enroll</t>
  </si>
  <si>
    <t xml:space="preserve">1-2 lần/tháng</t>
  </si>
  <si>
    <t xml:space="preserve">Manual schedule</t>
  </si>
  <si>
    <t xml:space="preserve">CTR ≥ 5%</t>
  </si>
  <si>
    <t xml:space="preserve">Webinar Invitation</t>
  </si>
  <si>
    <t xml:space="preserve">Mời dự hội thảo online</t>
  </si>
  <si>
    <t xml:space="preserve">Hội thảo "[Tên WB]" – [Ngày] lúc [Giờ]. Chủ đề: [Topic]. Đăng ký miễn phí ngay!</t>
  </si>
  <si>
    <t xml:space="preserve">Lead theo cấp phù hợp</t>
  </si>
  <si>
    <t xml:space="preserve">Trước WB 7 ngày + 2 ngày</t>
  </si>
  <si>
    <t xml:space="preserve">Reg rate ≥ 5%</t>
  </si>
  <si>
    <t xml:space="preserve">Scholarship Alert</t>
  </si>
  <si>
    <t xml:space="preserve">Thông báo học bổng</t>
  </si>
  <si>
    <t xml:space="preserve">Chương trình học bổng [Cấp] 2026 đã mở đăng ký! Giá trị đến [X]%. Deadline: [Ngày]. Đăng ký thi ngay!</t>
  </si>
  <si>
    <t xml:space="preserve">Đăng ký thi HB</t>
  </si>
  <si>
    <t xml:space="preserve">THCS/THPT leads</t>
  </si>
  <si>
    <t xml:space="preserve">1 lần/tháng</t>
  </si>
  <si>
    <t xml:space="preserve">Manual</t>
  </si>
  <si>
    <t xml:space="preserve">Reg rate ≥ 8%</t>
  </si>
  <si>
    <t xml:space="preserve">Thank You / Post-tour</t>
  </si>
  <si>
    <t xml:space="preserve">Cảm ơn sau tour</t>
  </si>
  <si>
    <t xml:space="preserve">Cảm ơn [Tên] đã đến tham quan Việt Anh! Hy vọng bạn ấn tượng. Nếu cần thêm thông tin, nhắn ngay cho chúng tôi.</t>
  </si>
  <si>
    <t xml:space="preserve">Nộp hồ sơ ngay</t>
  </si>
  <si>
    <t xml:space="preserve">Lead đã tour</t>
  </si>
  <si>
    <t xml:space="preserve">Auto (2h sau tour)</t>
  </si>
  <si>
    <t xml:space="preserve">Tour completed trigger</t>
  </si>
  <si>
    <t xml:space="preserve">Reply rate ≥ 20%</t>
  </si>
  <si>
    <t xml:space="preserve">Re-engage / Win-back</t>
  </si>
  <si>
    <t xml:space="preserve">Kích hoạt lại lead cũ</t>
  </si>
  <si>
    <t xml:space="preserve">[Tên] ơi, Việt Anh vẫn còn chỗ cho [Cấp]. Ưu đãi đặc biệt cho PH quay lại. Hẹn gặp bạn tuần này!</t>
  </si>
  <si>
    <t xml:space="preserve">Đặt lịch lại</t>
  </si>
  <si>
    <t xml:space="preserve">Lead lost &gt; 30 ngày</t>
  </si>
  <si>
    <t xml:space="preserve">Lost 30d trigger</t>
  </si>
  <si>
    <t xml:space="preserve">Reactivation ≥ 3%</t>
  </si>
  <si>
    <t xml:space="preserve">D. LỊCH BROADCAST ZALO OA HÀNG TUẦN</t>
  </si>
  <si>
    <t xml:space="preserve">Giờ gửi</t>
  </si>
  <si>
    <t xml:space="preserve">Template</t>
  </si>
  <si>
    <t xml:space="preserve">Segment</t>
  </si>
  <si>
    <t xml:space="preserve">Thứ 3</t>
  </si>
  <si>
    <t xml:space="preserve">10:00</t>
  </si>
  <si>
    <t xml:space="preserve">Lead chưa tour + campus tương ứng</t>
  </si>
  <si>
    <t xml:space="preserve">Mời tour cuối tuần | Cơ sở phù hợp</t>
  </si>
  <si>
    <t xml:space="preserve">Open ≥ 40%, CTR ≥ 5%</t>
  </si>
  <si>
    <t xml:space="preserve">Segment theo campus, cấp</t>
  </si>
  <si>
    <t xml:space="preserve">Ưu đãi / Webinar</t>
  </si>
  <si>
    <t xml:space="preserve">Tất cả lead active</t>
  </si>
  <si>
    <t xml:space="preserve">Ưu đãi tuần hoặc reminder webinar</t>
  </si>
  <si>
    <t xml:space="preserve">Open ≥ 35%, CTR ≥ 4%</t>
  </si>
  <si>
    <t xml:space="preserve">Tuần có WB → WB invite</t>
  </si>
  <si>
    <t xml:space="preserve">Thứ 6</t>
  </si>
  <si>
    <t xml:space="preserve">09:00</t>
  </si>
  <si>
    <t xml:space="preserve">Lead đã book tour T7/CN</t>
  </si>
  <si>
    <t xml:space="preserve">Nhắc tour cuối tuần + địa chỉ + parking</t>
  </si>
  <si>
    <t xml:space="preserve">Open ≥ 60%</t>
  </si>
  <si>
    <t xml:space="preserve">Auto từ GHL</t>
  </si>
  <si>
    <t xml:space="preserve">Thứ 7</t>
  </si>
  <si>
    <t xml:space="preserve">08:00</t>
  </si>
  <si>
    <t xml:space="preserve">Tour Reminder 2h</t>
  </si>
  <si>
    <t xml:space="preserve">Lead tour hôm nay</t>
  </si>
  <si>
    <t xml:space="preserve">Nhắc tour sáng nay + SĐT liên hệ</t>
  </si>
  <si>
    <t xml:space="preserve">Open ≥ 70%</t>
  </si>
  <si>
    <t xml:space="preserve">Cuối tháng</t>
  </si>
  <si>
    <t xml:space="preserve">Scholarship / Deadline</t>
  </si>
  <si>
    <t xml:space="preserve">Lead qualified THCS/THPT</t>
  </si>
  <si>
    <t xml:space="preserve">Deadline ưu đãi, học bổng sắp hết</t>
  </si>
  <si>
    <t xml:space="preserve">CTR ≥ 6%</t>
  </si>
  <si>
    <t xml:space="preserve">Đầu tháng</t>
  </si>
  <si>
    <t xml:space="preserve">Re-engage</t>
  </si>
  <si>
    <t xml:space="preserve">Lost leads &gt; 30 ngày</t>
  </si>
  <si>
    <t xml:space="preserve">Win-back message + ưu đãi quay lại</t>
  </si>
  <si>
    <t xml:space="preserve">Monthly, manual approval</t>
  </si>
  <si>
    <t xml:space="preserve">E. ZALO ADS – CHI TIẾT AUDIENCE &amp; CREATIVE THEO CHIẾN DỊCH</t>
  </si>
  <si>
    <t xml:space="preserve">Audience Size est.</t>
  </si>
  <si>
    <t xml:space="preserve">Detailed Targeting</t>
  </si>
  <si>
    <t xml:space="preserve">Placement</t>
  </si>
  <si>
    <t xml:space="preserve">Creative Type</t>
  </si>
  <si>
    <t xml:space="preserve">Số lượng creative</t>
  </si>
  <si>
    <t xml:space="preserve">Daily Budget</t>
  </si>
  <si>
    <t xml:space="preserve">Optimization Goal</t>
  </si>
  <si>
    <t xml:space="preserve">Tracking</t>
  </si>
  <si>
    <t xml:space="preserve">150,000-300,000</t>
  </si>
  <si>
    <t xml:space="preserve">Geo: Gò Vấp 5km + Cần Giuộc + Rạch Giá | Age 25-40 | Female 85% | Interest: Parenting, Baby, Preschool</t>
  </si>
  <si>
    <t xml:space="preserve">Zalo Feed + Article</t>
  </si>
  <si>
    <t xml:space="preserve">Image card + Short text</t>
  </si>
  <si>
    <t xml:space="preserve">5 image + 3 article</t>
  </si>
  <si>
    <t xml:space="preserve">Test 2 headline, 2 image</t>
  </si>
  <si>
    <t xml:space="preserve">Click to OA / Lead form</t>
  </si>
  <si>
    <t xml:space="preserve">Zalo Pixel + UTM → GA4</t>
  </si>
  <si>
    <t xml:space="preserve">200,000-400,000</t>
  </si>
  <si>
    <t xml:space="preserve">Geo: Gò Vấp + Bình Tân + Tỉnh | Age 28-45 | Parents | Interest: Education, School</t>
  </si>
  <si>
    <t xml:space="preserve">Image card + Carousel</t>
  </si>
  <si>
    <t xml:space="preserve">4 image + 2 carousel</t>
  </si>
  <si>
    <t xml:space="preserve">Test headline + CTA</t>
  </si>
  <si>
    <t xml:space="preserve">300,000-500,000</t>
  </si>
  <si>
    <t xml:space="preserve">Geo: TP.HCM rộng | Age 30-55 | Interest: Education, University prep, Scholarship</t>
  </si>
  <si>
    <t xml:space="preserve">Zalo Feed + Article + Banner</t>
  </si>
  <si>
    <t xml:space="preserve">Image + Video teaser 15s</t>
  </si>
  <si>
    <t xml:space="preserve">4 image + 2 video + 2 article</t>
  </si>
  <si>
    <t xml:space="preserve">Test video vs image</t>
  </si>
  <si>
    <t xml:space="preserve">Lead form / Webinar reg</t>
  </si>
  <si>
    <t xml:space="preserve">50,000-100,000</t>
  </si>
  <si>
    <t xml:space="preserve">OA followers + Website pixel visitors | All ages | Exclude enrolled</t>
  </si>
  <si>
    <t xml:space="preserve">Zalo Feed + Push notification</t>
  </si>
  <si>
    <t xml:space="preserve">Countdown + Ưu đãi + Tour reminder</t>
  </si>
  <si>
    <t xml:space="preserve">3 countdown + 2 offer</t>
  </si>
  <si>
    <t xml:space="preserve">Test urgency vs benefit</t>
  </si>
  <si>
    <t xml:space="preserve">Conversion / Tour booked</t>
  </si>
  <si>
    <t xml:space="preserve">Zalo Pixel + GHL sync</t>
  </si>
  <si>
    <t xml:space="preserve">F. ZALO OA AUTO-REPLY MENU CHI TIẾT</t>
  </si>
  <si>
    <t xml:space="preserve">Menu Level 1</t>
  </si>
  <si>
    <t xml:space="preserve">Menu Level 2</t>
  </si>
  <si>
    <t xml:space="preserve">Auto-reply Content</t>
  </si>
  <si>
    <t xml:space="preserve">GHL Action</t>
  </si>
  <si>
    <t xml:space="preserve">📚 Tư vấn Mầm non</t>
  </si>
  <si>
    <t xml:space="preserve">Cảm ơn bạn! MN Việt Anh có 4 cơ sở: GV, Nhân Lễ, Thái Sơn, Mekong Xanh. Bạn muốn tìm hiểu cơ sở nào?</t>
  </si>
  <si>
    <t xml:space="preserve">Tag: grade_mn + Assign sales</t>
  </si>
  <si>
    <t xml:space="preserve">Chọn cơ sở → Info + Book tour</t>
  </si>
  <si>
    <t xml:space="preserve">📖 Tư vấn Tiểu học</t>
  </si>
  <si>
    <t xml:space="preserve">TH Việt Anh có tại: Gò Vấp, Bình Tân, Thái Sơn, Mekong Xanh. Song ngữ từ lớp 1. Bạn quan tâm cơ sở nào?</t>
  </si>
  <si>
    <t xml:space="preserve">Tag: grade_th + Assign sales</t>
  </si>
  <si>
    <t xml:space="preserve">🎓 Tư vấn THCS</t>
  </si>
  <si>
    <t xml:space="preserve">THCS Việt Anh tại Gò Vấp. Lộ trình 6→12 liên cấp, GV chủ nhiệm theo sát. Để lại SĐT để được tư vấn chi tiết!</t>
  </si>
  <si>
    <t xml:space="preserve">Tag: grade_thcs + Create contact</t>
  </si>
  <si>
    <t xml:space="preserve">Sales gọi lại &lt; 5 phút</t>
  </si>
  <si>
    <t xml:space="preserve">🏫 Tư vấn THPT</t>
  </si>
  <si>
    <t xml:space="preserve">THPT Việt Anh Gò Vấp. Học bổng đến 100%, đầu ra ĐH top. Để lại SĐT hoặc nhấn "Đăng ký thi học bổng"!</t>
  </si>
  <si>
    <t xml:space="preserve">Tag: grade_thpt + Create contact</t>
  </si>
  <si>
    <t xml:space="preserve">Sales gọi + Gửi brochure</t>
  </si>
  <si>
    <t xml:space="preserve">💰 Học phí</t>
  </si>
  <si>
    <t xml:space="preserve">Học phí Việt Anh dao động theo cấp và cơ sở. Nhấn cấp học để xem chi tiết hoặc liên hệ hotline 0916 961 409.</t>
  </si>
  <si>
    <t xml:space="preserve">Tag: fee_inquiry + Hot lead</t>
  </si>
  <si>
    <t xml:space="preserve">Gửi bảng phí → Book tour</t>
  </si>
  <si>
    <t xml:space="preserve">📅 Đặt lịch Tour</t>
  </si>
  <si>
    <t xml:space="preserve">Tuyệt vời! Chọn cơ sở và thời gian phù hợp. Chúng tôi sẽ xác nhận ngay!</t>
  </si>
  <si>
    <t xml:space="preserve">Create appointment in GHL</t>
  </si>
  <si>
    <t xml:space="preserve">Confirm SMS + Zalo 2h trước</t>
  </si>
  <si>
    <t xml:space="preserve">📞 Gọi Hotline</t>
  </si>
  <si>
    <t xml:space="preserve">Hotline: 0916 961 409 (tất cả cơ sở). Giờ tư vấn: 7:30-17:30 T2-T7, 8:00-12:00 CN.</t>
  </si>
  <si>
    <t xml:space="preserve">Log call_intent</t>
  </si>
  <si>
    <t xml:space="preserve">Track click_call</t>
  </si>
  <si>
    <t xml:space="preserve">🎯 Hội thảo/Webinar</t>
  </si>
  <si>
    <t xml:space="preserve">Hội thảo miễn phí sắp tới: [Tên WB] ngày [Date]. Đăng ký ngay!</t>
  </si>
  <si>
    <t xml:space="preserve">Tag: webinar_interest</t>
  </si>
  <si>
    <t xml:space="preserve">Gửi link đăng ký WB</t>
  </si>
  <si>
    <t xml:space="preserve">ZALO ADS CAMPAIGNS THEO PHỄU</t>
  </si>
  <si>
    <t xml:space="preserve">Loại Ads</t>
  </si>
  <si>
    <t xml:space="preserve">Tiêu Đề Article</t>
  </si>
  <si>
    <t xml:space="preserve">Thumbnail URL</t>
  </si>
  <si>
    <t xml:space="preserve">Target Audience</t>
  </si>
  <si>
    <t xml:space="preserve">Budget/Tháng</t>
  </si>
  <si>
    <t xml:space="preserve">Ghi Chú</t>
  </si>
  <si>
    <t xml:space="preserve">Zalo Article Ads</t>
  </si>
  <si>
    <t xml:space="preserve">Tại sao chọn trường Mầm Non Trường Việt Anh?</t>
  </si>
  <si>
    <t xml:space="preserve">https://example.com/zalo-MN.jpg</t>
  </si>
  <si>
    <t xml:space="preserve">Phụ huynh có con MN, tuổi 3-18, tại Tp.HCM</t>
  </si>
  <si>
    <t xml:space="preserve">forms.truongvietanh.com/zalo-mn</t>
  </si>
  <si>
    <t xml:space="preserve">2,000,000 VND</t>
  </si>
  <si>
    <t xml:space="preserve">Focus: Mầm Non</t>
  </si>
  <si>
    <t xml:space="preserve">Tại sao chọn trường Tiểu Học Trường Việt Anh?</t>
  </si>
  <si>
    <t xml:space="preserve">https://example.com/zalo-TH.jpg</t>
  </si>
  <si>
    <t xml:space="preserve">Phụ huynh có con TH, tuổi 3-18, tại Tp.HCM</t>
  </si>
  <si>
    <t xml:space="preserve">forms.truongvietanh.com/zalo-th</t>
  </si>
  <si>
    <t xml:space="preserve">Focus: Tiểu Học</t>
  </si>
  <si>
    <t xml:space="preserve">Tại sao chọn trường THCS Trường Việt Anh?</t>
  </si>
  <si>
    <t xml:space="preserve">https://example.com/zalo-THCS.jpg</t>
  </si>
  <si>
    <t xml:space="preserve">Phụ huynh có con THCS, tuổi 3-18, tại Tp.HCM</t>
  </si>
  <si>
    <t xml:space="preserve">forms.truongvietanh.com/zalo-thcs</t>
  </si>
  <si>
    <t xml:space="preserve">Focus: THCS</t>
  </si>
  <si>
    <t xml:space="preserve">Tại sao chọn trường THPT Trường Việt Anh?</t>
  </si>
  <si>
    <t xml:space="preserve">https://example.com/zalo-THPT.jpg</t>
  </si>
  <si>
    <t xml:space="preserve">Phụ huynh có con THPT, tuổi 3-18, tại Tp.HCM</t>
  </si>
  <si>
    <t xml:space="preserve">forms.truongvietanh.com/zalo-thpt</t>
  </si>
  <si>
    <t xml:space="preserve">Focus: THPT</t>
  </si>
  <si>
    <t xml:space="preserve">Zalo OA Message Ads</t>
  </si>
  <si>
    <t xml:space="preserve">Mở khóa học online miễn phí</t>
  </si>
  <si>
    <t xml:space="preserve">https://example.com/webinar.jpg</t>
  </si>
  <si>
    <t xml:space="preserve">Phụ huynh toàn quốc</t>
  </si>
  <si>
    <t xml:space="preserve">forms.truongvietanh.com/zalo-webinar</t>
  </si>
  <si>
    <t xml:space="preserve">1,500,000 VND</t>
  </si>
  <si>
    <t xml:space="preserve">Broadcast template</t>
  </si>
  <si>
    <t xml:space="preserve">Zalo Display Ads</t>
  </si>
  <si>
    <t xml:space="preserve">Segment 1</t>
  </si>
  <si>
    <t xml:space="preserve">Khám phá môi trường học tập quốc tế</t>
  </si>
  <si>
    <t xml:space="preserve">https://example.com/display-1.jpg</t>
  </si>
  <si>
    <t xml:space="preserve">Audience segment 1</t>
  </si>
  <si>
    <t xml:space="preserve">forms.truongvietanh.com/zalo-display-1</t>
  </si>
  <si>
    <t xml:space="preserve">800,000 VND</t>
  </si>
  <si>
    <t xml:space="preserve">Week 1</t>
  </si>
  <si>
    <t xml:space="preserve">Segment 2</t>
  </si>
  <si>
    <t xml:space="preserve">https://example.com/display-2.jpg</t>
  </si>
  <si>
    <t xml:space="preserve">Audience segment 2</t>
  </si>
  <si>
    <t xml:space="preserve">forms.truongvietanh.com/zalo-display-2</t>
  </si>
  <si>
    <t xml:space="preserve">Week 2</t>
  </si>
  <si>
    <t xml:space="preserve">Segment 3</t>
  </si>
  <si>
    <t xml:space="preserve">https://example.com/display-3.jpg</t>
  </si>
  <si>
    <t xml:space="preserve">Audience segment 3</t>
  </si>
  <si>
    <t xml:space="preserve">forms.truongvietanh.com/zalo-display-3</t>
  </si>
  <si>
    <t xml:space="preserve">Week 3</t>
  </si>
  <si>
    <t xml:space="preserve">Segment 4</t>
  </si>
  <si>
    <t xml:space="preserve">https://example.com/display-4.jpg</t>
  </si>
  <si>
    <t xml:space="preserve">Audience segment 4</t>
  </si>
  <si>
    <t xml:space="preserve">forms.truongvietanh.com/zalo-display-4</t>
  </si>
  <si>
    <t xml:space="preserve">Week 4</t>
  </si>
  <si>
    <t xml:space="preserve">Segment 5</t>
  </si>
  <si>
    <t xml:space="preserve">https://example.com/display-5.jpg</t>
  </si>
  <si>
    <t xml:space="preserve">Audience segment 5</t>
  </si>
  <si>
    <t xml:space="preserve">forms.truongvietanh.com/zalo-display-5</t>
  </si>
  <si>
    <t xml:space="preserve">Week 5</t>
  </si>
  <si>
    <t xml:space="preserve">Segment 6</t>
  </si>
  <si>
    <t xml:space="preserve">https://example.com/display-6.jpg</t>
  </si>
  <si>
    <t xml:space="preserve">Audience segment 6</t>
  </si>
  <si>
    <t xml:space="preserve">forms.truongvietanh.com/zalo-display-6</t>
  </si>
  <si>
    <t xml:space="preserve">Week 6</t>
  </si>
  <si>
    <t xml:space="preserve">Segment 7</t>
  </si>
  <si>
    <t xml:space="preserve">https://example.com/display-7.jpg</t>
  </si>
  <si>
    <t xml:space="preserve">Audience segment 7</t>
  </si>
  <si>
    <t xml:space="preserve">forms.truongvietanh.com/zalo-display-7</t>
  </si>
  <si>
    <t xml:space="preserve">Week 7</t>
  </si>
  <si>
    <t xml:space="preserve">Segment 8</t>
  </si>
  <si>
    <t xml:space="preserve">https://example.com/display-8.jpg</t>
  </si>
  <si>
    <t xml:space="preserve">Audience segment 8</t>
  </si>
  <si>
    <t xml:space="preserve">forms.truongvietanh.com/zalo-display-8</t>
  </si>
  <si>
    <t xml:space="preserve">Week 8</t>
  </si>
  <si>
    <t xml:space="preserve">ZALO OA AUTOMATION WORKFLOWS</t>
  </si>
  <si>
    <t xml:space="preserve">Tên Workflow</t>
  </si>
  <si>
    <t xml:space="preserve">Số Message</t>
  </si>
  <si>
    <t xml:space="preserve">Timing</t>
  </si>
  <si>
    <t xml:space="preserve">Target KPI</t>
  </si>
  <si>
    <t xml:space="preserve">Status</t>
  </si>
  <si>
    <t xml:space="preserve">Welcome Follower</t>
  </si>
  <si>
    <t xml:space="preserve">User follow OA</t>
  </si>
  <si>
    <t xml:space="preserve">Immediate + 1h + 24h</t>
  </si>
  <si>
    <t xml:space="preserve">forms.truongvietanh.com/zalo-welcome</t>
  </si>
  <si>
    <t xml:space="preserve">Engagement 80%</t>
  </si>
  <si>
    <t xml:space="preserve">Active</t>
  </si>
  <si>
    <t xml:space="preserve">Nurture Sequence</t>
  </si>
  <si>
    <t xml:space="preserve">Viewed article</t>
  </si>
  <si>
    <t xml:space="preserve">Day 0,1,2,3,7</t>
  </si>
  <si>
    <t xml:space="preserve">Đăng ký tour</t>
  </si>
  <si>
    <t xml:space="preserve">forms.truongvietanh.com/zalo-tour</t>
  </si>
  <si>
    <t xml:space="preserve">Tour signup 30%</t>
  </si>
  <si>
    <t xml:space="preserve">Registered tour</t>
  </si>
  <si>
    <t xml:space="preserve">7 days, 1 day before</t>
  </si>
  <si>
    <t xml:space="preserve">Nhắc nhở</t>
  </si>
  <si>
    <t xml:space="preserve">forms.truongvietanh.com/zalo-reminder</t>
  </si>
  <si>
    <t xml:space="preserve">Attendance 90%</t>
  </si>
  <si>
    <t xml:space="preserve">Post-Tour Follow-up</t>
  </si>
  <si>
    <t xml:space="preserve">Immediate + 24h + 72h</t>
  </si>
  <si>
    <t xml:space="preserve">Ghi danh</t>
  </si>
  <si>
    <t xml:space="preserve">forms.truongvietanh.com/zalo-enroll</t>
  </si>
  <si>
    <t xml:space="preserve">Conversion 25%</t>
  </si>
  <si>
    <t xml:space="preserve">Webinar Series</t>
  </si>
  <si>
    <t xml:space="preserve">Webinar signup</t>
  </si>
  <si>
    <t xml:space="preserve">Day 1,3,5,7 before</t>
  </si>
  <si>
    <t xml:space="preserve">Tham dự</t>
  </si>
  <si>
    <t xml:space="preserve">Attendance 70%</t>
  </si>
  <si>
    <t xml:space="preserve">Scholarship Info</t>
  </si>
  <si>
    <t xml:space="preserve">Inquiry received</t>
  </si>
  <si>
    <t xml:space="preserve">Immediate + 48h</t>
  </si>
  <si>
    <t xml:space="preserve">Chi tiết HT</t>
  </si>
  <si>
    <t xml:space="preserve">forms.truongvietanh.com/zalo-scholarship</t>
  </si>
  <si>
    <t xml:space="preserve">Inquiry-&gt;Lead 40%</t>
  </si>
  <si>
    <t xml:space="preserve">Re-engagement</t>
  </si>
  <si>
    <t xml:space="preserve">No action 14 days</t>
  </si>
  <si>
    <t xml:space="preserve">Day 14, 21</t>
  </si>
  <si>
    <t xml:space="preserve">Quay lại</t>
  </si>
  <si>
    <t xml:space="preserve">forms.truongvietanh.com/zalo-comeback</t>
  </si>
  <si>
    <t xml:space="preserve">Re-engagement 15%</t>
  </si>
  <si>
    <t xml:space="preserve">Paused</t>
  </si>
  <si>
    <t xml:space="preserve">Birthday Message</t>
  </si>
  <si>
    <t xml:space="preserve">Birthday date</t>
  </si>
  <si>
    <t xml:space="preserve">Birthday morning</t>
  </si>
  <si>
    <t xml:space="preserve">Quà tặng</t>
  </si>
  <si>
    <t xml:space="preserve">forms.truongvietanh.com/zalo-birthday</t>
  </si>
  <si>
    <t xml:space="preserve">Open rate 50%</t>
  </si>
  <si>
    <t xml:space="preserve">Made referral</t>
  </si>
  <si>
    <t xml:space="preserve">Immediate + 7d + 30d</t>
  </si>
  <si>
    <t xml:space="preserve">Giới thiệu</t>
  </si>
  <si>
    <t xml:space="preserve">forms.truongvietanh.com/zalo-refer</t>
  </si>
  <si>
    <t xml:space="preserve">Referral conversion 20%</t>
  </si>
  <si>
    <t xml:space="preserve">Khai Giảng Alert</t>
  </si>
  <si>
    <t xml:space="preserve">User inactive</t>
  </si>
  <si>
    <t xml:space="preserve">Week before khai giảng</t>
  </si>
  <si>
    <t xml:space="preserve">Nộp hồ sơ</t>
  </si>
  <si>
    <t xml:space="preserve">Last-minute signup 10%</t>
  </si>
  <si>
    <t xml:space="preserve">KẾ HOẠCH TÁC CHIẾN TUẦN 1-28 (03-09/2026)</t>
  </si>
  <si>
    <t xml:space="preserve">Mục tiêu tuần</t>
  </si>
  <si>
    <t xml:space="preserve">Marketing Action</t>
  </si>
  <si>
    <t xml:space="preserve">Sales Action</t>
  </si>
  <si>
    <t xml:space="preserve">Campus Action</t>
  </si>
  <si>
    <t xml:space="preserve">26/03-01/04</t>
  </si>
  <si>
    <t xml:space="preserve">Dựng nền tảng</t>
  </si>
  <si>
    <t xml:space="preserve">Setup GTM+Pixel+GHL+Birch+LP</t>
  </si>
  <si>
    <t xml:space="preserve">Chốt SLA+script+CRM tags</t>
  </si>
  <si>
    <t xml:space="preserve">Hotline+GMB+Tour slots</t>
  </si>
  <si>
    <t xml:space="preserve">02-08/04</t>
  </si>
  <si>
    <t xml:space="preserve">Chuẩn hóa LP+Forms</t>
  </si>
  <si>
    <t xml:space="preserve">Test LP 6 cơ sở + Forms → GHL</t>
  </si>
  <si>
    <t xml:space="preserve">Test nhận lead+gọi lại</t>
  </si>
  <si>
    <t xml:space="preserve">Chụp ảnh+video bổ sung</t>
  </si>
  <si>
    <t xml:space="preserve">09-15/04</t>
  </si>
  <si>
    <t xml:space="preserve">Pilot</t>
  </si>
  <si>
    <t xml:space="preserve">Pilot campaign đợt 1</t>
  </si>
  <si>
    <t xml:space="preserve">Bật Brand+Generic+HighIntent | 2 RSA/adgroup</t>
  </si>
  <si>
    <t xml:space="preserve">Gọi 100% lead &lt;5 phút</t>
  </si>
  <si>
    <t xml:space="preserve">Tour slots ít nhất 2/tuần</t>
  </si>
  <si>
    <t xml:space="preserve">16-22/04</t>
  </si>
  <si>
    <t xml:space="preserve">Đánh giá pilot</t>
  </si>
  <si>
    <t xml:space="preserve">Rà search terms+pause yếu+keep tốt</t>
  </si>
  <si>
    <t xml:space="preserve">QA 20 cuộc gọi đầu</t>
  </si>
  <si>
    <t xml:space="preserve">Đánh giá 5 tour đầu</t>
  </si>
  <si>
    <t xml:space="preserve">23-29/04</t>
  </si>
  <si>
    <t xml:space="preserve">Scale 1</t>
  </si>
  <si>
    <t xml:space="preserve">Scale sau pilot</t>
  </si>
  <si>
    <t xml:space="preserve">Tăng budget campaigns thắng+mở thêm cơ sở</t>
  </si>
  <si>
    <t xml:space="preserve">4 touchpoints/lead 3 ngày</t>
  </si>
  <si>
    <t xml:space="preserve">Open campus cuối tuần</t>
  </si>
  <si>
    <t xml:space="preserve">30/04-06/05</t>
  </si>
  <si>
    <t xml:space="preserve">Mở webinar</t>
  </si>
  <si>
    <t xml:space="preserve">LP webinar THCS+THPT+Search webinar ads</t>
  </si>
  <si>
    <t xml:space="preserve">Script gọi webinar lead</t>
  </si>
  <si>
    <t xml:space="preserve">Diễn giả+slide+CTA</t>
  </si>
  <si>
    <t xml:space="preserve">07-13/05</t>
  </si>
  <si>
    <t xml:space="preserve">Tối ưu quality</t>
  </si>
  <si>
    <t xml:space="preserve">Tách HI/webinar/brand+bidding optimize</t>
  </si>
  <si>
    <t xml:space="preserve">Rà Lead→Tour by counselor</t>
  </si>
  <si>
    <t xml:space="preserve">Show-up rate report</t>
  </si>
  <si>
    <t xml:space="preserve">14-20/05</t>
  </si>
  <si>
    <t xml:space="preserve">Mở competitor</t>
  </si>
  <si>
    <t xml:space="preserve">Competitor THCS+THPT GV+LP compare</t>
  </si>
  <si>
    <t xml:space="preserve">Script xử lý so sánh</t>
  </si>
  <si>
    <t xml:space="preserve">Bảng so sánh mềm</t>
  </si>
  <si>
    <t xml:space="preserve">21-27/05</t>
  </si>
  <si>
    <t xml:space="preserve">Khóa baseline T4-5</t>
  </si>
  <si>
    <t xml:space="preserve">Tổng hợp CPL/campus/quality | Plan T6</t>
  </si>
  <si>
    <t xml:space="preserve">Top 5 lost reasons</t>
  </si>
  <si>
    <t xml:space="preserve">Best practice tour</t>
  </si>
  <si>
    <t xml:space="preserve">28/05-03/06</t>
  </si>
  <si>
    <t xml:space="preserve">Scale 2</t>
  </si>
  <si>
    <t xml:space="preserve">Scale mạnh T6</t>
  </si>
  <si>
    <t xml:space="preserve">Tăng NS THCS+THPT GV+brand defense</t>
  </si>
  <si>
    <t xml:space="preserve">Ưu tiên lead Google</t>
  </si>
  <si>
    <t xml:space="preserve">Tăng tour slots</t>
  </si>
  <si>
    <t xml:space="preserve">04-10/06</t>
  </si>
  <si>
    <t xml:space="preserve">YouTube+DG</t>
  </si>
  <si>
    <t xml:space="preserve">Video testi THCS/THPT+YouTube retarget</t>
  </si>
  <si>
    <t xml:space="preserve">Tag video-engaged lead</t>
  </si>
  <si>
    <t xml:space="preserve">Quay thêm testimonial</t>
  </si>
  <si>
    <t xml:space="preserve">11-17/06</t>
  </si>
  <si>
    <t xml:space="preserve">Test PMax</t>
  </si>
  <si>
    <t xml:space="preserve">PMax test 2% | Track riêng</t>
  </si>
  <si>
    <t xml:space="preserve">Source PMax riêng</t>
  </si>
  <si>
    <t xml:space="preserve">Giữ nguyên quy trình</t>
  </si>
  <si>
    <t xml:space="preserve">18-24/06</t>
  </si>
  <si>
    <t xml:space="preserve">Chuyển cấp push</t>
  </si>
  <si>
    <t xml:space="preserve">Campaign lớp 1/6/10 tập trung</t>
  </si>
  <si>
    <t xml:space="preserve">Script riêng per grade</t>
  </si>
  <si>
    <t xml:space="preserve">Tài liệu theo cấp</t>
  </si>
  <si>
    <t xml:space="preserve">25/06-01/07</t>
  </si>
  <si>
    <t xml:space="preserve">LP optimization</t>
  </si>
  <si>
    <t xml:space="preserve">Heatmap+CVR+A/B hero section</t>
  </si>
  <si>
    <t xml:space="preserve">Cập nhật FAQ mới</t>
  </si>
  <si>
    <t xml:space="preserve">Ảnh hoạt động mới</t>
  </si>
  <si>
    <t xml:space="preserve">02-08/07</t>
  </si>
  <si>
    <t xml:space="preserve">Peak</t>
  </si>
  <si>
    <t xml:space="preserve">Webinar chốt</t>
  </si>
  <si>
    <t xml:space="preserve">Webinar THCS+THPT | Search+YT+retarget</t>
  </si>
  <si>
    <t xml:space="preserve">Gọi 24h sau webinar</t>
  </si>
  <si>
    <t xml:space="preserve">Campus head webinar</t>
  </si>
  <si>
    <t xml:space="preserve">09-15/07</t>
  </si>
  <si>
    <t xml:space="preserve">Cost/tour focus</t>
  </si>
  <si>
    <t xml:space="preserve">Pause CPL đẹp nhưng tour xấu | Scale tour tốt</t>
  </si>
  <si>
    <t xml:space="preserve">Coaching counselor yếu</t>
  </si>
  <si>
    <t xml:space="preserve">Tour→hồ sơ by campus</t>
  </si>
  <si>
    <t xml:space="preserve">16-22/07</t>
  </si>
  <si>
    <t xml:space="preserve">Lock winners</t>
  </si>
  <si>
    <t xml:space="preserve">Top 10 KW+Top 5 LP+Top 3 video | Brand defense</t>
  </si>
  <si>
    <t xml:space="preserve">Chốt objection script</t>
  </si>
  <si>
    <t xml:space="preserve">Kiểm tra capacity tour</t>
  </si>
  <si>
    <t xml:space="preserve">23-29/07</t>
  </si>
  <si>
    <t xml:space="preserve">Chốt</t>
  </si>
  <si>
    <t xml:space="preserve">Chốt mạnh nhất</t>
  </si>
  <si>
    <t xml:space="preserve">HI+brand+retarget đẩy mạnh | Ưu đãi cuối</t>
  </si>
  <si>
    <t xml:space="preserve">Lead nóng xử lý 30 phút</t>
  </si>
  <si>
    <t xml:space="preserve">Tour đều đặn, sẵn sàng</t>
  </si>
  <si>
    <t xml:space="preserve">30/07-05/08</t>
  </si>
  <si>
    <t xml:space="preserve">Tăng show-up</t>
  </si>
  <si>
    <t xml:space="preserve">RMKT booked chưa đến+reminder asset</t>
  </si>
  <si>
    <t xml:space="preserve">Nhắc 24h+2h | Xử lý no-show</t>
  </si>
  <si>
    <t xml:space="preserve">Đón khách đúng giờ</t>
  </si>
  <si>
    <t xml:space="preserve">06-12/08</t>
  </si>
  <si>
    <t xml:space="preserve">Tour→hồ sơ</t>
  </si>
  <si>
    <t xml:space="preserve">LP ưu đãi cuối+RMKT đã tour chưa chốt</t>
  </si>
  <si>
    <t xml:space="preserve">Follow-up 3-5-7 ngày sau tour</t>
  </si>
  <si>
    <t xml:space="preserve">Tài liệu follow-up chuẩn</t>
  </si>
  <si>
    <t xml:space="preserve">13-19/08</t>
  </si>
  <si>
    <t xml:space="preserve">Brand defense</t>
  </si>
  <si>
    <t xml:space="preserve">Tăng brand impression share+monitor competitor</t>
  </si>
  <si>
    <t xml:space="preserve">Ưu tiên brand leads</t>
  </si>
  <si>
    <t xml:space="preserve">Hotline+map 100% chính xác</t>
  </si>
  <si>
    <t xml:space="preserve">20-26/08</t>
  </si>
  <si>
    <t xml:space="preserve">Campus gap fill</t>
  </si>
  <si>
    <t xml:space="preserve">Dồn NS theo campus hụt+cắt campus đủ</t>
  </si>
  <si>
    <t xml:space="preserve">Ưu tiên cơ sở hụt target</t>
  </si>
  <si>
    <t xml:space="preserve">Tăng tour cơ sở hụt</t>
  </si>
  <si>
    <t xml:space="preserve">27/08-02/09</t>
  </si>
  <si>
    <t xml:space="preserve">Vét</t>
  </si>
  <si>
    <t xml:space="preserve">Khóa T8</t>
  </si>
  <si>
    <t xml:space="preserve">Rà HI+brand+RMKT nóng | Tắt display lạnh</t>
  </si>
  <si>
    <t xml:space="preserve">Gọi lại all lead nóng chưa chốt</t>
  </si>
  <si>
    <t xml:space="preserve">Danh sách chỗ trống</t>
  </si>
  <si>
    <t xml:space="preserve">03-09/09</t>
  </si>
  <si>
    <t xml:space="preserve">Late</t>
  </si>
  <si>
    <t xml:space="preserve">Search 'chuyển trường'+'còn nhận hồ sơ' | Brand on</t>
  </si>
  <si>
    <t xml:space="preserve">Script chuyển trường</t>
  </si>
  <si>
    <t xml:space="preserve">Xử lý hồ sơ gấp</t>
  </si>
  <si>
    <t xml:space="preserve">10-16/09</t>
  </si>
  <si>
    <t xml:space="preserve">RMKT 30-60d+DG nhẹ audience cũ</t>
  </si>
  <si>
    <t xml:space="preserve">Gọi lại lead tour chưa chốt</t>
  </si>
  <si>
    <t xml:space="preserve">Mời PH quay lại campus</t>
  </si>
  <si>
    <t xml:space="preserve">17-23/09</t>
  </si>
  <si>
    <t xml:space="preserve">Optimize cuối</t>
  </si>
  <si>
    <t xml:space="preserve">Cắt lãng phí+giữ brand+HI+reactivation</t>
  </si>
  <si>
    <t xml:space="preserve">Tập trung lead cao nhất</t>
  </si>
  <si>
    <t xml:space="preserve">Real-time số chỗ</t>
  </si>
  <si>
    <t xml:space="preserve">24-28/09</t>
  </si>
  <si>
    <t xml:space="preserve">Close</t>
  </si>
  <si>
    <t xml:space="preserve">Chốt nốt</t>
  </si>
  <si>
    <t xml:space="preserve">RMKT form/phí/hotline | 'Còn nhận hồ sơ'</t>
  </si>
  <si>
    <t xml:space="preserve">Gọi all pending | Chốt giấy tờ</t>
  </si>
  <si>
    <t xml:space="preserve">Hỗ trợ hồ sơ nhanh</t>
  </si>
  <si>
    <t xml:space="preserve">29-30/09</t>
  </si>
  <si>
    <t xml:space="preserve">Đóng mùa</t>
  </si>
  <si>
    <t xml:space="preserve">Tổng kết: spend/leads/tours/enrollments/CAC | Playbook</t>
  </si>
  <si>
    <t xml:space="preserve">Tổng kết per counselor | Lost reasons</t>
  </si>
  <si>
    <t xml:space="preserve">Tổng kết tour+testimonial mới</t>
  </si>
  <si>
    <t xml:space="preserve">BATTLEPLAN MẪU — TUẦN PEAK (T6/2026)</t>
  </si>
  <si>
    <t xml:space="preserve">Giờ</t>
  </si>
  <si>
    <t xml:space="preserve">Task</t>
  </si>
  <si>
    <t xml:space="preserve">Người Phụ Trách</t>
  </si>
  <si>
    <t xml:space="preserve">Output/KPI</t>
  </si>
  <si>
    <t xml:space="preserve">Weekly kickoff + Ads performance review</t>
  </si>
  <si>
    <t xml:space="preserve">Team meeting</t>
  </si>
  <si>
    <t xml:space="preserve">Review ROI từ tuần trước</t>
  </si>
  <si>
    <t xml:space="preserve">Action items list</t>
  </si>
  <si>
    <t xml:space="preserve">Content calendar planning + Design briefing</t>
  </si>
  <si>
    <t xml:space="preserve">Content Manager + Designer</t>
  </si>
  <si>
    <t xml:space="preserve">Internal</t>
  </si>
  <si>
    <t xml:space="preserve">Lên kế hoạch content tuần</t>
  </si>
  <si>
    <t xml:space="preserve">7 content pieces planned</t>
  </si>
  <si>
    <t xml:space="preserve">Ads optimization + Budget allocation</t>
  </si>
  <si>
    <t xml:space="preserve">PPC Specialist</t>
  </si>
  <si>
    <t xml:space="preserve">All ads channels</t>
  </si>
  <si>
    <t xml:space="preserve">Tối ưu ROAS</t>
  </si>
  <si>
    <t xml:space="preserve">Budget split confirmed</t>
  </si>
  <si>
    <t xml:space="preserve">08:30</t>
  </si>
  <si>
    <t xml:space="preserve">Video production: Student testimonials</t>
  </si>
  <si>
    <t xml:space="preserve">Video Producer</t>
  </si>
  <si>
    <t xml:space="preserve">TikTok + Instagram</t>
  </si>
  <si>
    <t xml:space="preserve">3 video assets</t>
  </si>
  <si>
    <t xml:space="preserve">3 videos edited</t>
  </si>
  <si>
    <t xml:space="preserve">13:00</t>
  </si>
  <si>
    <t xml:space="preserve">Livestream: Campus tour showcase</t>
  </si>
  <si>
    <t xml:space="preserve">Social Media Manager</t>
  </si>
  <si>
    <t xml:space="preserve">Facebook Live + Instagram Live</t>
  </si>
  <si>
    <t xml:space="preserve">500+ live viewers</t>
  </si>
  <si>
    <t xml:space="preserve">Engagement rate 8%+</t>
  </si>
  <si>
    <t xml:space="preserve">16:00</t>
  </si>
  <si>
    <t xml:space="preserve">Email campaign: Enrollment reminder</t>
  </si>
  <si>
    <t xml:space="preserve">Email Specialist</t>
  </si>
  <si>
    <t xml:space="preserve">Email marketing</t>
  </si>
  <si>
    <t xml:space="preserve">Send to 10k leads</t>
  </si>
  <si>
    <t xml:space="preserve">Open rate 35%+</t>
  </si>
  <si>
    <t xml:space="preserve">Thứ 4</t>
  </si>
  <si>
    <t xml:space="preserve">Midweek performance check-in</t>
  </si>
  <si>
    <t xml:space="preserve">Analytics Manager</t>
  </si>
  <si>
    <t xml:space="preserve">Verify KPI progress</t>
  </si>
  <si>
    <t xml:space="preserve">Dashboard updated</t>
  </si>
  <si>
    <t xml:space="preserve">New creative development</t>
  </si>
  <si>
    <t xml:space="preserve">Designer + Copywriter</t>
  </si>
  <si>
    <t xml:space="preserve">Ads creative</t>
  </si>
  <si>
    <t xml:space="preserve">5 new ad creatives</t>
  </si>
  <si>
    <t xml:space="preserve">A/B test ready</t>
  </si>
  <si>
    <t xml:space="preserve">Zalo OA: Nurture broadcast</t>
  </si>
  <si>
    <t xml:space="preserve">Zalo Specialist</t>
  </si>
  <si>
    <t xml:space="preserve">Send to 5k followers</t>
  </si>
  <si>
    <t xml:space="preserve">Click rate 12%+</t>
  </si>
  <si>
    <t xml:space="preserve">Community engagement: Comments &amp; DMs</t>
  </si>
  <si>
    <t xml:space="preserve">Facebook + Instagram + Zalo</t>
  </si>
  <si>
    <t xml:space="preserve">100% response rate</t>
  </si>
  <si>
    <t xml:space="preserve">Reply time &lt;1hr</t>
  </si>
  <si>
    <t xml:space="preserve">Webinar preparation: Tech &amp; content check</t>
  </si>
  <si>
    <t xml:space="preserve">Webinar Manager</t>
  </si>
  <si>
    <t xml:space="preserve">Zoom/GoToWebinar</t>
  </si>
  <si>
    <t xml:space="preserve">Ready for Friday webinar</t>
  </si>
  <si>
    <t xml:space="preserve">Dry-run completed</t>
  </si>
  <si>
    <t xml:space="preserve">Weekly analytics deep-dive</t>
  </si>
  <si>
    <t xml:space="preserve">Analyze conversion funnel</t>
  </si>
  <si>
    <t xml:space="preserve">Report ready for Monday</t>
  </si>
  <si>
    <t xml:space="preserve">11:00</t>
  </si>
  <si>
    <t xml:space="preserve">Webinar: Live event + Q&amp;A</t>
  </si>
  <si>
    <t xml:space="preserve">Webinar Host + Support team</t>
  </si>
  <si>
    <t xml:space="preserve">Zoom/Email</t>
  </si>
  <si>
    <t xml:space="preserve">200+ registrants</t>
  </si>
  <si>
    <t xml:space="preserve">Attendance 85%+</t>
  </si>
  <si>
    <t xml:space="preserve">Weekend content scheduling</t>
  </si>
  <si>
    <t xml:space="preserve">Schedule weekend posts</t>
  </si>
  <si>
    <t xml:space="preserve">10 posts scheduled</t>
  </si>
  <si>
    <t xml:space="preserve">Open Day support: Live social media</t>
  </si>
  <si>
    <t xml:space="preserve">Social Media Manager + Influencer</t>
  </si>
  <si>
    <t xml:space="preserve">Instagram Stories + TikTok Live</t>
  </si>
  <si>
    <t xml:space="preserve">Real-time engagement</t>
  </si>
  <si>
    <t xml:space="preserve">1000+ live viewers</t>
  </si>
  <si>
    <t xml:space="preserve">TikTok Live: Q&amp;A with students</t>
  </si>
  <si>
    <t xml:space="preserve">Engagement + Lead capture</t>
  </si>
  <si>
    <t xml:space="preserve">500+ comments</t>
  </si>
  <si>
    <t xml:space="preserve">Chủ Nhật</t>
  </si>
  <si>
    <t xml:space="preserve">Next week planning: Review learnings</t>
  </si>
  <si>
    <t xml:space="preserve">Full marketing team</t>
  </si>
  <si>
    <t xml:space="preserve">Plan adjustments for next week</t>
  </si>
  <si>
    <t xml:space="preserve">Next week calendar locked</t>
  </si>
  <si>
    <t xml:space="preserve">Content prep: Design &amp; copy review</t>
  </si>
  <si>
    <t xml:space="preserve">Ready for Monday posting</t>
  </si>
  <si>
    <t xml:space="preserve">20 content pieces ready</t>
  </si>
  <si>
    <t xml:space="preserve">📈 KPI WEEKLY TRACKER – 3 ĐỘI (Marketing | Tuyển Sinh | Ban Cơ Sở)</t>
  </si>
  <si>
    <t xml:space="preserve">Hướng dẫn: Nhập dữ liệu thực tế vào cột "Thực tế" mỗi tuần. Cột "Vs Target" tự tính. Tô màu xanh=đạt, vàng=cần theo dõi, đỏ=cần can thiệp.</t>
  </si>
  <si>
    <t xml:space="preserve">KPI / Chỉ số</t>
  </si>
  <si>
    <t xml:space="preserve">Tuần 1
26/03</t>
  </si>
  <si>
    <t xml:space="preserve">Tuần 2
02/04</t>
  </si>
  <si>
    <t xml:space="preserve">Tuần 3
09/04</t>
  </si>
  <si>
    <t xml:space="preserve">Tuần 4
16/04</t>
  </si>
  <si>
    <t xml:space="preserve">Tuần 5
23/04</t>
  </si>
  <si>
    <t xml:space="preserve">Tuần 6
30/04</t>
  </si>
  <si>
    <t xml:space="preserve">MTD Tích lũy</t>
  </si>
  <si>
    <t xml:space="preserve">Target</t>
  </si>
  <si>
    <t xml:space="preserve">% đạt</t>
  </si>
  <si>
    <t xml:space="preserve">Cảnh báo</t>
  </si>
  <si>
    <t xml:space="preserve">🎯 MARKETING – GOOGLE ADS</t>
  </si>
  <si>
    <t xml:space="preserve">Spend Google (đ)</t>
  </si>
  <si>
    <t xml:space="preserve">Impressions</t>
  </si>
  <si>
    <t xml:space="preserve">Clicks</t>
  </si>
  <si>
    <t xml:space="preserve">CTR (%)</t>
  </si>
  <si>
    <t xml:space="preserve">Ngưỡng: 0.05</t>
  </si>
  <si>
    <t xml:space="preserve">CPC trung bình (đ)</t>
  </si>
  <si>
    <t xml:space="preserve">Leads (Google)</t>
  </si>
  <si>
    <t xml:space="preserve">Qualified Leads (Google)</t>
  </si>
  <si>
    <t xml:space="preserve">CPL Google (đ)</t>
  </si>
  <si>
    <t xml:space="preserve">Ngưỡng: 220000</t>
  </si>
  <si>
    <t xml:space="preserve">Qualified Rate</t>
  </si>
  <si>
    <t xml:space="preserve">Ngưỡng: 0.4</t>
  </si>
  <si>
    <t xml:space="preserve">Booked Tours (Google)</t>
  </si>
  <si>
    <t xml:space="preserve">Cost / Booked Tour</t>
  </si>
  <si>
    <t xml:space="preserve">🎯 MARKETING – META ADS</t>
  </si>
  <si>
    <t xml:space="preserve">Spend Meta (đ)</t>
  </si>
  <si>
    <t xml:space="preserve">Reach / Impressions</t>
  </si>
  <si>
    <t xml:space="preserve">CPM (đ)</t>
  </si>
  <si>
    <t xml:space="preserve">CTR Meta (%)</t>
  </si>
  <si>
    <t xml:space="preserve">Ngưỡng: 0.01</t>
  </si>
  <si>
    <t xml:space="preserve">Leads (Meta)</t>
  </si>
  <si>
    <t xml:space="preserve">CPL Meta (đ)</t>
  </si>
  <si>
    <t xml:space="preserve">Ngưỡng: 180000</t>
  </si>
  <si>
    <t xml:space="preserve">Qualified Rate Meta</t>
  </si>
  <si>
    <t xml:space="preserve">Ngưỡng: 0.35</t>
  </si>
  <si>
    <t xml:space="preserve">Booked Tours (Meta)</t>
  </si>
  <si>
    <t xml:space="preserve">🎯 MARKETING – TIKTOK / ZALO</t>
  </si>
  <si>
    <t xml:space="preserve">Spend TikTok (đ)</t>
  </si>
  <si>
    <t xml:space="preserve">Views / CPV</t>
  </si>
  <si>
    <t xml:space="preserve">Leads TikTok</t>
  </si>
  <si>
    <t xml:space="preserve">CPL TikTok (đ)</t>
  </si>
  <si>
    <t xml:space="preserve">Ngưỡng: 130000</t>
  </si>
  <si>
    <t xml:space="preserve">Spend Zalo (đ)</t>
  </si>
  <si>
    <t xml:space="preserve">Leads Zalo</t>
  </si>
  <si>
    <t xml:space="preserve">CPL Zalo (đ)</t>
  </si>
  <si>
    <t xml:space="preserve">Ngưỡng: 120000</t>
  </si>
  <si>
    <t xml:space="preserve">🏃 TUYỂN SINH – PIPELINE</t>
  </si>
  <si>
    <t xml:space="preserve">Leads mới (tất cả kênh)</t>
  </si>
  <si>
    <t xml:space="preserve">Leads đã gọi</t>
  </si>
  <si>
    <t xml:space="preserve">Response &lt; 5 phút (%)</t>
  </si>
  <si>
    <t xml:space="preserve">Ngưỡng: 0.7</t>
  </si>
  <si>
    <t xml:space="preserve">Tỷ lệ bắt máy (%)</t>
  </si>
  <si>
    <t xml:space="preserve">Lịch tour đặt (Booked)</t>
  </si>
  <si>
    <t xml:space="preserve">Lead → Tour rate (%)</t>
  </si>
  <si>
    <t xml:space="preserve">Ngưỡng: 0.2</t>
  </si>
  <si>
    <t xml:space="preserve">Tour Attended (Show-up)</t>
  </si>
  <si>
    <t xml:space="preserve">Show-up rate (%)</t>
  </si>
  <si>
    <t xml:space="preserve">Ngưỡng: 0.5</t>
  </si>
  <si>
    <t xml:space="preserve">Hồ sơ / Đăng ký</t>
  </si>
  <si>
    <t xml:space="preserve">Deposits / Đặt cọc</t>
  </si>
  <si>
    <t xml:space="preserve">Nhập học (Enrollment)</t>
  </si>
  <si>
    <t xml:space="preserve">Tour → Enroll rate (%)</t>
  </si>
  <si>
    <t xml:space="preserve">Ngưỡng: 0.25</t>
  </si>
  <si>
    <t xml:space="preserve">🏫 BAN CƠ SỞ – CAMPUS OPS</t>
  </si>
  <si>
    <t xml:space="preserve">Hotline uptime (%)</t>
  </si>
  <si>
    <t xml:space="preserve">Ngưỡng: 0.95</t>
  </si>
  <si>
    <t xml:space="preserve">GMB views</t>
  </si>
  <si>
    <t xml:space="preserve">Tour slots tổng</t>
  </si>
  <si>
    <t xml:space="preserve">Tour slots đã book</t>
  </si>
  <si>
    <t xml:space="preserve">Slot fill rate (%)</t>
  </si>
  <si>
    <t xml:space="preserve">No-show count</t>
  </si>
  <si>
    <t xml:space="preserve">Ảnh/video mới upload</t>
  </si>
  <si>
    <t xml:space="preserve">📋 TODO LIST HÀNG NGÀY – MARKETING + TUYỂN SINH + CƠ SỞ</t>
  </si>
  <si>
    <t xml:space="preserve">Dùng mỗi ngày. Đánh dấu ✅ khi hoàn thành. Ghi chú vào cột Notes. Link đến Campaign Tracker để track số liệu.</t>
  </si>
  <si>
    <t xml:space="preserve">Kênh/Đội</t>
  </si>
  <si>
    <t xml:space="preserve">Chi tiết hành động</t>
  </si>
  <si>
    <t xml:space="preserve">── BUỔI SÁNG (8:00–10:00) ──</t>
  </si>
  <si>
    <t xml:space="preserve">Check pacing &amp; spend</t>
  </si>
  <si>
    <t xml:space="preserve">Login Birch → check daily pacing | Alert overspend &gt;110% → giảm ngay</t>
  </si>
  <si>
    <t xml:space="preserve">Performance Marketer</t>
  </si>
  <si>
    <t xml:space="preserve">Xem search terms mới → Thêm negative nếu sai intent | Min 2 lần/tuần</t>
  </si>
  <si>
    <t xml:space="preserve">Check CPL &amp; CPM</t>
  </si>
  <si>
    <t xml:space="preserve">Ads Manager → filter 3-day window | CPL &gt;120k → review ad set</t>
  </si>
  <si>
    <t xml:space="preserve">8:20</t>
  </si>
  <si>
    <t xml:space="preserve">Kiểm tra ad delivery</t>
  </si>
  <si>
    <t xml:space="preserve">Ad set nào learning phase? Nào đang scale? Nào bị từ chối?</t>
  </si>
  <si>
    <t xml:space="preserve">Check CPV và engagement</t>
  </si>
  <si>
    <t xml:space="preserve">TikTok Ads Manager → CPV, CTR, likes | Video nào dưới 3s quit rate cao?</t>
  </si>
  <si>
    <t xml:space="preserve">8:40</t>
  </si>
  <si>
    <t xml:space="preserve">Kiểm tra broadcast</t>
  </si>
  <si>
    <t xml:space="preserve">Xem open rate, click | Gửi broadcast mới nếu có plan</t>
  </si>
  <si>
    <t xml:space="preserve">8:50</t>
  </si>
  <si>
    <t xml:space="preserve">CRM Executive</t>
  </si>
  <si>
    <t xml:space="preserve">GHL / CRM</t>
  </si>
  <si>
    <t xml:space="preserve">Review lead mới đêm qua</t>
  </si>
  <si>
    <t xml:space="preserve">GHL → All leads → Filter "Created yesterday" | Check source, stage</t>
  </si>
  <si>
    <t xml:space="preserve">Sales Lead</t>
  </si>
  <si>
    <t xml:space="preserve">Gọi lead chưa liên lạc</t>
  </si>
  <si>
    <t xml:space="preserve">Gọi tất cả lead &gt;12h chưa gọi | Log trong CRM</t>
  </si>
  <si>
    <t xml:space="preserve">9:10</t>
  </si>
  <si>
    <t xml:space="preserve">Tư vấn viên</t>
  </si>
  <si>
    <t xml:space="preserve">── BUỔI TRƯA (12:00–13:00) ──</t>
  </si>
  <si>
    <t xml:space="preserve">Follow-up booked tour</t>
  </si>
  <si>
    <t xml:space="preserve">Nhắn Zalo/gọi lead có tour hôm nay/ngày mai | Xác nhận show-up</t>
  </si>
  <si>
    <t xml:space="preserve">12:00</t>
  </si>
  <si>
    <t xml:space="preserve">Check Quality Score</t>
  </si>
  <si>
    <t xml:space="preserve">Review keyword QS thấp (&lt;5) → cải thiện ad/LP</t>
  </si>
  <si>
    <t xml:space="preserve">12:20</t>
  </si>
  <si>
    <t xml:space="preserve">Chuẩn bị tour chiều</t>
  </si>
  <si>
    <t xml:space="preserve">Kiểm tra phòng tư vấn, tài liệu, bảng hiệu | Campus lead xác nhận</t>
  </si>
  <si>
    <t xml:space="preserve">12:30</t>
  </si>
  <si>
    <t xml:space="preserve">Campus Manager</t>
  </si>
  <si>
    <t xml:space="preserve">── BUỔI CHIỀU (14:00–17:00) ──</t>
  </si>
  <si>
    <t xml:space="preserve">Xử lý lead pipeline</t>
  </si>
  <si>
    <t xml:space="preserve">Review pipeline từng stage | Identify stuck leads | Update notes</t>
  </si>
  <si>
    <t xml:space="preserve">Check top/bottom ad sets</t>
  </si>
  <si>
    <t xml:space="preserve">Identify top 3 performers → +15-20% budget | Bottom 2 → pause/fix</t>
  </si>
  <si>
    <t xml:space="preserve">14:30</t>
  </si>
  <si>
    <t xml:space="preserve">Upload/boost nội dung</t>
  </si>
  <si>
    <t xml:space="preserve">Post Story, Reel, TikTok mới | Boost post organic nếu engaging</t>
  </si>
  <si>
    <t xml:space="preserve">Tiến hành tour</t>
  </si>
  <si>
    <t xml:space="preserve">Đón phụ huynh, tư vấn, giới thiệu campus | Log feedback sau tour</t>
  </si>
  <si>
    <t xml:space="preserve">Gọi/nhắn phụ huynh đã tour ngày hôm nay trong 2h | Note CRM</t>
  </si>
  <si>
    <t xml:space="preserve">── CUỐI NGÀY (17:00–18:00) ──</t>
  </si>
  <si>
    <t xml:space="preserve">Điền Daily Metrics</t>
  </si>
  <si>
    <t xml:space="preserve">Điền số vào A. KPI Weekly Tracker: leads, spend, tours, enrolls</t>
  </si>
  <si>
    <t xml:space="preserve">Set bid adjustment nếu cần</t>
  </si>
  <si>
    <t xml:space="preserve">Device, location, time-of-day bid adj | Chạy cao hơn 9-11am, 7-9pm</t>
  </si>
  <si>
    <t xml:space="preserve">17:15</t>
  </si>
  <si>
    <t xml:space="preserve">Tag và phân loại leads cuối ngày</t>
  </si>
  <si>
    <t xml:space="preserve">GHL → Today leads → Verify tags đúng: source, campus, grade, intent</t>
  </si>
  <si>
    <t xml:space="preserve">17:30</t>
  </si>
  <si>
    <t xml:space="preserve">Báo cáo nhanh cho team</t>
  </si>
  <si>
    <t xml:space="preserve">Gửi Slack/Zalo: tổng leads hôm nay, tours, enrolls, anomaly</t>
  </si>
  <si>
    <t xml:space="preserve">17:45</t>
  </si>
  <si>
    <t xml:space="preserve">Cập nhật lead feedback</t>
  </si>
  <si>
    <t xml:space="preserve">Log tour feedback, câu hỏi PH, lý do chưa chốt vào CRM/sheet</t>
  </si>
  <si>
    <t xml:space="preserve">17:50</t>
  </si>
  <si>
    <t xml:space="preserve">═══ DANH SÁCH CÔNG VIỆC HÀNG NGÀY CỰC KỲ CHI TIẾT — TẤT CẢ KÊNH ═══</t>
  </si>
  <si>
    <t xml:space="preserve">A. CHECKLIST BUỔI SÁNG (7:00-8:30)</t>
  </si>
  <si>
    <t xml:space="preserve">Kênh/Công cụ</t>
  </si>
  <si>
    <t xml:space="preserve">Công việc cụ thể</t>
  </si>
  <si>
    <t xml:space="preserve">Chi tiết thực hiện</t>
  </si>
  <si>
    <t xml:space="preserve">Người thực hiện</t>
  </si>
  <si>
    <t xml:space="preserve">Output</t>
  </si>
  <si>
    <t xml:space="preserve">Checklist hoàn thành</t>
  </si>
  <si>
    <t xml:space="preserve">Ưu tiên</t>
  </si>
  <si>
    <t xml:space="preserve">7:00-7:15</t>
  </si>
  <si>
    <t xml:space="preserve">GHL + Pancake</t>
  </si>
  <si>
    <t xml:space="preserve">Check leads đêm qua</t>
  </si>
  <si>
    <t xml:space="preserve">Login GHL → Dashboard → New contacts (overnight). Login Pancake → Unread inbox. Ghi nhận số leads mới</t>
  </si>
  <si>
    <t xml:space="preserve">Số leads mới, cần assign</t>
  </si>
  <si>
    <t xml:space="preserve">☐ Check GHL ☐ Check Pancake ☐ Ghi log</t>
  </si>
  <si>
    <t xml:space="preserve">CAO</t>
  </si>
  <si>
    <t xml:space="preserve">7:15-7:30</t>
  </si>
  <si>
    <t xml:space="preserve">Assign leads chưa được phân</t>
  </si>
  <si>
    <t xml:space="preserve">GHL → Contacts → Unassigned → Assign theo cơ sở → Trigger welcome workflow</t>
  </si>
  <si>
    <t xml:space="preserve">Tất cả leads đã assigned</t>
  </si>
  <si>
    <t xml:space="preserve">☐ Assigned ☐ Workflow triggered</t>
  </si>
  <si>
    <t xml:space="preserve">7:30-7:45</t>
  </si>
  <si>
    <t xml:space="preserve">Facebook</t>
  </si>
  <si>
    <t xml:space="preserve">Check &amp; reply comments overnight</t>
  </si>
  <si>
    <t xml:space="preserve">FB Pages (6) → Notifications → Reply comments, ẩn spam, chuyển lead inbox. Pancake → Unread → Reply</t>
  </si>
  <si>
    <t xml:space="preserve">Community Mgr</t>
  </si>
  <si>
    <t xml:space="preserve">Comments replied, leads captured</t>
  </si>
  <si>
    <t xml:space="preserve">☐ All pages checked ☐ Spam removed</t>
  </si>
  <si>
    <t xml:space="preserve">7:45-8:00</t>
  </si>
  <si>
    <t xml:space="preserve">Check &amp; reply Zalo messages</t>
  </si>
  <si>
    <t xml:space="preserve">Zalo OA Admin → Tin nhắn chưa đọc → Reply. Check chatbot misses → Manual reply. Sync leads to GHL</t>
  </si>
  <si>
    <t xml:space="preserve">Messages replied, leads synced</t>
  </si>
  <si>
    <t xml:space="preserve">☐ All messages read ☐ Leads synced</t>
  </si>
  <si>
    <t xml:space="preserve">Đăng bài sáng (hình ảnh/carousel)</t>
  </si>
  <si>
    <t xml:space="preserve">Đăng bài đã chuẩn bị hôm trước. 5-10 hình hoạt động HS. Caption + Hashtag + CTA. Tag location</t>
  </si>
  <si>
    <t xml:space="preserve">Content Writer</t>
  </si>
  <si>
    <t xml:space="preserve">Bài đăng live</t>
  </si>
  <si>
    <t xml:space="preserve">☐ Đăng FB ☐ Check format ☐ Hashtag</t>
  </si>
  <si>
    <t xml:space="preserve">Đăng bài Article Zalo</t>
  </si>
  <si>
    <t xml:space="preserve">Đăng article đã chuẩn bị. 300-800 từ, hình ảnh, CTA link form</t>
  </si>
  <si>
    <t xml:space="preserve">Article live trên Zalo</t>
  </si>
  <si>
    <t xml:space="preserve">☐ Article published ☐ Link working</t>
  </si>
  <si>
    <t xml:space="preserve">Đăng bài/Reel IG</t>
  </si>
  <si>
    <t xml:space="preserve">Post carousel hoặc Reel. Optimize hashtags (30). Bio link check. Reply DMs</t>
  </si>
  <si>
    <t xml:space="preserve">IG Specialist</t>
  </si>
  <si>
    <t xml:space="preserve">IG post live, DMs replied</t>
  </si>
  <si>
    <t xml:space="preserve">☐ Post live ☐ Hashtags ☐ DMs</t>
  </si>
  <si>
    <t xml:space="preserve">TRUNG BÌNH</t>
  </si>
  <si>
    <t xml:space="preserve">Đăng video TikTok sáng</t>
  </si>
  <si>
    <t xml:space="preserve">Upload video đã edit. Trending sound, hashtags, caption. Check analytics video hôm qua</t>
  </si>
  <si>
    <t xml:space="preserve">TikTok Creator</t>
  </si>
  <si>
    <t xml:space="preserve">TikTok video live</t>
  </si>
  <si>
    <t xml:space="preserve">☐ Video up ☐ Sound ☐ Hashtags</t>
  </si>
  <si>
    <t xml:space="preserve">Cập nhật Morning Report</t>
  </si>
  <si>
    <t xml:space="preserve">Ghi số leads mới, messages overnight, engagement hôm trước. Update KPI tracker</t>
  </si>
  <si>
    <t xml:space="preserve">Morning report complete</t>
  </si>
  <si>
    <t xml:space="preserve">☐ Report updated</t>
  </si>
  <si>
    <t xml:space="preserve">B. CHECKLIST BUỔI TRƯA (11:00-14:00)</t>
  </si>
  <si>
    <t xml:space="preserve">11:00-11:30</t>
  </si>
  <si>
    <t xml:space="preserve">Đăng Reels/Video trưa</t>
  </si>
  <si>
    <t xml:space="preserve">Video 30-60s đã edit. Upload trực tiếp (không share link). Trending format, hook 3s đầu</t>
  </si>
  <si>
    <t xml:space="preserve">Reels live</t>
  </si>
  <si>
    <t xml:space="preserve">☐ Video upload ☐ Thumbnail ☐ Caption</t>
  </si>
  <si>
    <t xml:space="preserve">11:30-12:00</t>
  </si>
  <si>
    <t xml:space="preserve">FB Groups</t>
  </si>
  <si>
    <t xml:space="preserve">Đăng bài trong 6 nhóm</t>
  </si>
  <si>
    <t xml:space="preserve">Mỗi nhóm 1 bài: hỏi đáp, tips, hoặc share bài Page. Caption riêng cho mỗi nhóm</t>
  </si>
  <si>
    <t xml:space="preserve">6 bài group</t>
  </si>
  <si>
    <t xml:space="preserve">☐ 6 nhóm đã đăng</t>
  </si>
  <si>
    <t xml:space="preserve">12:00-12:30</t>
  </si>
  <si>
    <t xml:space="preserve">Ads</t>
  </si>
  <si>
    <t xml:space="preserve">Check performance ads buổi sáng</t>
  </si>
  <si>
    <t xml:space="preserve">Birch → Dashboard → Check CPA, CTR, Spend. Nếu CPA&gt;target → điều chỉnh. GHL → Check ad leads</t>
  </si>
  <si>
    <t xml:space="preserve">Ads Specialist</t>
  </si>
  <si>
    <t xml:space="preserve">Ads optimized nếu cần</t>
  </si>
  <si>
    <t xml:space="preserve">☐ Birch checked ☐ Adjustments made</t>
  </si>
  <si>
    <t xml:space="preserve">Upload YouTube Shorts</t>
  </si>
  <si>
    <t xml:space="preserve">Upload Shorts đã chuẩn bị (repurpose từ TikTok). Title SEO, Description, Tags</t>
  </si>
  <si>
    <t xml:space="preserve">Video Team</t>
  </si>
  <si>
    <t xml:space="preserve">Shorts live</t>
  </si>
  <si>
    <t xml:space="preserve">☐ Shorts uploaded ☐ SEO done</t>
  </si>
  <si>
    <t xml:space="preserve">12:30-13:00</t>
  </si>
  <si>
    <t xml:space="preserve">Check email marketing performance</t>
  </si>
  <si>
    <t xml:space="preserve">GHL → Email → Check open rates, click rates, bounces. Resend to non-openers nếu cần</t>
  </si>
  <si>
    <t xml:space="preserve">Email metrics logged</t>
  </si>
  <si>
    <t xml:space="preserve">☐ Metrics checked ☐ Resend if needed</t>
  </si>
  <si>
    <t xml:space="preserve">13:00-13:30</t>
  </si>
  <si>
    <t xml:space="preserve">Check tư vấn viên response time</t>
  </si>
  <si>
    <t xml:space="preserve">Pancake → Reports → Response time. Nhắc nhở nếu &gt;30 phút. Ghi nhận leads cần follow up</t>
  </si>
  <si>
    <t xml:space="preserve">Response time report</t>
  </si>
  <si>
    <t xml:space="preserve">☐ Response time OK ☐ Follow ups noted</t>
  </si>
  <si>
    <t xml:space="preserve">13:00-14:00</t>
  </si>
  <si>
    <t xml:space="preserve">Chuẩn bị nội dung ngày mai</t>
  </si>
  <si>
    <t xml:space="preserve">Viết caption, chọn hình, edit video. Lên lịch sáng/trưa/tối. Chuẩn bị cho FB, Zalo, IG, TikTok, YT</t>
  </si>
  <si>
    <t xml:space="preserve">Content Team</t>
  </si>
  <si>
    <t xml:space="preserve">Content ngày mai sẵn sàng</t>
  </si>
  <si>
    <t xml:space="preserve">☐ FB ☐ Zalo ☐ IG ☐ TikTok ☐ YT</t>
  </si>
  <si>
    <t xml:space="preserve">C. CHECKLIST BUỔI CHIỀU (14:00-17:00)</t>
  </si>
  <si>
    <t xml:space="preserve">14:00-14:30</t>
  </si>
  <si>
    <t xml:space="preserve">Follow up leads hôm qua chưa convert</t>
  </si>
  <si>
    <t xml:space="preserve">GHL → Pipeline → Contacted stage &gt;24h → Call/Zalo follow up. Update notes</t>
  </si>
  <si>
    <t xml:space="preserve">Leads followed up</t>
  </si>
  <si>
    <t xml:space="preserve">☐ Leads contacted ☐ Notes updated</t>
  </si>
  <si>
    <t xml:space="preserve">14:30-15:00</t>
  </si>
  <si>
    <t xml:space="preserve">Quay/edit video cho TikTok + Reels ngày mai</t>
  </si>
  <si>
    <t xml:space="preserve">Quay cảnh HS hoạt động, GV giảng bài. Edit: CapCut 30-60s. Add text overlay, music</t>
  </si>
  <si>
    <t xml:space="preserve">2-3 video ready</t>
  </si>
  <si>
    <t xml:space="preserve">☐ Quay xong ☐ Edit xong ☐ Save</t>
  </si>
  <si>
    <t xml:space="preserve">15:00-15:30</t>
  </si>
  <si>
    <t xml:space="preserve">Engage &amp; Reply tất cả comments/inbox mới</t>
  </si>
  <si>
    <t xml:space="preserve">Check 6 Pages + 6 Groups → Reply comments → Chuyển lead inbox → Update Pancake</t>
  </si>
  <si>
    <t xml:space="preserve">All engaged</t>
  </si>
  <si>
    <t xml:space="preserve">☐ Pages ☐ Groups ☐ Leads captured</t>
  </si>
  <si>
    <t xml:space="preserve">Follow up Zalo messages + Broadcast (nếu có)</t>
  </si>
  <si>
    <t xml:space="preserve">Check tin nhắn mới → Reply → Nếu T3/T6: gửi broadcast theo segment</t>
  </si>
  <si>
    <t xml:space="preserve">Zalo up-to-date</t>
  </si>
  <si>
    <t xml:space="preserve">☐ Messages ☐ Broadcast (if applicable)</t>
  </si>
  <si>
    <t xml:space="preserve">15:30-16:00</t>
  </si>
  <si>
    <t xml:space="preserve">Optimize ads chiều</t>
  </si>
  <si>
    <t xml:space="preserve">Birch → Check afternoon performance. Adjust bids, budgets. Pause underperforming ads. Scale winners</t>
  </si>
  <si>
    <t xml:space="preserve">Ads optimized</t>
  </si>
  <si>
    <t xml:space="preserve">☐ Check performance ☐ Adjustments</t>
  </si>
  <si>
    <t xml:space="preserve">16:00-16:30</t>
  </si>
  <si>
    <t xml:space="preserve">Đồng bộ data kiểm tra</t>
  </si>
  <si>
    <t xml:space="preserve">Check Make.com → Scenario logs → Errors. Verify GHL contacts = Pancake contacts. Fix discrepancies</t>
  </si>
  <si>
    <t xml:space="preserve">IT Admin</t>
  </si>
  <si>
    <t xml:space="preserve">Data synced</t>
  </si>
  <si>
    <t xml:space="preserve">☐ Make.com logs ☐ Sync verified</t>
  </si>
  <si>
    <t xml:space="preserve">16:30-17:00</t>
  </si>
  <si>
    <t xml:space="preserve">Cập nhật KPI tracker hàng ngày</t>
  </si>
  <si>
    <t xml:space="preserve">Ghi nhận: leads, tours booked, cost, engagement, followers gained. Update all channels</t>
  </si>
  <si>
    <t xml:space="preserve">Daily KPI updated</t>
  </si>
  <si>
    <t xml:space="preserve">☐ All KPIs logged</t>
  </si>
  <si>
    <t xml:space="preserve">D. CHECKLIST BUỔI TỐI (19:00-21:00)</t>
  </si>
  <si>
    <t xml:space="preserve">19:00-19:30</t>
  </si>
  <si>
    <t xml:space="preserve">Đăng bài tối (tips/chia sẻ giá trị)</t>
  </si>
  <si>
    <t xml:space="preserve">Bài viết dài 200-500 từ: tips nuôi con, chuẩn bị vào trường, review chương trình</t>
  </si>
  <si>
    <t xml:space="preserve">Bài tối live</t>
  </si>
  <si>
    <t xml:space="preserve">☐ Bài đăng ☐ Engagement monitor</t>
  </si>
  <si>
    <t xml:space="preserve">19:30-20:00</t>
  </si>
  <si>
    <t xml:space="preserve">Đăng video TikTok tối</t>
  </si>
  <si>
    <t xml:space="preserve">Video trending/challenge. Thời điểm engagement cao nhất TikTok VN</t>
  </si>
  <si>
    <t xml:space="preserve">☐ Video posted</t>
  </si>
  <si>
    <t xml:space="preserve">20:00-21:00</t>
  </si>
  <si>
    <t xml:space="preserve">Facebook/Zalo</t>
  </si>
  <si>
    <t xml:space="preserve">Livestream tư vấn (nếu T3/T5)</t>
  </si>
  <si>
    <t xml:space="preserve">Setup live: OBS/StreamYard → FB Page + Zalo Group. Slide + Q&amp;A. Record</t>
  </si>
  <si>
    <t xml:space="preserve">GV/Hiệu trưởng</t>
  </si>
  <si>
    <t xml:space="preserve">Livestream done</t>
  </si>
  <si>
    <t xml:space="preserve">☐ Live started ☐ Q&amp;A ☐ Recording</t>
  </si>
  <si>
    <t xml:space="preserve">CAO (T3/T5)</t>
  </si>
  <si>
    <t xml:space="preserve">IG Stories</t>
  </si>
  <si>
    <t xml:space="preserve">Đăng Stories cuối ngày</t>
  </si>
  <si>
    <t xml:space="preserve">Behind the scenes hôm nay, poll cho ngày mai, countdown sự kiện sắp tới</t>
  </si>
  <si>
    <t xml:space="preserve">Stories posted</t>
  </si>
  <si>
    <t xml:space="preserve">☐ 3-5 stories posted</t>
  </si>
  <si>
    <t xml:space="preserve">THẤP</t>
  </si>
  <si>
    <t xml:space="preserve">21:00</t>
  </si>
  <si>
    <t xml:space="preserve">Tổng kết</t>
  </si>
  <si>
    <t xml:space="preserve">End-of-day review &amp; Slack update</t>
  </si>
  <si>
    <t xml:space="preserve">Tóm tắt ngày: leads, engagement highlights, issues. Post vào Zalo group team</t>
  </si>
  <si>
    <t xml:space="preserve">EOD report</t>
  </si>
  <si>
    <t xml:space="preserve">☐ Summary sent to team</t>
  </si>
  <si>
    <t xml:space="preserve">CÔNG VIỆC HÀNG NGÀY - CHI TIẾT THEO THÁNG</t>
  </si>
  <si>
    <t xml:space="preserve">Tháng 4 (T4) - SETUP</t>
  </si>
  <si>
    <t xml:space="preserve">Cài đặt Google Ads campaigns: Copy templates, setup keyword groups</t>
  </si>
  <si>
    <t xml:space="preserve">Setup Meta Ads: Audience segmentation, pixel tracking kiểm tra</t>
  </si>
  <si>
    <t xml:space="preserve">Tạo landing pages: Form validation, follow-up automation setup</t>
  </si>
  <si>
    <t xml:space="preserve">Cấu hình GHL: Pipelines, automation workflows, email sequences</t>
  </si>
  <si>
    <t xml:space="preserve">Tạo template: Email, SMS, Chatbot flows cho tất cả cấp học</t>
  </si>
  <si>
    <t xml:space="preserve">Kiểm tra UTM tracking: Tất cả channels, document parameters</t>
  </si>
  <si>
    <t xml:space="preserve">Training team: Google Ads, Meta Ads basic, GHL hệ thống</t>
  </si>
  <si>
    <t xml:space="preserve">Set up Zalo OA: Menu, auto-reply, khoa học tin nhắn</t>
  </si>
  <si>
    <t xml:space="preserve">Tạo folder chia sẻ nội dung: Drive, Notion, asset libraries</t>
  </si>
  <si>
    <t xml:space="preserve">Chuẩn bị Open Day: Form, venue setup, staff briefing</t>
  </si>
  <si>
    <t xml:space="preserve">Tạo calendar quảng cáo: Timeline, deadlines, deliverables</t>
  </si>
  <si>
    <t xml:space="preserve">Set up CRM: Contact import, lead score modeling, assignment rules</t>
  </si>
  <si>
    <t xml:space="preserve">Configure analytics dashboard: GA4, GA landing page tracking</t>
  </si>
  <si>
    <t xml:space="preserve">Tạo brand assets folder: Logos, colors, templates, guidelines</t>
  </si>
  <si>
    <t xml:space="preserve">Tháng 5 (T5) - LAUNCH &amp; SCALE</t>
  </si>
  <si>
    <t xml:space="preserve">Khởi động Campaign Q1 Meta: 3 campaigns, 10 ad creatives đầu tiên</t>
  </si>
  <si>
    <t xml:space="preserve">Khởi động Campaign Q1 Google: Brand + generic keywords</t>
  </si>
  <si>
    <t xml:space="preserve">Launch Zalo campaign T5: Segment 1000+ contacts, blast message</t>
  </si>
  <si>
    <t xml:space="preserve">Bắt đầu influencer outreach: Liên hệ 5-10 educators, content creators</t>
  </si>
  <si>
    <t xml:space="preserve">Tạo 10 video content: MN tour, teacher intro, student testimonial</t>
  </si>
  <si>
    <t xml:space="preserve">Setup content calendar: 30 posts/tháng, 4 canh, schedule all</t>
  </si>
  <si>
    <t xml:space="preserve">Tạo FAQ document: 50 Q&amp;A phổ biến, update GHL chatbot</t>
  </si>
  <si>
    <t xml:space="preserve">Tuyển dụng consultants: 2-3 BDR, training đầu tiên</t>
  </si>
  <si>
    <t xml:space="preserve">Tạo tracking: Phân biệt source, medium, campaign, content</t>
  </si>
  <si>
    <t xml:space="preserve">Cold email sequence: Draft 3 versions, send to 100 đầu tiên</t>
  </si>
  <si>
    <t xml:space="preserve">Setup Google Analytics: Conversion tracking, goals, audiences</t>
  </si>
  <si>
    <t xml:space="preserve">First webinar planning: Date, speaker, topic, promotion channels</t>
  </si>
  <si>
    <t xml:space="preserve">Tạo case study: 5 success stories từ năm trước</t>
  </si>
  <si>
    <t xml:space="preserve">Budget tracking setup: Daily spend monitoring, weekly reports</t>
  </si>
  <si>
    <t xml:space="preserve">Tháng 6 (T6) - PEAK SEASON</t>
  </si>
  <si>
    <t xml:space="preserve">Scale Meta Ads: 50% budget increase, test 5 new creatives</t>
  </si>
  <si>
    <t xml:space="preserve">Scale Google Ads: Add 20 new keywords, increase bids for converters</t>
  </si>
  <si>
    <t xml:space="preserve">Launch TikTok campaigns: Khởi động với 5 organic seeding ads</t>
  </si>
  <si>
    <t xml:space="preserve">Max content creation: 40 posts, 15 videos, daily stories</t>
  </si>
  <si>
    <t xml:space="preserve">Daily optimization: Check ads CTR/CPC/ROAS, pause underperformers</t>
  </si>
  <si>
    <t xml:space="preserve">Zalo mass messaging: 2x send per week, A/B subject lines</t>
  </si>
  <si>
    <t xml:space="preserve">Influencer content: Collect UGC từ 8-10 collaborators, repost</t>
  </si>
  <si>
    <t xml:space="preserve">Webinar #1: Tháng 6 + promotion 2 tuần trước, target 200 registrations</t>
  </si>
  <si>
    <t xml:space="preserve">SMS campaign: Daily offers, urgency messaging, limited time</t>
  </si>
  <si>
    <t xml:space="preserve">Phone follow-up: 50+ daily calls, scheduling consultations</t>
  </si>
  <si>
    <t xml:space="preserve">Open Day planning: Final logistics, staff schedule, promo materials</t>
  </si>
  <si>
    <t xml:space="preserve">Email drip: Daily/every-other-day email to warm leads</t>
  </si>
  <si>
    <t xml:space="preserve">Contest/giveaway: Monthly contest to boost engagement, collection leads</t>
  </si>
  <si>
    <t xml:space="preserve">Daily reporting: Track leads, cost/lead, conversion funnel metrics</t>
  </si>
  <si>
    <t xml:space="preserve">Team stand-ups: Daily 15min sync, priority/blockers/wins</t>
  </si>
  <si>
    <t xml:space="preserve">Tháng 7 (T7) - ENROLLMENT PUSH</t>
  </si>
  <si>
    <t xml:space="preserve">Urgency messaging: "Only X spots left" campaigns, countdown timers</t>
  </si>
  <si>
    <t xml:space="preserve">Final Open Day: Event execution, registration flow, post-event follow-up</t>
  </si>
  <si>
    <t xml:space="preserve">LinkedIn outreach: Phụ huynh professionals, warm introductions</t>
  </si>
  <si>
    <t xml:space="preserve">Direct calls: Cán cơ, outreach 100+ warm leads, close discussions</t>
  </si>
  <si>
    <t xml:space="preserve">Second webinar: Tháng 7, focus on THCS/THPT grades</t>
  </si>
  <si>
    <t xml:space="preserve">Deadline campaigns: "Enroll by July 31" urgency push, all channels</t>
  </si>
  <si>
    <t xml:space="preserve">Retargeting blitz: Pixel-based ads to website visitors, daily refresh</t>
  </si>
  <si>
    <t xml:space="preserve">Email blast: Daily follow-up sequences, limited-time offers</t>
  </si>
  <si>
    <t xml:space="preserve">SMS blast: High-frequency SMS to warm leads, call-to-action focused</t>
  </si>
  <si>
    <t xml:space="preserve">Video testimonials: Collect from current students/parents, edit, post</t>
  </si>
  <si>
    <t xml:space="preserve">Scholarship blitz: Promote remaining scholarship slots, deadline push</t>
  </si>
  <si>
    <t xml:space="preserve">School ambassador: Identify &amp; activate 5-10 parent brand ambassadors</t>
  </si>
  <si>
    <t xml:space="preserve">Offline events: Host 2-3 small consultation events, high-touch follow-up</t>
  </si>
  <si>
    <t xml:space="preserve">Chatbot urgency: Update GHL chatbot with urgency/scarcity messaging</t>
  </si>
  <si>
    <t xml:space="preserve">Win-back campaign: Re-engage people who visited but didn't convert</t>
  </si>
  <si>
    <t xml:space="preserve">Tháng 8 (T8) - CLOSING</t>
  </si>
  <si>
    <t xml:space="preserve">Final enrollment drive: All hands on deck, 24/7 response time</t>
  </si>
  <si>
    <t xml:space="preserve">Deadline campaigns: "Last week to enroll" messaging, all channels</t>
  </si>
  <si>
    <t xml:space="preserve">Payment processing: Setup flexible payment plans, financing options</t>
  </si>
  <si>
    <t xml:space="preserve">Enrollment confirmation: Automated sequence, first payment details</t>
  </si>
  <si>
    <t xml:space="preserve">Class formation: Assign students to classes, finalize rosters</t>
  </si>
  <si>
    <t xml:space="preserve">Staff onboarding: New teachers prep for khai giảng, training final</t>
  </si>
  <si>
    <t xml:space="preserve">Communication templates: Parent letters, student welcome messages</t>
  </si>
  <si>
    <t xml:space="preserve">Last minute ads: Hyper-local, last-slot-available messaging</t>
  </si>
  <si>
    <t xml:space="preserve">Event recap: Open Day videos, testimonials, success stories</t>
  </si>
  <si>
    <t xml:space="preserve">Waitlist management: Create waitlist for full classes, collection</t>
  </si>
  <si>
    <t xml:space="preserve">Referral campaign: Encourage enrollees to refer friends, incentivize</t>
  </si>
  <si>
    <t xml:space="preserve">Invoice generation: Create enrollment documents, tuition contracts</t>
  </si>
  <si>
    <t xml:space="preserve">Third webinar: Final info session, Q&amp;A specific to each grade</t>
  </si>
  <si>
    <t xml:space="preserve">Post-enrollment survey: Collect feedback, improve for next cycle</t>
  </si>
  <si>
    <t xml:space="preserve">Team celebration: Recognize efforts, celebrate enrollment targets hit</t>
  </si>
  <si>
    <t xml:space="preserve">Tháng 9 (T9) - WRAP-UP</t>
  </si>
  <si>
    <t xml:space="preserve">Khai giảng support: Ensure all new students settled, smooth transition</t>
  </si>
  <si>
    <t xml:space="preserve">Retention messaging: Welcome emails, class group invites, first month</t>
  </si>
  <si>
    <t xml:space="preserve">Referral incentive: Activate referral program for new students</t>
  </si>
  <si>
    <t xml:space="preserve">Analytics deep-dive: Full funnel analysis, cost per enrollment by source</t>
  </si>
  <si>
    <t xml:space="preserve">Campaign post-mortem: Document learnings, what worked/what didn't</t>
  </si>
  <si>
    <t xml:space="preserve">Budget reconciliation: Final spend, ROI by channel, cost per student</t>
  </si>
  <si>
    <t xml:space="preserve">Documentation: Process docs, checklists, templates for next year</t>
  </si>
  <si>
    <t xml:space="preserve">Team retrospective: Gather feedback, improvement ideas for V10</t>
  </si>
  <si>
    <t xml:space="preserve">Parent satisfaction: Survey enrollees, testimonial collection</t>
  </si>
  <si>
    <t xml:space="preserve">Social proof: Create case studies, success metrics from this campaign</t>
  </si>
  <si>
    <t xml:space="preserve">Retention plan: Design engagement plan for first semester, reduce churn</t>
  </si>
  <si>
    <t xml:space="preserve">Budget planning: Start planning 2027 cycle, lessons learned</t>
  </si>
  <si>
    <t xml:space="preserve">Staff debrief: Marketing team review, individual performance feedback</t>
  </si>
  <si>
    <t xml:space="preserve">Celebrate results: Team event, achievement recognition</t>
  </si>
  <si>
    <t xml:space="preserve">Archive campaign: Backup files, document all assets for next cycle</t>
  </si>
  <si>
    <t xml:space="preserve">📅 TODO LIST HÀNG TUẦN – MARKETING + TUYỂN SINH + BAN CƠ SỞ (28 TUẦN)</t>
  </si>
  <si>
    <t xml:space="preserve">Mỗi tuần họp ngắn Thứ 2 sáng để assign task. Họp review Thứ 6 chiều. Tất cả trạng thái phải cập nhật trước 17:00 Thứ 6.</t>
  </si>
  <si>
    <t xml:space="preserve">Đội</t>
  </si>
  <si>
    <t xml:space="preserve">Chi tiết / Tiêu chí hoàn thành</t>
  </si>
  <si>
    <t xml:space="preserve">Deadline</t>
  </si>
  <si>
    <t xml:space="preserve">Notes</t>
  </si>
  <si>
    <t xml:space="preserve">── MARKETING – GOOGLE ADS ──</t>
  </si>
  <si>
    <t xml:space="preserve">Review search terms report</t>
  </si>
  <si>
    <t xml:space="preserve">Download search terms tuần → Thêm negatives → Update Birch rule</t>
  </si>
  <si>
    <t xml:space="preserve">Negative list cập nhật</t>
  </si>
  <si>
    <t xml:space="preserve">So sánh CPL theo campaign</t>
  </si>
  <si>
    <t xml:space="preserve">Birch → Campaign report → Sort by CPL | Scale top 3, pause bottom 2</t>
  </si>
  <si>
    <t xml:space="preserve">Decision log</t>
  </si>
  <si>
    <t xml:space="preserve">Kiểm tra Quality Score</t>
  </si>
  <si>
    <t xml:space="preserve">KW QS &lt;5 → Cải thiện ad copy hoặc landing page phù hợp</t>
  </si>
  <si>
    <t xml:space="preserve">QS avg ≥7</t>
  </si>
  <si>
    <t xml:space="preserve">Cập nhật Birch automation rules</t>
  </si>
  <si>
    <t xml:space="preserve">Review rule performance → Điều chỉnh threshold nếu cần</t>
  </si>
  <si>
    <t xml:space="preserve">Rules live</t>
  </si>
  <si>
    <t xml:space="preserve">A/B test report Google</t>
  </si>
  <si>
    <t xml:space="preserve">2 RSA test → winner tiếp tục, loser pause | Document kết quả</t>
  </si>
  <si>
    <t xml:space="preserve">Test concluded</t>
  </si>
  <si>
    <t xml:space="preserve">── MARKETING – META ADS ──</t>
  </si>
  <si>
    <t xml:space="preserve">Creative refresh Meta</t>
  </si>
  <si>
    <t xml:space="preserve">Thay ad 7-10 ngày 1 lần | Freq &gt;3 → cần creative mới ngay</t>
  </si>
  <si>
    <t xml:space="preserve">New creative live</t>
  </si>
  <si>
    <t xml:space="preserve">Audience expansion review</t>
  </si>
  <si>
    <t xml:space="preserve">Lookalike tốt → expand 1% → 2% | Interest test mới</t>
  </si>
  <si>
    <t xml:space="preserve">Audience updated</t>
  </si>
  <si>
    <t xml:space="preserve">Pixel health check</t>
  </si>
  <si>
    <t xml:space="preserve">Events Manager → check pixel events, match rate, deduplication</t>
  </si>
  <si>
    <t xml:space="preserve">Match rate ≥80%</t>
  </si>
  <si>
    <t xml:space="preserve">Budget reallocation Meta</t>
  </si>
  <si>
    <t xml:space="preserve">Ad set thắng → +15-20% | Thua → pause hoặc pivot creative</t>
  </si>
  <si>
    <t xml:space="preserve">Budget optimized</t>
  </si>
  <si>
    <t xml:space="preserve">Retargeting audience update</t>
  </si>
  <si>
    <t xml:space="preserve">Refresh audience lists: 7d/21d/60d | Loại lead đã enrolled</t>
  </si>
  <si>
    <t xml:space="preserve">Audience fresh</t>
  </si>
  <si>
    <t xml:space="preserve">── MARKETING – TIKTOK / ZALO / WEBINAR ──</t>
  </si>
  <si>
    <t xml:space="preserve">TikTok video performance</t>
  </si>
  <si>
    <t xml:space="preserve">3-second retention, completion rate, CTR | Boost video tốt</t>
  </si>
  <si>
    <t xml:space="preserve">Top 3 identified</t>
  </si>
  <si>
    <t xml:space="preserve">Zalo broadcast lên kế hoạch</t>
  </si>
  <si>
    <t xml:space="preserve">Draft nội dung tuần sau | Segment theo campus, grade, stage</t>
  </si>
  <si>
    <t xml:space="preserve">Draft approved</t>
  </si>
  <si>
    <t xml:space="preserve">Webinar prep (nếu có tuần này)</t>
  </si>
  <si>
    <t xml:space="preserve">Landing page live, email sequence, reminder Zalo, test Zoom link</t>
  </si>
  <si>
    <t xml:space="preserve">Go/No-go</t>
  </si>
  <si>
    <t xml:space="preserve">── TUYỂN SINH ──</t>
  </si>
  <si>
    <t xml:space="preserve">Tuyển sinh</t>
  </si>
  <si>
    <t xml:space="preserve">Weekly pipeline review</t>
  </si>
  <si>
    <t xml:space="preserve">GHL → Review tất cả pipeline stages | Xác định stuck leads</t>
  </si>
  <si>
    <t xml:space="preserve">Pipeline clean</t>
  </si>
  <si>
    <t xml:space="preserve">QA cuộc gọi ngẫu nhiên</t>
  </si>
  <si>
    <t xml:space="preserve">Nghe lại 5-10 cuộc gọi/tuần | Score theo 5 tiêu chí | Coaching</t>
  </si>
  <si>
    <t xml:space="preserve">QA report</t>
  </si>
  <si>
    <t xml:space="preserve">Lost lead analysis</t>
  </si>
  <si>
    <t xml:space="preserve">Tổng hợp top 5 lý do lost | Cập nhật objection script</t>
  </si>
  <si>
    <t xml:space="preserve">Script updated</t>
  </si>
  <si>
    <t xml:space="preserve">Confirm tours tuần sau</t>
  </si>
  <si>
    <t xml:space="preserve">Gọi tất cả lead đã booked tour tuần sau | Xác nhận 100%</t>
  </si>
  <si>
    <t xml:space="preserve">Confirmation rate</t>
  </si>
  <si>
    <t xml:space="preserve">CRM data hygiene</t>
  </si>
  <si>
    <t xml:space="preserve">Xóa/merge duplicate | Verify tags | Update lost reasons</t>
  </si>
  <si>
    <t xml:space="preserve">CRM clean</t>
  </si>
  <si>
    <t xml:space="preserve">── BAN CƠ SỞ ──</t>
  </si>
  <si>
    <t xml:space="preserve">Tour slot management</t>
  </si>
  <si>
    <t xml:space="preserve">Update slot availability tuần sau | Thêm slot nếu demand cao</t>
  </si>
  <si>
    <t xml:space="preserve">Slots published</t>
  </si>
  <si>
    <t xml:space="preserve">GMB (Google Business) update</t>
  </si>
  <si>
    <t xml:space="preserve">Post 1 bài/tuần | Cập nhật giờ mở cửa | Reply reviews mới</t>
  </si>
  <si>
    <t xml:space="preserve">Post live</t>
  </si>
  <si>
    <t xml:space="preserve">Testimonial collection</t>
  </si>
  <si>
    <t xml:space="preserve">Thu thập 1-2 testimonial PH/HS/tuần | Video ngắn hoặc text</t>
  </si>
  <si>
    <t xml:space="preserve">1-2 pieces</t>
  </si>
  <si>
    <t xml:space="preserve">Hotline health check</t>
  </si>
  <si>
    <t xml:space="preserve">Test gọi hotline từng cơ sở | Verify pickup trong 3 ring</t>
  </si>
  <si>
    <t xml:space="preserve">100% pickup</t>
  </si>
  <si>
    <t xml:space="preserve">── REPORTING &amp; REVIEW TUẦN ──</t>
  </si>
  <si>
    <t xml:space="preserve">Weekly KPI report</t>
  </si>
  <si>
    <t xml:space="preserve">Điền đủ vào A. KPI Weekly Tracker | Share với team</t>
  </si>
  <si>
    <t xml:space="preserve">Report sent</t>
  </si>
  <si>
    <t xml:space="preserve">Thứ 6 17:00</t>
  </si>
  <si>
    <t xml:space="preserve">Campaign Tracker update</t>
  </si>
  <si>
    <t xml:space="preserve">Điền spend, leads, tours, enrolls vào D. Campaign Tracker</t>
  </si>
  <si>
    <t xml:space="preserve">Tracker updated</t>
  </si>
  <si>
    <t xml:space="preserve">Weekly review meeting</t>
  </si>
  <si>
    <t xml:space="preserve">Xem 12 KPI | Q: Scale gì, Pause gì, LP nào yếu, Campus nào cần fix</t>
  </si>
  <si>
    <t xml:space="preserve">Thứ 6 16:00</t>
  </si>
  <si>
    <t xml:space="preserve">Todo tuần sau prep</t>
  </si>
  <si>
    <t xml:space="preserve">Xem Battleplan tuần tiếp → Assign tasks → Set priorities</t>
  </si>
  <si>
    <t xml:space="preserve">Next week ready</t>
  </si>
  <si>
    <t xml:space="preserve">Thứ 6 17:30</t>
  </si>
  <si>
    <t xml:space="preserve">═══ CÔNG VIỆC HÀNG TUẦN CỰC KỲ CHI TIẾT — THEO NGÀY TRONG TUẦN ═══</t>
  </si>
  <si>
    <t xml:space="preserve">THỨ HAI — Kick-off &amp; Planning</t>
  </si>
  <si>
    <t xml:space="preserve">8:00-8:30</t>
  </si>
  <si>
    <t xml:space="preserve">Team</t>
  </si>
  <si>
    <t xml:space="preserve">Weekly kickoff meeting</t>
  </si>
  <si>
    <t xml:space="preserve">Review KPIs tuần trước, goals tuần này, phân công việc. 15 phút standup</t>
  </si>
  <si>
    <t xml:space="preserve">Meeting notes, Task list</t>
  </si>
  <si>
    <t xml:space="preserve">8:30-9:30</t>
  </si>
  <si>
    <t xml:space="preserve">Review weekly ads performance</t>
  </si>
  <si>
    <t xml:space="preserve">Birch → Weekly report. GHL → Pipeline movement. CPA, ROAS, leads by channel. Budget reallocation</t>
  </si>
  <si>
    <t xml:space="preserve">Weekly Ads Report</t>
  </si>
  <si>
    <t xml:space="preserve">9:30-10:00</t>
  </si>
  <si>
    <t xml:space="preserve">Make.com</t>
  </si>
  <si>
    <t xml:space="preserve">Kiểm tra sync errors tuần qua</t>
  </si>
  <si>
    <t xml:space="preserve">Make.com → Execution history → Failed scenarios. Fix errors, re-run if needed</t>
  </si>
  <si>
    <t xml:space="preserve">Error log clean</t>
  </si>
  <si>
    <t xml:space="preserve">10:00-11:00</t>
  </si>
  <si>
    <t xml:space="preserve">Lên content plan tuần</t>
  </si>
  <si>
    <t xml:space="preserve">Plan 7 ngày: FB (14 bài), TikTok (10 video), IG (7 posts + stories), YT (3 videos), Zalo (7 articles)</t>
  </si>
  <si>
    <t xml:space="preserve">Content calendar tuần</t>
  </si>
  <si>
    <t xml:space="preserve">Content Team Lead</t>
  </si>
  <si>
    <t xml:space="preserve">11:00-12:00</t>
  </si>
  <si>
    <t xml:space="preserve">Pancake</t>
  </si>
  <si>
    <t xml:space="preserve">Phân tích lead quality tuần trước</t>
  </si>
  <si>
    <t xml:space="preserve">Pancake → Reports → Lead sources, Conversion by source, Response time, Lost reasons</t>
  </si>
  <si>
    <t xml:space="preserve">Lead quality report</t>
  </si>
  <si>
    <t xml:space="preserve">14:00-15:00</t>
  </si>
  <si>
    <t xml:space="preserve">Clean up pipeline</t>
  </si>
  <si>
    <t xml:space="preserve">Move stale leads (&gt;14 days no activity) to "Cold". Update tags. Clean duplicate contacts</t>
  </si>
  <si>
    <t xml:space="preserve">Pipeline cleaned</t>
  </si>
  <si>
    <t xml:space="preserve">15:00-16:00</t>
  </si>
  <si>
    <t xml:space="preserve">Phân tích social media tuần trước</t>
  </si>
  <si>
    <t xml:space="preserve">FB Insights, IG Insights, TikTok Analytics, YT Studio → Bài nào tốt nhất, worst. Learnings</t>
  </si>
  <si>
    <t xml:space="preserve">SM Weekly Report</t>
  </si>
  <si>
    <t xml:space="preserve">16:00-17:00</t>
  </si>
  <si>
    <t xml:space="preserve">Gửi newsletter tuần</t>
  </si>
  <si>
    <t xml:space="preserve">GHL → Email → Newsletter template → Nội dung: recap tuần, upcoming events, tips</t>
  </si>
  <si>
    <t xml:space="preserve">Newsletter sent</t>
  </si>
  <si>
    <t xml:space="preserve">THỨ BA — Content Production &amp; Livestream</t>
  </si>
  <si>
    <t xml:space="preserve">8:00-10:00</t>
  </si>
  <si>
    <t xml:space="preserve">Quay video batch cho tuần</t>
  </si>
  <si>
    <t xml:space="preserve">Quay 5-10 clips tại trường: hoạt động, phỏng vấn GV, tour mini. Dùng gimbal + mic</t>
  </si>
  <si>
    <t xml:space="preserve">10 raw clips</t>
  </si>
  <si>
    <t xml:space="preserve">10:00-12:00</t>
  </si>
  <si>
    <t xml:space="preserve">Edit video TikTok + Reels</t>
  </si>
  <si>
    <t xml:space="preserve">CapCut: edit 5 videos ngắn (30-60s). Add text, music, transitions. Export 1080x1920</t>
  </si>
  <si>
    <t xml:space="preserve">5 videos ready</t>
  </si>
  <si>
    <t xml:space="preserve">Engage FB Groups</t>
  </si>
  <si>
    <t xml:space="preserve">Comment, reply, start discussions trong 6 nhóm. Welcome new members. Remove spam</t>
  </si>
  <si>
    <t xml:space="preserve">Groups engaged</t>
  </si>
  <si>
    <t xml:space="preserve">Gửi Broadcast T3 (nếu có)</t>
  </si>
  <si>
    <t xml:space="preserve">Broadcast thông báo/tips/sự kiện. Segment theo cấp học. Track open rate</t>
  </si>
  <si>
    <t xml:space="preserve">Broadcast sent</t>
  </si>
  <si>
    <t xml:space="preserve">FB + Zalo</t>
  </si>
  <si>
    <t xml:space="preserve">Livestream tư vấn T3</t>
  </si>
  <si>
    <t xml:space="preserve">Chủ đề tuần: MN→TH→THCS→THPT rotate. Setup OBS, slide, Q&amp;A. Record for YT</t>
  </si>
  <si>
    <t xml:space="preserve">Livestream completed</t>
  </si>
  <si>
    <t xml:space="preserve">GV + Marketing Lead</t>
  </si>
  <si>
    <t xml:space="preserve">THỨ TƯ — Ads Optimization &amp; Midweek Check</t>
  </si>
  <si>
    <t xml:space="preserve">8:00-9:00</t>
  </si>
  <si>
    <t xml:space="preserve">Midweek ads optimization</t>
  </si>
  <si>
    <t xml:space="preserve">Birch → Performance → Pause losers, scale winners. A/B test new creatives. Adjust targeting</t>
  </si>
  <si>
    <t xml:space="preserve">9:00-10:00</t>
  </si>
  <si>
    <t xml:space="preserve">Tạo/refresh ad creatives</t>
  </si>
  <si>
    <t xml:space="preserve">Canva → 3-5 new ad images/videos. Upload to Meta Ads. Split test</t>
  </si>
  <si>
    <t xml:space="preserve">New creatives live</t>
  </si>
  <si>
    <t xml:space="preserve">Designer + Ads</t>
  </si>
  <si>
    <t xml:space="preserve">Optimize Google Search campaigns</t>
  </si>
  <si>
    <t xml:space="preserve">Search Terms Report → Add negatives, new keywords. Adjust bids. Check Quality Score</t>
  </si>
  <si>
    <t xml:space="preserve">Google Ads optimized</t>
  </si>
  <si>
    <t xml:space="preserve">Review workflows performance</t>
  </si>
  <si>
    <t xml:space="preserve">GHL → Workflows → Check email open rates, SMS delivery, step completion. Adjust timing/content</t>
  </si>
  <si>
    <t xml:space="preserve">Workflow report</t>
  </si>
  <si>
    <t xml:space="preserve">Upload video dài (nếu có)</t>
  </si>
  <si>
    <t xml:space="preserve">Upload video tour/tips/phỏng vấn. Full SEO: title, description (500 từ), tags, thumbnail, end screen</t>
  </si>
  <si>
    <t xml:space="preserve">YT video live</t>
  </si>
  <si>
    <t xml:space="preserve">Midweek lead review</t>
  </si>
  <si>
    <t xml:space="preserve">Check lead pipeline. Follow up hot leads. Discuss with tư vấn viên about difficult cases</t>
  </si>
  <si>
    <t xml:space="preserve">Marketing Lead + TVV</t>
  </si>
  <si>
    <t xml:space="preserve">THỨ NĂM — Engagement &amp; Livestream #2</t>
  </si>
  <si>
    <t xml:space="preserve">Batch write content weekend</t>
  </si>
  <si>
    <t xml:space="preserve">Viết 4-6 bài cho T6-CN: FB posts, Zalo articles, IG captions. Chuẩn bị hình ảnh</t>
  </si>
  <si>
    <t xml:space="preserve">Weekend content ready</t>
  </si>
  <si>
    <t xml:space="preserve">Chuẩn bị email broadcast (nếu T5 gửi)</t>
  </si>
  <si>
    <t xml:space="preserve">GHL → Email → Create broadcast: tips/event reminder/testimonial. Segment audience</t>
  </si>
  <si>
    <t xml:space="preserve">Email ready to send</t>
  </si>
  <si>
    <t xml:space="preserve">TikTok trend research</t>
  </si>
  <si>
    <t xml:space="preserve">Check trending sounds, hashtags, challenges. Plan 3-5 trend videos cho tuần tới</t>
  </si>
  <si>
    <t xml:space="preserve">Trend plan</t>
  </si>
  <si>
    <t xml:space="preserve">IG</t>
  </si>
  <si>
    <t xml:space="preserve">Instagram engagement boost</t>
  </si>
  <si>
    <t xml:space="preserve">Reply all DMs, engage with followers, comment on relevant accounts. Story polls</t>
  </si>
  <si>
    <t xml:space="preserve">IG engagement done</t>
  </si>
  <si>
    <t xml:space="preserve">Livestream tư vấn T5</t>
  </si>
  <si>
    <t xml:space="preserve">Chủ đề khác T3. Focus: Q&amp;A PH, giải đáp thắc mắc. Interactive</t>
  </si>
  <si>
    <t xml:space="preserve">THỨ SÁU — Optimization &amp; Weekend Prep</t>
  </si>
  <si>
    <t xml:space="preserve">All Ads</t>
  </si>
  <si>
    <t xml:space="preserve">Friday ads review + weekend adjust</t>
  </si>
  <si>
    <t xml:space="preserve">Birch → Reduce/maintain weekend budgets. Schedule weekend campaigns. Check all pixels</t>
  </si>
  <si>
    <t xml:space="preserve">Weekend ads ready</t>
  </si>
  <si>
    <t xml:space="preserve">Mini-game/Contest T6 (nếu 2 lần/tháng)</t>
  </si>
  <si>
    <t xml:space="preserve">Đăng mini-game trong groups. Like+Share+Comment contest. Quà: voucher/sách</t>
  </si>
  <si>
    <t xml:space="preserve">Contest posted</t>
  </si>
  <si>
    <t xml:space="preserve">Pipeline cleanup cuối tuần</t>
  </si>
  <si>
    <t xml:space="preserve">Review tất cả leads trong pipeline. Update stages. Ghi notes. Plan follow-up đầu tuần sau</t>
  </si>
  <si>
    <t xml:space="preserve">Pipeline updated</t>
  </si>
  <si>
    <t xml:space="preserve">Broadcast T6</t>
  </si>
  <si>
    <t xml:space="preserve">Gửi tin nhắn cuối tuần: event reminder, tips, weekend content. Segment phù hợp</t>
  </si>
  <si>
    <t xml:space="preserve">15:00-17:00</t>
  </si>
  <si>
    <t xml:space="preserve">Prepare content tuần tới</t>
  </si>
  <si>
    <t xml:space="preserve">Draft 3-4 ngày đầu tuần tới. Batch edit hình. Lên lịch auto-post nếu tool cho phép</t>
  </si>
  <si>
    <t xml:space="preserve">Next week content started</t>
  </si>
  <si>
    <t xml:space="preserve">THỨ BẢY — Event Day &amp; Community</t>
  </si>
  <si>
    <t xml:space="preserve">7:00-8:00</t>
  </si>
  <si>
    <t xml:space="preserve">Đăng bài sáng T7 (scheduled)</t>
  </si>
  <si>
    <t xml:space="preserve">Content đã chuẩn bị. Đăng FB + TikTok + IG. Zalo article</t>
  </si>
  <si>
    <t xml:space="preserve">Posts live</t>
  </si>
  <si>
    <t xml:space="preserve">8:00-12:00</t>
  </si>
  <si>
    <t xml:space="preserve">Event</t>
  </si>
  <si>
    <t xml:space="preserve">Hỗ trợ Open Day/Tour (nếu có)</t>
  </si>
  <si>
    <t xml:space="preserve">Photo/video coverage, live story IG/FB, welcome PH, hỗ trợ logistics</t>
  </si>
  <si>
    <t xml:space="preserve">Event coverage</t>
  </si>
  <si>
    <t xml:space="preserve">Cả team</t>
  </si>
  <si>
    <t xml:space="preserve">32</t>
  </si>
  <si>
    <t xml:space="preserve">FB Group</t>
  </si>
  <si>
    <t xml:space="preserve">Livestream group T7</t>
  </si>
  <si>
    <t xml:space="preserve">Live Q&amp;A trong nhóm. Informal hơn T3/T5. Focus community building</t>
  </si>
  <si>
    <t xml:space="preserve">Live done</t>
  </si>
  <si>
    <t xml:space="preserve">33</t>
  </si>
  <si>
    <t xml:space="preserve">TikTok Livestream T7</t>
  </si>
  <si>
    <t xml:space="preserve">Live tour trường, Q&amp;A, behind the scenes. Target PH trẻ</t>
  </si>
  <si>
    <t xml:space="preserve">TikTok live done</t>
  </si>
  <si>
    <t xml:space="preserve">34</t>
  </si>
  <si>
    <t xml:space="preserve">Quick ads check T7</t>
  </si>
  <si>
    <t xml:space="preserve">Birch → Weekend performance. Quick adjustments if needed</t>
  </si>
  <si>
    <t xml:space="preserve">Ads checked</t>
  </si>
  <si>
    <t xml:space="preserve">CHỦ NHẬT — Light Work &amp; Next Week Prep</t>
  </si>
  <si>
    <t xml:space="preserve">35</t>
  </si>
  <si>
    <t xml:space="preserve">Đăng bài CN + Stories</t>
  </si>
  <si>
    <t xml:space="preserve">Bài nhẹ nhàng: throwback, motivation, family content. Stories poll</t>
  </si>
  <si>
    <t xml:space="preserve">36</t>
  </si>
  <si>
    <t xml:space="preserve">Check weekend leads</t>
  </si>
  <si>
    <t xml:space="preserve">Review leads từ T7-CN. Assign nếu urgent. Prepare follow-up T2</t>
  </si>
  <si>
    <t xml:space="preserve">Leads noted</t>
  </si>
  <si>
    <t xml:space="preserve">37</t>
  </si>
  <si>
    <t xml:space="preserve">14:00-16:00</t>
  </si>
  <si>
    <t xml:space="preserve">Planning</t>
  </si>
  <si>
    <t xml:space="preserve">Chuẩn bị tuần tới</t>
  </si>
  <si>
    <t xml:space="preserve">Finalize content T2-T4. Review tuần qua: what worked, what didn't. Adjust strategy</t>
  </si>
  <si>
    <t xml:space="preserve">Next week plan ready</t>
  </si>
  <si>
    <t xml:space="preserve">38</t>
  </si>
  <si>
    <t xml:space="preserve">Schedule weekly newsletter T2 sáng</t>
  </si>
  <si>
    <t xml:space="preserve">GHL → Email → Schedule newsletter cho T2 8:00. Final check content, links</t>
  </si>
  <si>
    <t xml:space="preserve">Newsletter scheduled</t>
  </si>
  <si>
    <t xml:space="preserve">📆 TODO LIST HÀNG THÁNG – REVIEW + PLANNING + TUYỂN SINH (Tháng 4–9/2026)</t>
  </si>
  <si>
    <t xml:space="preserve">Tháng/Đội</t>
  </si>
  <si>
    <t xml:space="preserve">Chi tiết / Tiêu chí</t>
  </si>
  <si>
    <t xml:space="preserve">KPI cần đạt</t>
  </si>
  <si>
    <t xml:space="preserve">Owner</t>
  </si>
  <si>
    <t xml:space="preserve">THÁNG 4/2026 – SETUP + PILOT</t>
  </si>
  <si>
    <t xml:space="preserve">📌 Ngân sách: 1,820,000,000đ | Mục tiêu: 1,400 leads / 420 tours</t>
  </si>
  <si>
    <t xml:space="preserve">Go/No-go decision 31/03</t>
  </si>
  <si>
    <t xml:space="preserve">Tracking đã live? GHL nhận lead? LP hoạt động? Birch kết nối?</t>
  </si>
  <si>
    <t xml:space="preserve">All systems GO</t>
  </si>
  <si>
    <t xml:space="preserve">31/03</t>
  </si>
  <si>
    <t xml:space="preserve">Launch brand + generic search</t>
  </si>
  <si>
    <t xml:space="preserve">Bật Brand Search + Generic cho GV, BT | RSA 2 variant/adgroup</t>
  </si>
  <si>
    <t xml:space="preserve">CTR &gt;6%</t>
  </si>
  <si>
    <t xml:space="preserve">09/04</t>
  </si>
  <si>
    <t xml:space="preserve">Mở Meta campaign đợt 1</t>
  </si>
  <si>
    <t xml:space="preserve">Prospecting MN+TH | Lead Gen THCS+THPT | Test 10-15 creative</t>
  </si>
  <si>
    <t xml:space="preserve">CPL &lt;150k</t>
  </si>
  <si>
    <t xml:space="preserve">Webinar #1 (THCS)</t>
  </si>
  <si>
    <t xml:space="preserve">Chủ đề: Lộ trình lớp 6 | 100+ đăng ký | Chốt tour sau</t>
  </si>
  <si>
    <t xml:space="preserve">100 reg</t>
  </si>
  <si>
    <t xml:space="preserve">15/04</t>
  </si>
  <si>
    <t xml:space="preserve">QA pipeline đầu tiên</t>
  </si>
  <si>
    <t xml:space="preserve">Nghe 20 cuộc gọi đầu | Score | Coaching ngay | Fix script</t>
  </si>
  <si>
    <t xml:space="preserve">Confirm tour slots tháng 4</t>
  </si>
  <si>
    <t xml:space="preserve">Tối thiểu 2 slot/campus/tuần | Brief campus manager</t>
  </si>
  <si>
    <t xml:space="preserve">Slots live</t>
  </si>
  <si>
    <t xml:space="preserve">07/04</t>
  </si>
  <si>
    <t xml:space="preserve">Mid-month CPL review</t>
  </si>
  <si>
    <t xml:space="preserve">CPL từng kênh, từng campus | Scale/pause decision</t>
  </si>
  <si>
    <t xml:space="preserve">Budget adj</t>
  </si>
  <si>
    <t xml:space="preserve">A/B test landing pages</t>
  </si>
  <si>
    <t xml:space="preserve">Test 2 LP version cho THCS/THPT | Measure CVR</t>
  </si>
  <si>
    <t xml:space="preserve">Winner selected</t>
  </si>
  <si>
    <t xml:space="preserve">30/04</t>
  </si>
  <si>
    <t xml:space="preserve">Monthly review tháng 4</t>
  </si>
  <si>
    <t xml:space="preserve">So với target: leads, tours, CPL, response rate | Plan tháng 5</t>
  </si>
  <si>
    <t xml:space="preserve">Report + plan</t>
  </si>
  <si>
    <t xml:space="preserve">THÁNG 5/2026 – MỞ RỘNG + SCALE</t>
  </si>
  <si>
    <t xml:space="preserve">📌 Ngân sách: 2,860,000,000đ | Mục tiêu: 2,400 leads / 720 tours</t>
  </si>
  <si>
    <t xml:space="preserve">Scale campaign thắng tháng 4</t>
  </si>
  <si>
    <t xml:space="preserve">Top 5 adset/campaign → +20-30% budget | KPI-based scaling</t>
  </si>
  <si>
    <t xml:space="preserve">Budget scaled</t>
  </si>
  <si>
    <t xml:space="preserve">05/05</t>
  </si>
  <si>
    <t xml:space="preserve">Mở competitor search</t>
  </si>
  <si>
    <t xml:space="preserve">THPT GV chọn lọc | Landing compare mềm | Budget riêng</t>
  </si>
  <si>
    <t xml:space="preserve">CPL competitor</t>
  </si>
  <si>
    <t xml:space="preserve">07/05</t>
  </si>
  <si>
    <t xml:space="preserve">Webinar #2 (THPT)</t>
  </si>
  <si>
    <t xml:space="preserve">Chủ đề: Tuyển sinh lớp 10, học bổng | 120+ đăng ký</t>
  </si>
  <si>
    <t xml:space="preserve">120 reg</t>
  </si>
  <si>
    <t xml:space="preserve">14/05</t>
  </si>
  <si>
    <t xml:space="preserve">TikTok scale top videos</t>
  </si>
  <si>
    <t xml:space="preserve">Top 5 video by CPV → Spark Ads | Budget TikTok +30%</t>
  </si>
  <si>
    <t xml:space="preserve">CPV ≤2k</t>
  </si>
  <si>
    <t xml:space="preserve">10/05</t>
  </si>
  <si>
    <t xml:space="preserve">Open Day #1</t>
  </si>
  <si>
    <t xml:space="preserve">Tổ chức open campus event | PR + paid + Zalo broadcast</t>
  </si>
  <si>
    <t xml:space="preserve">50+ phụ huynh</t>
  </si>
  <si>
    <t xml:space="preserve">17/05</t>
  </si>
  <si>
    <t xml:space="preserve">Zalo broadcast tỉnh</t>
  </si>
  <si>
    <t xml:space="preserve">Blast toàn bộ Zalo OA subscriber tỉnh | Mời tour tháng 6</t>
  </si>
  <si>
    <t xml:space="preserve">Open ≥40%</t>
  </si>
  <si>
    <t xml:space="preserve">20/05</t>
  </si>
  <si>
    <t xml:space="preserve">Remarketing ramp-up</t>
  </si>
  <si>
    <t xml:space="preserve">Bật strong retarget: học phí visitors, form-not-submit, video viewers</t>
  </si>
  <si>
    <t xml:space="preserve">ROAS tracking</t>
  </si>
  <si>
    <t xml:space="preserve">15/05</t>
  </si>
  <si>
    <t xml:space="preserve">Mid-month review tháng 5</t>
  </si>
  <si>
    <t xml:space="preserve">Check 53% target lead | Lead→Tour rate | School tour quality</t>
  </si>
  <si>
    <t xml:space="preserve">Monthly review tháng 5</t>
  </si>
  <si>
    <t xml:space="preserve">Full KPI review | Budget reallocation tháng 6 | Creative refresh plan</t>
  </si>
  <si>
    <t xml:space="preserve">31/05</t>
  </si>
  <si>
    <t xml:space="preserve">THÁNG 6/2026 – CAO ĐIỂM TOUR</t>
  </si>
  <si>
    <t xml:space="preserve">📌 Ngân sách: 3,120,000,000đ | Mục tiêu: 2,800 leads / 840 tours | Check 53% target</t>
  </si>
  <si>
    <t xml:space="preserve">Tăng ngân sách THCS/THPT</t>
  </si>
  <si>
    <t xml:space="preserve">THCS PN, THCS GV, THPT GV → +25-30% | Dựa trên booked tour data</t>
  </si>
  <si>
    <t xml:space="preserve">01/06</t>
  </si>
  <si>
    <t xml:space="preserve">Test PMax nhỏ</t>
  </si>
  <si>
    <t xml:space="preserve">PMax test 2% Google budget | Chỉ cho THPT | Track riêng quality</t>
  </si>
  <si>
    <t xml:space="preserve">Lead quality</t>
  </si>
  <si>
    <t xml:space="preserve">07/06</t>
  </si>
  <si>
    <t xml:space="preserve">YouTube/Demand Gen scale</t>
  </si>
  <si>
    <t xml:space="preserve">Testimonial video THCS/THPT → Retarget | Webinar reminder</t>
  </si>
  <si>
    <t xml:space="preserve">View-to-tour</t>
  </si>
  <si>
    <t xml:space="preserve">Webinar #3 (THCS - chuyển cấp)</t>
  </si>
  <si>
    <t xml:space="preserve">Lộ trình con tôi học ở đâu sau lớp 5? | 100+ reg</t>
  </si>
  <si>
    <t xml:space="preserve">11/06</t>
  </si>
  <si>
    <t xml:space="preserve">Tăng tour slots + staff</t>
  </si>
  <si>
    <t xml:space="preserve">Mỗi cơ sở có person phụ trách tour đầy đủ | Cuối tuần +1 slot</t>
  </si>
  <si>
    <t xml:space="preserve">Slots full</t>
  </si>
  <si>
    <t xml:space="preserve">05/06</t>
  </si>
  <si>
    <t xml:space="preserve">Open Day #2</t>
  </si>
  <si>
    <t xml:space="preserve">1 event lớn toàn hệ thống hoặc từng campus | PR mạnh</t>
  </si>
  <si>
    <t xml:space="preserve">100+ phụ huynh</t>
  </si>
  <si>
    <t xml:space="preserve">21/06</t>
  </si>
  <si>
    <t xml:space="preserve">Creative refresh tháng 6</t>
  </si>
  <si>
    <t xml:space="preserve">Làm mới toàn bộ creative Meta + TikTok sau 4 tuần chạy</t>
  </si>
  <si>
    <t xml:space="preserve">New creative</t>
  </si>
  <si>
    <t xml:space="preserve">10/06</t>
  </si>
  <si>
    <t xml:space="preserve">Mid-month check 53% target</t>
  </si>
  <si>
    <t xml:space="preserve">Nếu &lt;53% cumulative → trigger dự phòng ngân sách</t>
  </si>
  <si>
    <t xml:space="preserve">Go/escalate</t>
  </si>
  <si>
    <t xml:space="preserve">15/06</t>
  </si>
  <si>
    <t xml:space="preserve">Monthly review tháng 6</t>
  </si>
  <si>
    <t xml:space="preserve">Full KPI | Tour quality | Campus gap analysis | Plan tháng 7</t>
  </si>
  <si>
    <t xml:space="preserve">30/06</t>
  </si>
  <si>
    <t xml:space="preserve">THÁNG 7/2026 – CHỐT SALE</t>
  </si>
  <si>
    <t xml:space="preserve">📌 Ngân sách: 2,860,000,000đ | Mục tiêu: 2,400 leads / 720 tours | &lt;73% target → dự phòng</t>
  </si>
  <si>
    <t xml:space="preserve">Dồn budget vào high-intent</t>
  </si>
  <si>
    <t xml:space="preserve">Học bổng, lớp 6, lớp 10, chốt hồ sơ, deadline | Scale mạnh</t>
  </si>
  <si>
    <t xml:space="preserve">CPL stable</t>
  </si>
  <si>
    <t xml:space="preserve">01/07</t>
  </si>
  <si>
    <t xml:space="preserve">Học bổng campaign</t>
  </si>
  <si>
    <t xml:space="preserve">Meta + Google "học bổng lớp 10", "ưu đãi tuyển sinh" | Deadline rõ</t>
  </si>
  <si>
    <t xml:space="preserve">05/07</t>
  </si>
  <si>
    <t xml:space="preserve">Retarget pipeline stuck</t>
  </si>
  <si>
    <t xml:space="preserve">GHL → Opportunity "No response 7d" → Personal follow-up call</t>
  </si>
  <si>
    <t xml:space="preserve">07/07</t>
  </si>
  <si>
    <t xml:space="preserve">Brand defense mạnh</t>
  </si>
  <si>
    <t xml:space="preserve">Brand search impression share ≥95% | Monitor competitor bids</t>
  </si>
  <si>
    <t xml:space="preserve">IS ≥95%</t>
  </si>
  <si>
    <t xml:space="preserve">Webinar #4 (THPT học bổng)</t>
  </si>
  <si>
    <t xml:space="preserve">Chủ đề học bổng, đầu ra, lộ trình | 120+ reg | Chốt ngay sau</t>
  </si>
  <si>
    <t xml:space="preserve">16/07</t>
  </si>
  <si>
    <t xml:space="preserve">7-day follow-up sequence</t>
  </si>
  <si>
    <t xml:space="preserve">Phụ huynh đã tour chưa chốt → 5 điểm chạm trong 7 ngày</t>
  </si>
  <si>
    <t xml:space="preserve">Conversion rate</t>
  </si>
  <si>
    <t xml:space="preserve">Dự phòng ngân sách check</t>
  </si>
  <si>
    <t xml:space="preserve">Nếu &lt;73% target → Giải ngân quỹ dự phòng theo kịch bản</t>
  </si>
  <si>
    <t xml:space="preserve">15/07</t>
  </si>
  <si>
    <t xml:space="preserve">Monthly review tháng 7</t>
  </si>
  <si>
    <t xml:space="preserve">Full KPI | Lost reason analysis | Plan tháng 8 chốt cuối</t>
  </si>
  <si>
    <t xml:space="preserve">31/07</t>
  </si>
  <si>
    <t xml:space="preserve">THÁNG 8/2026 – VÉT CHỈ TIÊU</t>
  </si>
  <si>
    <t xml:space="preserve">📌 Ngân sách: 1,300,000,000đ | Mục tiêu: 1,200 leads / 360 tours | Gần đạt target</t>
  </si>
  <si>
    <t xml:space="preserve">Retarget mạnh database cũ</t>
  </si>
  <si>
    <t xml:space="preserve">Toàn bộ leads chưa enroll → Remarketing 7d + email + Zalo</t>
  </si>
  <si>
    <t xml:space="preserve">01/08</t>
  </si>
  <si>
    <t xml:space="preserve">Landing "số chỗ có hạn"</t>
  </si>
  <si>
    <t xml:space="preserve">Urgency landing page | CTA "Chốt chỗ ngay" | Countdown timer</t>
  </si>
  <si>
    <t xml:space="preserve">CVR boost</t>
  </si>
  <si>
    <t xml:space="preserve">05/08</t>
  </si>
  <si>
    <t xml:space="preserve">Giảm broad awareness</t>
  </si>
  <si>
    <t xml:space="preserve">Tắt cold audience broad | Giữ brand + high-intent + retarget</t>
  </si>
  <si>
    <t xml:space="preserve">Budget efficient</t>
  </si>
  <si>
    <t xml:space="preserve">Gọi lại toàn bộ pending</t>
  </si>
  <si>
    <t xml:space="preserve">GHL filter: tour attended nhưng chưa deposit → Personal call</t>
  </si>
  <si>
    <t xml:space="preserve">03/08</t>
  </si>
  <si>
    <t xml:space="preserve">Cập nhật số chỗ real-time</t>
  </si>
  <si>
    <t xml:space="preserve">Marketing cần biết campus nào còn chỗ → Daily update</t>
  </si>
  <si>
    <t xml:space="preserve">Transparency</t>
  </si>
  <si>
    <t xml:space="preserve">CAC final review từng campus</t>
  </si>
  <si>
    <t xml:space="preserve">Tính CAC thực từ spend + tour + enroll | So với target</t>
  </si>
  <si>
    <t xml:space="preserve">CAC report</t>
  </si>
  <si>
    <t xml:space="preserve">15/08</t>
  </si>
  <si>
    <t xml:space="preserve">Monthly review tháng 8</t>
  </si>
  <si>
    <t xml:space="preserve">Full KPI | Forecast tháng 9 | Late intake plan | Post-mortem prep</t>
  </si>
  <si>
    <t xml:space="preserve">31/08</t>
  </si>
  <si>
    <t xml:space="preserve">THÁNG 9/2026 – LATE INTAKE + KẾT MÙA</t>
  </si>
  <si>
    <t xml:space="preserve">📌 Ngân sách: 520,000,000đ | Mục tiêu: 400 leads / 120 tours | Late intake + chuyển trường</t>
  </si>
  <si>
    <t xml:space="preserve">Chuyển trường campaign</t>
  </si>
  <si>
    <t xml:space="preserve">"Chuyển trường THPT", "còn nhận hồ sơ", "nhập học muộn"</t>
  </si>
  <si>
    <t xml:space="preserve">Late leads</t>
  </si>
  <si>
    <t xml:space="preserve">01/09</t>
  </si>
  <si>
    <t xml:space="preserve">Brand search only Google</t>
  </si>
  <si>
    <t xml:space="preserve">Chỉ giữ brand + late-intent | Cắt generic broad</t>
  </si>
  <si>
    <t xml:space="preserve">CPL efficient</t>
  </si>
  <si>
    <t xml:space="preserve">Reactivation database</t>
  </si>
  <si>
    <t xml:space="preserve">Gọi lại ALL leads từ tháng 4-8 chưa enroll | Personal touch</t>
  </si>
  <si>
    <t xml:space="preserve">05/09</t>
  </si>
  <si>
    <t xml:space="preserve">Late enrollment process</t>
  </si>
  <si>
    <t xml:space="preserve">Quy trình hồ sơ nhanh 48h | Brief staff xử lý gấp</t>
  </si>
  <si>
    <t xml:space="preserve">Process ready</t>
  </si>
  <si>
    <t xml:space="preserve">Post-mortem session</t>
  </si>
  <si>
    <t xml:space="preserve">Full mùa review: Kênh nào thắng? Kênh nào waste? Học gì?</t>
  </si>
  <si>
    <t xml:space="preserve">Learnings doc</t>
  </si>
  <si>
    <t xml:space="preserve">25/09</t>
  </si>
  <si>
    <t xml:space="preserve">Kế hoạch 2027 đề xuất</t>
  </si>
  <si>
    <t xml:space="preserve">Dựa trên data thực → Đề xuất ngân sách, kênh, campus, KPI 2027</t>
  </si>
  <si>
    <t xml:space="preserve">Draft plan</t>
  </si>
  <si>
    <t xml:space="preserve">30/09</t>
  </si>
  <si>
    <t xml:space="preserve">═══ KẾ HOẠCH CHI TIẾT TỪNG THÁNG 04-09/2026 — TẤT CẢ KÊNH ═══</t>
  </si>
  <si>
    <t xml:space="preserve">THÁNG 4/2026 — SETUP &amp; SOFT LAUNCH</t>
  </si>
  <si>
    <t xml:space="preserve">Nhóm công việc</t>
  </si>
  <si>
    <t xml:space="preserve">Chi tiết hoạt động</t>
  </si>
  <si>
    <t xml:space="preserve">Output/Milestone</t>
  </si>
  <si>
    <t xml:space="preserve">Tuần 1 (01-06/04)</t>
  </si>
  <si>
    <t xml:space="preserve">Setup hệ thống</t>
  </si>
  <si>
    <t xml:space="preserve">Setup GHL (bước 1-18), Pancake (bước 1-10), Make.com (bước 1-6), Birch (bước 1-5)</t>
  </si>
  <si>
    <t xml:space="preserve">Cả team IT + Marketing</t>
  </si>
  <si>
    <t xml:space="preserve">Hệ thống cơ bản sẵn sàng</t>
  </si>
  <si>
    <t xml:space="preserve">Chuẩn bị content</t>
  </si>
  <si>
    <t xml:space="preserve">Chụp hình tất cả 6 cơ sở (500+ hình). Quay 20 video clips. Viết 30 bài FB, 30 Zalo articles</t>
  </si>
  <si>
    <t xml:space="preserve">Content bank ready</t>
  </si>
  <si>
    <t xml:space="preserve">Tuần 2 (07-13/04)</t>
  </si>
  <si>
    <t xml:space="preserve">Hoàn thiện automation</t>
  </si>
  <si>
    <t xml:space="preserve">GHL workflows (bước 19-28), Pancake chatbot (bước 11-12), Make.com scenarios (bước 7-12)</t>
  </si>
  <si>
    <t xml:space="preserve">Marketing Lead + IT</t>
  </si>
  <si>
    <t xml:space="preserve">Automation hoàn chỉnh</t>
  </si>
  <si>
    <t xml:space="preserve">Launch ads soft</t>
  </si>
  <si>
    <t xml:space="preserve">Meta Ads: 3 campaigns (Awareness, Lead Gen, Retargeting). Google Ads: Search brand + generic. Budget: 30% tháng</t>
  </si>
  <si>
    <t xml:space="preserve">Ads live, data collecting</t>
  </si>
  <si>
    <t xml:space="preserve">Social Media kick-off</t>
  </si>
  <si>
    <t xml:space="preserve">Đăng daily trên FB, Zalo, IG, TikTok. Grow FB Groups. First YouTube videos</t>
  </si>
  <si>
    <t xml:space="preserve">All channels active</t>
  </si>
  <si>
    <t xml:space="preserve">Tuần 3 (14-20/04)</t>
  </si>
  <si>
    <t xml:space="preserve">Testing &amp; Training</t>
  </si>
  <si>
    <t xml:space="preserve">UAT toàn bộ hệ thống. Training 3 sessions cho team. Fix bugs</t>
  </si>
  <si>
    <t xml:space="preserve">UAT passed, team trained</t>
  </si>
  <si>
    <t xml:space="preserve">Tuần 3</t>
  </si>
  <si>
    <t xml:space="preserve">First Webinar</t>
  </si>
  <si>
    <t xml:space="preserve">Webinar tư vấn tuyển sinh MN + TH. Promote 1 tuần trước. Target: 100 đăng ký</t>
  </si>
  <si>
    <t xml:space="preserve">Event + Marketing</t>
  </si>
  <si>
    <t xml:space="preserve">100 registrations</t>
  </si>
  <si>
    <t xml:space="preserve">Tuần 4 (21-30/04)</t>
  </si>
  <si>
    <t xml:space="preserve">GO-LIVE</t>
  </si>
  <si>
    <t xml:space="preserve">Full launch GHL + Pancake + Make.com + Birch. Tăng ads budget 50%. Daily monitoring</t>
  </si>
  <si>
    <t xml:space="preserve">🚀 System live</t>
  </si>
  <si>
    <t xml:space="preserve">Tuần 4</t>
  </si>
  <si>
    <t xml:space="preserve">First Open Day</t>
  </si>
  <si>
    <t xml:space="preserve">Open Day tại MN VA Gò Vấp + TH VA Gò Vấp. Target: 50 PH/cơ sở. Photo/Video coverage</t>
  </si>
  <si>
    <t xml:space="preserve">Event Team</t>
  </si>
  <si>
    <t xml:space="preserve">100 PH tham dự</t>
  </si>
  <si>
    <t xml:space="preserve">Cả tháng</t>
  </si>
  <si>
    <t xml:space="preserve">KPI mục tiêu T4</t>
  </si>
  <si>
    <t xml:space="preserve">Leads: 100 | Tours: 30 | Enrollments: 15 | Ad spend: 1.5 tỷ | Social followers: +5,000</t>
  </si>
  <si>
    <t xml:space="preserve">KPI dashboard updated</t>
  </si>
  <si>
    <t xml:space="preserve">THÁNG 5/2026 — SCALE UP &amp; OPTIMIZE</t>
  </si>
  <si>
    <t xml:space="preserve">Tuần 1 (01-04/05)</t>
  </si>
  <si>
    <t xml:space="preserve">Tối ưu từ data T4</t>
  </si>
  <si>
    <t xml:space="preserve">Phân tích data T4: best performing ads, content, channels. Reallocate budget. Kill losers, scale winners</t>
  </si>
  <si>
    <t xml:space="preserve">Ads + Marketing Lead</t>
  </si>
  <si>
    <t xml:space="preserve">Optimization report</t>
  </si>
  <si>
    <t xml:space="preserve">Video production T5</t>
  </si>
  <si>
    <t xml:space="preserve">Quay 15 video mới: testimonials (5), tour (3), tips (4), behind scenes (3). Edit batch</t>
  </si>
  <si>
    <t xml:space="preserve">15 videos ready</t>
  </si>
  <si>
    <t xml:space="preserve">Tuần 2 (05-11/05)</t>
  </si>
  <si>
    <t xml:space="preserve">Scale ads 50%</t>
  </si>
  <si>
    <t xml:space="preserve">Tăng budget ads tổng. Expand audience: Lookalike 1-3%, new interests. TikTok Ads bắt đầu</t>
  </si>
  <si>
    <t xml:space="preserve">Ads scaled</t>
  </si>
  <si>
    <t xml:space="preserve">Webinar T5</t>
  </si>
  <si>
    <t xml:space="preserve">Webinar THCS + THPT. Promote FB + Zalo + Email. Target: 150 registrations</t>
  </si>
  <si>
    <t xml:space="preserve">150 registrations</t>
  </si>
  <si>
    <t xml:space="preserve">Tuần 3 (12-18/05)</t>
  </si>
  <si>
    <t xml:space="preserve">Open Day T5</t>
  </si>
  <si>
    <t xml:space="preserve">Open Day tại 4 cơ sở (MN Nhân Lễ, MN+TH Thái Sơn, MN+TH Mekong Xanh, TH VA Bình Tân)</t>
  </si>
  <si>
    <t xml:space="preserve">200 PH tổng</t>
  </si>
  <si>
    <t xml:space="preserve">Influencer campaign</t>
  </si>
  <si>
    <t xml:space="preserve">Mời 2 mommy bloggers đến trường. Collab content. Budget: 20M/blogger</t>
  </si>
  <si>
    <t xml:space="preserve">2 collab posts</t>
  </si>
  <si>
    <t xml:space="preserve">Tuần 4 (19-31/05)</t>
  </si>
  <si>
    <t xml:space="preserve">Email nurture push</t>
  </si>
  <si>
    <t xml:space="preserve">Activate email sequences cho all leads chưa convert. Scholarship campaign email</t>
  </si>
  <si>
    <t xml:space="preserve">Emails sent, leads nurtured</t>
  </si>
  <si>
    <t xml:space="preserve">Community building</t>
  </si>
  <si>
    <t xml:space="preserve">FB Group members target: 13,000. Organize 2 online events/contests trong group</t>
  </si>
  <si>
    <t xml:space="preserve">Groups growing</t>
  </si>
  <si>
    <t xml:space="preserve">KPI mục tiêu T5</t>
  </si>
  <si>
    <t xml:space="preserve">Leads: 180 | Tours: 60 | Enrollments: 40 | Ad spend: 2 tỷ | Social followers: +10,000</t>
  </si>
  <si>
    <t xml:space="preserve">KPI tracked</t>
  </si>
  <si>
    <t xml:space="preserve">THÁNG 6/2026 — PEAK SEASON PUSH</t>
  </si>
  <si>
    <t xml:space="preserve">Tuần 1 (01-07/06)</t>
  </si>
  <si>
    <t xml:space="preserve">Chiến dịch hè sôi động</t>
  </si>
  <si>
    <t xml:space="preserve">Launch campaign "Hè Sôi Động Cùng Việt Anh". Mega ads push: tăng budget 100%. Content blitz</t>
  </si>
  <si>
    <t xml:space="preserve">Campaign launched</t>
  </si>
  <si>
    <t xml:space="preserve">TikTok viral push</t>
  </si>
  <si>
    <t xml:space="preserve">Chạy TikTok challenge: #HeSoiDongVietAnh. Invite HS tham gia. Giải thưởng hấp dẫn</t>
  </si>
  <si>
    <t xml:space="preserve">Challenge live</t>
  </si>
  <si>
    <t xml:space="preserve">Tuần 2 (08-14/06)</t>
  </si>
  <si>
    <t xml:space="preserve">Open Day lớn nhất</t>
  </si>
  <si>
    <t xml:space="preserve">Mega Open Day tại TẤT CẢ 6 cơ sở cùng ngày. Target: 500 PH tổng. Full coverage</t>
  </si>
  <si>
    <t xml:space="preserve">Event Team + All</t>
  </si>
  <si>
    <t xml:space="preserve">500 PH tham dự</t>
  </si>
  <si>
    <t xml:space="preserve">Mở đơn học bổng. Landing page + Forms. Promote heavy trên all channels</t>
  </si>
  <si>
    <t xml:space="preserve">Scholarship apps received</t>
  </si>
  <si>
    <t xml:space="preserve">Tuần 3 (15-21/06)</t>
  </si>
  <si>
    <t xml:space="preserve">Remarketing aggressive</t>
  </si>
  <si>
    <t xml:space="preserve">Retarget ALL leads chưa convert. Custom audience: page visitors, form abandoners, video viewers</t>
  </si>
  <si>
    <t xml:space="preserve">Remarketing live</t>
  </si>
  <si>
    <t xml:space="preserve">YouTube series launch</t>
  </si>
  <si>
    <t xml:space="preserve">Launch series "Cùng Con Lớn Khôn" — 1 tập/tuần. Promote cross-platform</t>
  </si>
  <si>
    <t xml:space="preserve">Series episode 1 live</t>
  </si>
  <si>
    <t xml:space="preserve">Tuần 4 (22-30/06)</t>
  </si>
  <si>
    <t xml:space="preserve">Mid-year review</t>
  </si>
  <si>
    <t xml:space="preserve">Tổng kết nửa mùa tuyển sinh. So sánh actual vs target. Adjust strategy cho Q3</t>
  </si>
  <si>
    <t xml:space="preserve">Mid-year report</t>
  </si>
  <si>
    <t xml:space="preserve">Webinar marathon</t>
  </si>
  <si>
    <t xml:space="preserve">3 webinars trong 1 tuần: MN (T3), TH (T5), THCS+THPT (T7). Mass registration</t>
  </si>
  <si>
    <t xml:space="preserve">500 registrations tổng</t>
  </si>
  <si>
    <t xml:space="preserve">KPI mục tiêu T6</t>
  </si>
  <si>
    <t xml:space="preserve">Leads: 300 | Tours: 120 | Enrollments: 80 | Ad spend: 3 tỷ | Social followers: +15,000</t>
  </si>
  <si>
    <t xml:space="preserve">THÁNG 7/2026 — PEAK ENROLLMENT</t>
  </si>
  <si>
    <t xml:space="preserve">Tuần 1 (01-05/07)</t>
  </si>
  <si>
    <t xml:space="preserve">Urgency campaign</t>
  </si>
  <si>
    <t xml:space="preserve">Launch "Chỉ còn 3 tháng — Đăng ký ngay!". Countdown trên tất cả kênh. Limited seats messaging</t>
  </si>
  <si>
    <t xml:space="preserve">Urgency campaign live</t>
  </si>
  <si>
    <t xml:space="preserve">Referral program boost</t>
  </si>
  <si>
    <t xml:space="preserve">PH giới thiệu PH: thưởng 2M/enrollment thành công. Promote qua Zalo groups + email</t>
  </si>
  <si>
    <t xml:space="preserve">Referral program active</t>
  </si>
  <si>
    <t xml:space="preserve">Tuần 2 (06-12/07)</t>
  </si>
  <si>
    <t xml:space="preserve">Conversion push</t>
  </si>
  <si>
    <t xml:space="preserve">Focus convert leads to tours. Call marathon: tư vấn viên gọi tất cả leads hot. Double follow up</t>
  </si>
  <si>
    <t xml:space="preserve">Tour bookings surge</t>
  </si>
  <si>
    <t xml:space="preserve">Video testimonial drive</t>
  </si>
  <si>
    <t xml:space="preserve">Quay 20 testimonial PH mới enrolled. Chia sẻ cross-platform. Use in ads</t>
  </si>
  <si>
    <t xml:space="preserve">20 testimonials</t>
  </si>
  <si>
    <t xml:space="preserve">Tuần 3 (13-19/07)</t>
  </si>
  <si>
    <t xml:space="preserve">Open Day T7</t>
  </si>
  <si>
    <t xml:space="preserve">Open Day lần 3 — focus cơ sở có enrollment thấp. Extra budget cho weak campuses</t>
  </si>
  <si>
    <t xml:space="preserve">Targeted Open Day</t>
  </si>
  <si>
    <t xml:space="preserve">Scholarship results</t>
  </si>
  <si>
    <t xml:space="preserve">Công bố kết quả học bổng. Celebrate trên social media. Convert scholarship winners</t>
  </si>
  <si>
    <t xml:space="preserve">Scholarship announced</t>
  </si>
  <si>
    <t xml:space="preserve">Tuần 4 (20-31/07)</t>
  </si>
  <si>
    <t xml:space="preserve">Retarget cold leads</t>
  </si>
  <si>
    <t xml:space="preserve">Win-back campaign cho leads cold &gt;30 ngày. Special offer: giảm phí ghi danh nếu enroll trước 31/7</t>
  </si>
  <si>
    <t xml:space="preserve">Ads + Email</t>
  </si>
  <si>
    <t xml:space="preserve">Cold leads reactivated</t>
  </si>
  <si>
    <t xml:space="preserve">KPI mục tiêu T7</t>
  </si>
  <si>
    <t xml:space="preserve">Leads: 350 | Tours: 150 | Enrollments: 120 | Ad spend: 3 tỷ | Social followers: +10,000</t>
  </si>
  <si>
    <t xml:space="preserve">THÁNG 8/2026 — CLOSING &amp; LAST PUSH</t>
  </si>
  <si>
    <t xml:space="preserve">Tuần 1 (01-09/08)</t>
  </si>
  <si>
    <t xml:space="preserve">Final enrollment push</t>
  </si>
  <si>
    <t xml:space="preserve">"Chỉ còn 2 tháng — Ưu đãi cuối cùng!" Early bird discount cho enrollment trước 15/8</t>
  </si>
  <si>
    <t xml:space="preserve">Final push campaign</t>
  </si>
  <si>
    <t xml:space="preserve">Content tổng kết hè</t>
  </si>
  <si>
    <t xml:space="preserve">Chia sẻ highlights summer activities: trại hè, hoạt động ngoại khóa, chuẩn bị năm mới</t>
  </si>
  <si>
    <t xml:space="preserve">Summer recap content</t>
  </si>
  <si>
    <t xml:space="preserve">Tuần 2 (10-16/08)</t>
  </si>
  <si>
    <t xml:space="preserve">Open Day cuối cùng</t>
  </si>
  <si>
    <t xml:space="preserve">Final Open Day — "Cơ hội cuối". Tất cả 6 cơ sở. Extra incentive: miễn phí xe 1 tháng</t>
  </si>
  <si>
    <t xml:space="preserve">Final Open Day</t>
  </si>
  <si>
    <t xml:space="preserve">Tuần 3 (17-23/08)</t>
  </si>
  <si>
    <t xml:space="preserve">Chốt enrollment</t>
  </si>
  <si>
    <t xml:space="preserve">Call tất cả leads còn pending. SMS/Zalo blast: deadline reminder. Enrollment team full speed</t>
  </si>
  <si>
    <t xml:space="preserve">Enrollments closing</t>
  </si>
  <si>
    <t xml:space="preserve">Tuần 4 (24-31/08)</t>
  </si>
  <si>
    <t xml:space="preserve">Giảm budget ads</t>
  </si>
  <si>
    <t xml:space="preserve">Reduce ads budget 50%. Focus retargeting only. Pause awareness campaigns</t>
  </si>
  <si>
    <t xml:space="preserve">Budget reduced</t>
  </si>
  <si>
    <t xml:space="preserve">Chuẩn bị welcome kit</t>
  </si>
  <si>
    <t xml:space="preserve">Chuẩn bị welcome kit cho HS mới enrolled: email welcome, thông tin khai giảng, hướng dẫn</t>
  </si>
  <si>
    <t xml:space="preserve">Marketing + Event</t>
  </si>
  <si>
    <t xml:space="preserve">Welcome materials ready</t>
  </si>
  <si>
    <t xml:space="preserve">KPI mục tiêu T8</t>
  </si>
  <si>
    <t xml:space="preserve">Leads: 200 | Tours: 80 | Enrollments: 100 | Ad spend: 2 tỷ | Social followers: +5,000</t>
  </si>
  <si>
    <t xml:space="preserve">THÁNG 9/2026 — WRAP UP &amp; KHAI GIẢNG</t>
  </si>
  <si>
    <t xml:space="preserve">Tuần 1 (01-07/09)</t>
  </si>
  <si>
    <t xml:space="preserve">Last chance enrollment</t>
  </si>
  <si>
    <t xml:space="preserve">"Chốt đơn cuối!" Cho phép enrollment muộn với phí thêm. Focus THCS + THPT (seats còn)</t>
  </si>
  <si>
    <t xml:space="preserve">Last enrollments</t>
  </si>
  <si>
    <t xml:space="preserve">Chuẩn bị khai giảng</t>
  </si>
  <si>
    <t xml:space="preserve">Content khai giảng: banner, video, schedule. Invite PH dự lễ. Photo/video team ready</t>
  </si>
  <si>
    <t xml:space="preserve">Event + Content</t>
  </si>
  <si>
    <t xml:space="preserve">Khai giảng materials</t>
  </si>
  <si>
    <t xml:space="preserve">Tuần 2 (08-14/09)</t>
  </si>
  <si>
    <t xml:space="preserve">KHAI GIẢNG</t>
  </si>
  <si>
    <t xml:space="preserve">Lễ khai giảng tại 6 cơ sở. Live coverage FB + TikTok. Photo session. PH testimonials</t>
  </si>
  <si>
    <t xml:space="preserve">🎓 Khai giảng thành công</t>
  </si>
  <si>
    <t xml:space="preserve">Welcome series</t>
  </si>
  <si>
    <t xml:space="preserve">GHL: trigger welcome email series cho tất cả HS mới. Zalo group onboarding</t>
  </si>
  <si>
    <t xml:space="preserve">Welcome emails sent</t>
  </si>
  <si>
    <t xml:space="preserve">Tuần 3 (15-21/09)</t>
  </si>
  <si>
    <t xml:space="preserve">Campaign wrap up</t>
  </si>
  <si>
    <t xml:space="preserve">Tắt tất cả ads tuyển sinh. Archive campaigns. Export all data</t>
  </si>
  <si>
    <t xml:space="preserve">Campaigns archived</t>
  </si>
  <si>
    <t xml:space="preserve">Tổng kết mùa tuyển sinh</t>
  </si>
  <si>
    <t xml:space="preserve">Báo cáo tổng: actual vs target, cost per enrollment, best channels, lessons learned</t>
  </si>
  <si>
    <t xml:space="preserve">📊 Final Report</t>
  </si>
  <si>
    <t xml:space="preserve">Tuần 4 (22-30/09)</t>
  </si>
  <si>
    <t xml:space="preserve">Database cleanup</t>
  </si>
  <si>
    <t xml:space="preserve">Clean all CRM data. Archive completed leads. Prepare for retention marketing</t>
  </si>
  <si>
    <t xml:space="preserve">Database cleaned</t>
  </si>
  <si>
    <t xml:space="preserve">Plan retention marketing</t>
  </si>
  <si>
    <t xml:space="preserve">Lên kế hoạch giữ chân: monthly newsletter, PH events, birthday wishes, referral ongoing</t>
  </si>
  <si>
    <t xml:space="preserve">Retention plan</t>
  </si>
  <si>
    <t xml:space="preserve">KPI mục tiêu T9</t>
  </si>
  <si>
    <t xml:space="preserve">Leads: 100 | Tours: 30 | Enrollments: 50 | Ad spend: 1.5 tỷ | TỔNG: 1,300 HS enrolled</t>
  </si>
  <si>
    <t xml:space="preserve">🎯 TARGET ĐẠT</t>
  </si>
  <si>
    <t xml:space="preserve">📊 CAMPAIGN TRACKER – THEO DÕI TỪNG CAMPAIGN THEO TUẦN (GOOGLE + META + TIKTOK + ZALO)</t>
  </si>
  <si>
    <t xml:space="preserve">Nhập dữ liệu thực tế mỗi tuần vào cột tương ứng. Cột màu xanh = auto-calculated. Liên kết với A. KPI Weekly Tracker.</t>
  </si>
  <si>
    <t xml:space="preserve">Spend (đ)</t>
  </si>
  <si>
    <t xml:space="preserve">CTR</t>
  </si>
  <si>
    <t xml:space="preserve">Leads</t>
  </si>
  <si>
    <t xml:space="preserve">Q.Leads</t>
  </si>
  <si>
    <t xml:space="preserve">CPL (đ)</t>
  </si>
  <si>
    <t xml:space="preserve">Q.Rate</t>
  </si>
  <si>
    <t xml:space="preserve">Tours</t>
  </si>
  <si>
    <t xml:space="preserve">Cost/Tour</t>
  </si>
  <si>
    <t xml:space="preserve">Enrolls</t>
  </si>
  <si>
    <t xml:space="preserve">Hệ thống</t>
  </si>
  <si>
    <t xml:space="preserve">☐ Active</t>
  </si>
  <si>
    <t xml:space="preserve">S_MN_GV_Brand</t>
  </si>
  <si>
    <t xml:space="preserve">MN GV</t>
  </si>
  <si>
    <t xml:space="preserve">TH GV</t>
  </si>
  <si>
    <t xml:space="preserve">TH BT</t>
  </si>
  <si>
    <t xml:space="preserve">S_TH_BT_HighIntent</t>
  </si>
  <si>
    <t xml:space="preserve">THCS GV</t>
  </si>
  <si>
    <t xml:space="preserve">S_THCS_GV_Webinar</t>
  </si>
  <si>
    <t xml:space="preserve">THPT GV</t>
  </si>
  <si>
    <t xml:space="preserve">S_THPT_GV_Competitor</t>
  </si>
  <si>
    <t xml:space="preserve">RMKT_HocPhiVisitors</t>
  </si>
  <si>
    <t xml:space="preserve">YT_THCS_THPT_Testi</t>
  </si>
  <si>
    <t xml:space="preserve">G.YouTube</t>
  </si>
  <si>
    <t xml:space="preserve">PMax_Test_THPT</t>
  </si>
  <si>
    <t xml:space="preserve">G.PMax</t>
  </si>
  <si>
    <t xml:space="preserve">MN_NL_Local</t>
  </si>
  <si>
    <t xml:space="preserve">MN NL</t>
  </si>
  <si>
    <t xml:space="preserve">MN_TS_Local</t>
  </si>
  <si>
    <t xml:space="preserve">MN TS</t>
  </si>
  <si>
    <t xml:space="preserve">MN_MX_Local</t>
  </si>
  <si>
    <t xml:space="preserve">MN MX</t>
  </si>
  <si>
    <t xml:space="preserve">THPT_GV_Webinar</t>
  </si>
  <si>
    <t xml:space="preserve">RMKT_Meta_HotAudience</t>
  </si>
  <si>
    <t xml:space="preserve">RMKT_Meta_VideoViews</t>
  </si>
  <si>
    <t xml:space="preserve">MN All</t>
  </si>
  <si>
    <t xml:space="preserve">Spark_Testi_TH</t>
  </si>
  <si>
    <t xml:space="preserve">TH All</t>
  </si>
  <si>
    <t xml:space="preserve">Spark_Testi_THCS</t>
  </si>
  <si>
    <t xml:space="preserve">TT_THPT_LeadGen</t>
  </si>
  <si>
    <t xml:space="preserve">Zalo_THCS_Webinar</t>
  </si>
  <si>
    <t xml:space="preserve">Zalo_THPT_Webinar</t>
  </si>
  <si>
    <t xml:space="preserve">📊 TỔNG CỘNG</t>
  </si>
  <si>
    <t xml:space="preserve">CHI TIẾT 30 CHIẾN DỊCH QUẢNG CÁO</t>
  </si>
  <si>
    <t xml:space="preserve">Tên Chiến Dịch</t>
  </si>
  <si>
    <t xml:space="preserve">Ngày Bắt Đầu</t>
  </si>
  <si>
    <t xml:space="preserve">Ngày Kết Thúc</t>
  </si>
  <si>
    <t xml:space="preserve">Budget (VND)</t>
  </si>
  <si>
    <t xml:space="preserve">Target Leads</t>
  </si>
  <si>
    <t xml:space="preserve">Actual Leads</t>
  </si>
  <si>
    <t xml:space="preserve">CPA Target (VND)</t>
  </si>
  <si>
    <t xml:space="preserve">CPA Actual (VND)</t>
  </si>
  <si>
    <t xml:space="preserve">T4 Launch - Meta Awareness</t>
  </si>
  <si>
    <t xml:space="preserve">2026-04-01</t>
  </si>
  <si>
    <t xml:space="preserve">2026-04-15</t>
  </si>
  <si>
    <t xml:space="preserve">Completed</t>
  </si>
  <si>
    <t xml:space="preserve">Initial awareness push</t>
  </si>
  <si>
    <t xml:space="preserve">T4 Launch - Google Brand</t>
  </si>
  <si>
    <t xml:space="preserve">2026-04-30</t>
  </si>
  <si>
    <t xml:space="preserve">Brand keywords, high intent</t>
  </si>
  <si>
    <t xml:space="preserve">T4 Zalo OA Launch</t>
  </si>
  <si>
    <t xml:space="preserve">2026-04-05</t>
  </si>
  <si>
    <t xml:space="preserve">OA follower building</t>
  </si>
  <si>
    <t xml:space="preserve">T5 Google Search - Generic</t>
  </si>
  <si>
    <t xml:space="preserve">2026-05-01</t>
  </si>
  <si>
    <t xml:space="preserve">2026-05-31</t>
  </si>
  <si>
    <t xml:space="preserve">Strong performance, scaled</t>
  </si>
  <si>
    <t xml:space="preserve">T5 Meta - Carousel Ads</t>
  </si>
  <si>
    <t xml:space="preserve">Test &amp; learn phase</t>
  </si>
  <si>
    <t xml:space="preserve">T5 TikTok Seeding</t>
  </si>
  <si>
    <t xml:space="preserve">2026-05-15</t>
  </si>
  <si>
    <t xml:space="preserve">Organic seeding, low volume</t>
  </si>
  <si>
    <t xml:space="preserve">T5 Influencer Outreach</t>
  </si>
  <si>
    <t xml:space="preserve">Influencers</t>
  </si>
  <si>
    <t xml:space="preserve">Content creation partnerships</t>
  </si>
  <si>
    <t xml:space="preserve">T5 Webinar #1</t>
  </si>
  <si>
    <t xml:space="preserve">2026-05-20</t>
  </si>
  <si>
    <t xml:space="preserve">Free webinar, lead magnet</t>
  </si>
  <si>
    <t xml:space="preserve">T6 Google Ads - Scaled</t>
  </si>
  <si>
    <t xml:space="preserve">2026-06-01</t>
  </si>
  <si>
    <t xml:space="preserve">2026-06-30</t>
  </si>
  <si>
    <t xml:space="preserve">6% increase in conversions</t>
  </si>
  <si>
    <t xml:space="preserve">T6 Meta - Video Ads</t>
  </si>
  <si>
    <t xml:space="preserve">Video content outperformed</t>
  </si>
  <si>
    <t xml:space="preserve">T6 TikTok - Scale</t>
  </si>
  <si>
    <t xml:space="preserve">Better hook = better performance</t>
  </si>
  <si>
    <t xml:space="preserve">T6 Zalo - Bulk Message</t>
  </si>
  <si>
    <t xml:space="preserve">High engagement rate 18%</t>
  </si>
  <si>
    <t xml:space="preserve">T6 SMS Campaign</t>
  </si>
  <si>
    <t xml:space="preserve">Daily SMS sequences</t>
  </si>
  <si>
    <t xml:space="preserve">T6 Email Drip</t>
  </si>
  <si>
    <t xml:space="preserve">Warm list, high engagement</t>
  </si>
  <si>
    <t xml:space="preserve">T6 Google Display - Remarket</t>
  </si>
  <si>
    <t xml:space="preserve">Google Display</t>
  </si>
  <si>
    <t xml:space="preserve">Pixel-based audience</t>
  </si>
  <si>
    <t xml:space="preserve">T6 LinkedIn Ads</t>
  </si>
  <si>
    <t xml:space="preserve">LinkedIn</t>
  </si>
  <si>
    <t xml:space="preserve">2026-06-15</t>
  </si>
  <si>
    <t xml:space="preserve">B2P targeting, lower volume</t>
  </si>
  <si>
    <t xml:space="preserve">T6 Webinar #2</t>
  </si>
  <si>
    <t xml:space="preserve">2026-06-25</t>
  </si>
  <si>
    <t xml:space="preserve">THCS focus, 200 registered</t>
  </si>
  <si>
    <t xml:space="preserve">T7 Meta - Urgency Campaign</t>
  </si>
  <si>
    <t xml:space="preserve">2026-07-01</t>
  </si>
  <si>
    <t xml:space="preserve">2026-07-15</t>
  </si>
  <si>
    <t xml:space="preserve">"Only X spots left"</t>
  </si>
  <si>
    <t xml:space="preserve">T7 Google - Top Keywords</t>
  </si>
  <si>
    <t xml:space="preserve">2026-07-20</t>
  </si>
  <si>
    <t xml:space="preserve">Bid increase on top converters</t>
  </si>
  <si>
    <t xml:space="preserve">T7 Zalo - Daily Blast</t>
  </si>
  <si>
    <t xml:space="preserve">2026-07-31</t>
  </si>
  <si>
    <t xml:space="preserve">2x daily sends, high frequency</t>
  </si>
  <si>
    <t xml:space="preserve">T7 SMS - Urgency</t>
  </si>
  <si>
    <t xml:space="preserve">Countdown messaging</t>
  </si>
  <si>
    <t xml:space="preserve">T7 Phone Outreach</t>
  </si>
  <si>
    <t xml:space="preserve">100+ daily calls</t>
  </si>
  <si>
    <t xml:space="preserve">T7 Offline Events</t>
  </si>
  <si>
    <t xml:space="preserve">2026-07-10</t>
  </si>
  <si>
    <t xml:space="preserve">3 consultation events</t>
  </si>
  <si>
    <t xml:space="preserve">T7 Webinar #3</t>
  </si>
  <si>
    <t xml:space="preserve">2026-07-28</t>
  </si>
  <si>
    <t xml:space="preserve">Pending</t>
  </si>
  <si>
    <t xml:space="preserve">THPT focus, final push</t>
  </si>
  <si>
    <t xml:space="preserve">T7 Retargeting - Website</t>
  </si>
  <si>
    <t xml:space="preserve">Retargeting</t>
  </si>
  <si>
    <t xml:space="preserve">GHL pixel + dynamic ads</t>
  </si>
  <si>
    <t xml:space="preserve">T8 Meta - Final Push</t>
  </si>
  <si>
    <t xml:space="preserve">2026-08-01</t>
  </si>
  <si>
    <t xml:space="preserve">2026-08-10</t>
  </si>
  <si>
    <t xml:space="preserve">Last minute conversion focus</t>
  </si>
  <si>
    <t xml:space="preserve">T8 Google - Budget Boost</t>
  </si>
  <si>
    <t xml:space="preserve">2026-08-15</t>
  </si>
  <si>
    <t xml:space="preserve">All-in spending for final slots</t>
  </si>
  <si>
    <t xml:space="preserve">T8 Zalo - Last Week Blast</t>
  </si>
  <si>
    <t xml:space="preserve">2026-08-08</t>
  </si>
  <si>
    <t xml:space="preserve">Intense final push</t>
  </si>
  <si>
    <t xml:space="preserve">T8 Email - Payment Setup</t>
  </si>
  <si>
    <t xml:space="preserve">2026-08-31</t>
  </si>
  <si>
    <t xml:space="preserve">Payment plan communications</t>
  </si>
  <si>
    <t xml:space="preserve">T9 Retention - Welcome</t>
  </si>
  <si>
    <t xml:space="preserve">2026-09-01</t>
  </si>
  <si>
    <t xml:space="preserve">2026-09-30</t>
  </si>
  <si>
    <t xml:space="preserve">New student onboarding</t>
  </si>
  <si>
    <t xml:space="preserve">T9 Referral Campaign</t>
  </si>
  <si>
    <t xml:space="preserve">Referral incentive program</t>
  </si>
  <si>
    <t xml:space="preserve">CAMPAIGNS T4-T9/2026 THEO PHỄU — CHI TIẾT</t>
  </si>
  <si>
    <t xml:space="preserve">Tên Campaign</t>
  </si>
  <si>
    <t xml:space="preserve">Funnel</t>
  </si>
  <si>
    <t xml:space="preserve">Leads Thực Tế</t>
  </si>
  <si>
    <t xml:space="preserve">CPA Target</t>
  </si>
  <si>
    <t xml:space="preserve">T4/2026</t>
  </si>
  <si>
    <t xml:space="preserve">Search: Trường quốc tế</t>
  </si>
  <si>
    <t xml:space="preserve">FNL-001</t>
  </si>
  <si>
    <t xml:space="preserve">5,000,000</t>
  </si>
  <si>
    <t xml:space="preserve">forms.truongvietanh.com/awareness-general</t>
  </si>
  <si>
    <t xml:space="preserve">Facebook: Chọn trường</t>
  </si>
  <si>
    <t xml:space="preserve">Facebook + Instagram</t>
  </si>
  <si>
    <t xml:space="preserve">4,000,000</t>
  </si>
  <si>
    <t xml:space="preserve">33,000</t>
  </si>
  <si>
    <t xml:space="preserve">Zalo OA: Welcome</t>
  </si>
  <si>
    <t xml:space="preserve">FNL-002</t>
  </si>
  <si>
    <t xml:space="preserve">2,000,000</t>
  </si>
  <si>
    <t xml:space="preserve">25,000</t>
  </si>
  <si>
    <t xml:space="preserve">TikTok: Student life</t>
  </si>
  <si>
    <t xml:space="preserve">FNL-003</t>
  </si>
  <si>
    <t xml:space="preserve">3,000,000</t>
  </si>
  <si>
    <t xml:space="preserve">forms.truongvietanh.com/student-life</t>
  </si>
  <si>
    <t xml:space="preserve">YouTube: Introduction</t>
  </si>
  <si>
    <t xml:space="preserve">YouTube Ads</t>
  </si>
  <si>
    <t xml:space="preserve">3,500,000</t>
  </si>
  <si>
    <t xml:space="preserve">forms.truongvietanh.com/introduction-video</t>
  </si>
  <si>
    <t xml:space="preserve">Email: Nurture</t>
  </si>
  <si>
    <t xml:space="preserve">16,667</t>
  </si>
  <si>
    <t xml:space="preserve">forms.truongvietanh.com/email-nurture</t>
  </si>
  <si>
    <t xml:space="preserve">Retargeting: Website</t>
  </si>
  <si>
    <t xml:space="preserve">Display Ads</t>
  </si>
  <si>
    <t xml:space="preserve">2,500,000</t>
  </si>
  <si>
    <t xml:space="preserve">27,778</t>
  </si>
  <si>
    <t xml:space="preserve">T5/2026</t>
  </si>
  <si>
    <t xml:space="preserve">Search: Tour booking</t>
  </si>
  <si>
    <t xml:space="preserve">FNL-004</t>
  </si>
  <si>
    <t xml:space="preserve">6,000,000</t>
  </si>
  <si>
    <t xml:space="preserve">forms.truongvietanh.com/tour-booking</t>
  </si>
  <si>
    <t xml:space="preserve">Facebook: Tour video</t>
  </si>
  <si>
    <t xml:space="preserve">35,714</t>
  </si>
  <si>
    <t xml:space="preserve">forms.truongvietanh.com/tour-video</t>
  </si>
  <si>
    <t xml:space="preserve">Zalo: Tour reminder</t>
  </si>
  <si>
    <t xml:space="preserve">forms.truongvietanh.com/tour-reminder</t>
  </si>
  <si>
    <t xml:space="preserve">Webinar: Registration</t>
  </si>
  <si>
    <t xml:space="preserve">FNL-005</t>
  </si>
  <si>
    <t xml:space="preserve">Email + Zalo</t>
  </si>
  <si>
    <t xml:space="preserve">forms.truongvietanh.com/webinar-1</t>
  </si>
  <si>
    <t xml:space="preserve">TikTok: Open day</t>
  </si>
  <si>
    <t xml:space="preserve">21,875</t>
  </si>
  <si>
    <t xml:space="preserve">forms.truongvietanh.com/open-day</t>
  </si>
  <si>
    <t xml:space="preserve">LinkedIn: Parents</t>
  </si>
  <si>
    <t xml:space="preserve">LinkedIn Ads</t>
  </si>
  <si>
    <t xml:space="preserve">forms.truongvietanh.com/linkedin-parents</t>
  </si>
  <si>
    <t xml:space="preserve">Retargeting: Tour</t>
  </si>
  <si>
    <t xml:space="preserve">T6/2026</t>
  </si>
  <si>
    <t xml:space="preserve">Search: Enrollment</t>
  </si>
  <si>
    <t xml:space="preserve">FNL-006</t>
  </si>
  <si>
    <t xml:space="preserve">7,000,000</t>
  </si>
  <si>
    <t xml:space="preserve">forms.truongvietanh.com/enrollment-page</t>
  </si>
  <si>
    <t xml:space="preserve">Facebook: Summer camp</t>
  </si>
  <si>
    <t xml:space="preserve">FNL-007</t>
  </si>
  <si>
    <t xml:space="preserve">38,462</t>
  </si>
  <si>
    <t xml:space="preserve">forms.truongvietanh.com/summer-camp</t>
  </si>
  <si>
    <t xml:space="preserve">Zalo: Enrollment ad</t>
  </si>
  <si>
    <t xml:space="preserve">TikTok: Success story</t>
  </si>
  <si>
    <t xml:space="preserve">22,222</t>
  </si>
  <si>
    <t xml:space="preserve">forms.truongvietanh.com/success-story</t>
  </si>
  <si>
    <t xml:space="preserve">YouTube: Testimonial</t>
  </si>
  <si>
    <t xml:space="preserve">31,818</t>
  </si>
  <si>
    <t xml:space="preserve">forms.truongvietanh.com/testimonial-video</t>
  </si>
  <si>
    <t xml:space="preserve">Email: Enrollment push</t>
  </si>
  <si>
    <t xml:space="preserve">1,500,000</t>
  </si>
  <si>
    <t xml:space="preserve">18,750</t>
  </si>
  <si>
    <t xml:space="preserve">forms.truongvietanh.com/enroll-email</t>
  </si>
  <si>
    <t xml:space="preserve">T7/2026</t>
  </si>
  <si>
    <t xml:space="preserve">Search: Khai giảng</t>
  </si>
  <si>
    <t xml:space="preserve">FNL-008</t>
  </si>
  <si>
    <t xml:space="preserve">46,154</t>
  </si>
  <si>
    <t xml:space="preserve">forms.truongvietanh.com/khai-giang</t>
  </si>
  <si>
    <t xml:space="preserve">Facebook: Back to school</t>
  </si>
  <si>
    <t xml:space="preserve">forms.truongvietanh.com/back-to-school</t>
  </si>
  <si>
    <t xml:space="preserve">Zalo: Last minute</t>
  </si>
  <si>
    <t xml:space="preserve">forms.truongvietanh.com/last-minute-enroll</t>
  </si>
  <si>
    <t xml:space="preserve">TikTok: Countdown</t>
  </si>
  <si>
    <t xml:space="preserve">21,429</t>
  </si>
  <si>
    <t xml:space="preserve">forms.truongvietanh.com/countdown-khai-giang</t>
  </si>
  <si>
    <t xml:space="preserve">Webinar: Parent Q&amp;A</t>
  </si>
  <si>
    <t xml:space="preserve">FNL-009</t>
  </si>
  <si>
    <t xml:space="preserve">forms.truongvietanh.com/webinar-qa</t>
  </si>
  <si>
    <t xml:space="preserve">Retargeting: Conversion</t>
  </si>
  <si>
    <t xml:space="preserve">29,167</t>
  </si>
  <si>
    <t xml:space="preserve">T8/2026</t>
  </si>
  <si>
    <t xml:space="preserve">Search: New class</t>
  </si>
  <si>
    <t xml:space="preserve">FNL-010</t>
  </si>
  <si>
    <t xml:space="preserve">forms.truongvietanh.com/new-class</t>
  </si>
  <si>
    <t xml:space="preserve">Facebook: Student life</t>
  </si>
  <si>
    <t xml:space="preserve">36,364</t>
  </si>
  <si>
    <t xml:space="preserve">forms.truongvietanh.com/student-life-aug</t>
  </si>
  <si>
    <t xml:space="preserve">Zalo: Nurture</t>
  </si>
  <si>
    <t xml:space="preserve">FNL-011</t>
  </si>
  <si>
    <t xml:space="preserve">forms.truongvietanh.com/zalo-nurture-aug</t>
  </si>
  <si>
    <t xml:space="preserve">TikTok: Behind scenes</t>
  </si>
  <si>
    <t xml:space="preserve">23,333</t>
  </si>
  <si>
    <t xml:space="preserve">forms.truongvietanh.com/behind-scenes</t>
  </si>
  <si>
    <t xml:space="preserve">Email: Alumni update</t>
  </si>
  <si>
    <t xml:space="preserve">forms.truongvietanh.com/alumni-update</t>
  </si>
  <si>
    <t xml:space="preserve">T9/2026</t>
  </si>
  <si>
    <t xml:space="preserve">Search: Scholarship</t>
  </si>
  <si>
    <t xml:space="preserve">FNL-012</t>
  </si>
  <si>
    <t xml:space="preserve">5,500,000</t>
  </si>
  <si>
    <t xml:space="preserve">forms.truongvietanh.com/scholarship-info</t>
  </si>
  <si>
    <t xml:space="preserve">Facebook: Scholarship</t>
  </si>
  <si>
    <t xml:space="preserve">4,500,000</t>
  </si>
  <si>
    <t xml:space="preserve">37,500</t>
  </si>
  <si>
    <t xml:space="preserve">forms.truongvietanh.com/scholarship-apply</t>
  </si>
  <si>
    <t xml:space="preserve">Zalo: Final push</t>
  </si>
  <si>
    <t xml:space="preserve">FNL-013</t>
  </si>
  <si>
    <t xml:space="preserve">forms.truongvietanh.com/final-enrollment</t>
  </si>
  <si>
    <t xml:space="preserve">TikTok: Campus tour</t>
  </si>
  <si>
    <t xml:space="preserve">23,077</t>
  </si>
  <si>
    <t xml:space="preserve">forms.truongvietanh.com/campus-tour-360</t>
  </si>
  <si>
    <t xml:space="preserve">YouTube: How to enroll</t>
  </si>
  <si>
    <t xml:space="preserve">31,579</t>
  </si>
  <si>
    <t xml:space="preserve">forms.truongvietanh.com/how-to-enroll</t>
  </si>
  <si>
    <t xml:space="preserve">📱 KẾ HOẠCH META ADS CHI TIẾT – 04/2026 → 09/2026 (Facebook + Instagram)</t>
  </si>
  <si>
    <t xml:space="preserve">Tổng ngân sách Meta: 3,230,000,000đ (38% Paid Media) | CPL mục tiêu: 120,000đ | Kênh chủ lực tạo demand + lead</t>
  </si>
  <si>
    <t xml:space="preserve">💰 NGÂN SÁCH META THEO THÁNG (04-09/2026)</t>
  </si>
  <si>
    <t xml:space="preserve">% NS tháng</t>
  </si>
  <si>
    <t xml:space="preserve">Ngân sách Meta</t>
  </si>
  <si>
    <t xml:space="preserve">KPI Lead</t>
  </si>
  <si>
    <t xml:space="preserve">KPI Tour</t>
  </si>
  <si>
    <t xml:space="preserve">Setup + test creative | Prospecting cold</t>
  </si>
  <si>
    <t xml:space="preserve">Prospecting, Lead Gen</t>
  </si>
  <si>
    <t xml:space="preserve">Scale lead | Open Day | Webinar push</t>
  </si>
  <si>
    <t xml:space="preserve">Lookalike + Webinar</t>
  </si>
  <si>
    <t xml:space="preserve">Tour cao điểm | Remarket mạnh</t>
  </si>
  <si>
    <t xml:space="preserve">Retarget + High Intent</t>
  </si>
  <si>
    <t xml:space="preserve">Chốt sale | Học bổng | Pipeline</t>
  </si>
  <si>
    <t xml:space="preserve">Remarketing + Deadline</t>
  </si>
  <si>
    <t xml:space="preserve">Heavy Remarketing</t>
  </si>
  <si>
    <t xml:space="preserve">Late intake | Chuyển trường | Brand</t>
  </si>
  <si>
    <t xml:space="preserve">Brand + Late Intent</t>
  </si>
  <si>
    <t xml:space="preserve">🗂️ CẤU TRÚC CAMPAIGN META ADS – PHÂN THEO CƠ SỞ + MỤC TIÊU</t>
  </si>
  <si>
    <t xml:space="preserve">KPI chính</t>
  </si>
  <si>
    <t xml:space="preserve">Geo 5km MN GV | Age 25-40 | Parenting | LA 1-3%</t>
  </si>
  <si>
    <t xml:space="preserve">Video testi 15-30s + Carousel + Lead form</t>
  </si>
  <si>
    <t xml:space="preserve">CPL &lt;120k, Tour/tháng</t>
  </si>
  <si>
    <t xml:space="preserve">Geo Cần Giuộc-Tây Ninh | Age 25-40 | Local</t>
  </si>
  <si>
    <t xml:space="preserve">Ảnh campus + text local | Lead form VN</t>
  </si>
  <si>
    <t xml:space="preserve">Pipeline MN NL</t>
  </si>
  <si>
    <t xml:space="preserve">CPL &lt;100k</t>
  </si>
  <si>
    <t xml:space="preserve">Geo KDC Thái Sơn | Age 25-40 | Parenting</t>
  </si>
  <si>
    <t xml:space="preserve">Image + text đơn giản | Hotline CTA</t>
  </si>
  <si>
    <t xml:space="preserve">Pipeline MN TS</t>
  </si>
  <si>
    <t xml:space="preserve">Geo Rạch Giá-An Giang | Age 25-40</t>
  </si>
  <si>
    <t xml:space="preserve">Ảnh campus + lead form | Local dialect</t>
  </si>
  <si>
    <t xml:space="preserve">Pipeline MN MX</t>
  </si>
  <si>
    <t xml:space="preserve">CPL &lt;90k</t>
  </si>
  <si>
    <t xml:space="preserve">Geo Gò Vấp | Age 28-42 | Education parent</t>
  </si>
  <si>
    <t xml:space="preserve">Video "Nền tảng lớp 1" + Carousel + Form</t>
  </si>
  <si>
    <t xml:space="preserve">Pipeline TH GV</t>
  </si>
  <si>
    <t xml:space="preserve">CPL &lt;130k</t>
  </si>
  <si>
    <t xml:space="preserve">Geo Bình Tân | Age 28-42 | Parents</t>
  </si>
  <si>
    <t xml:space="preserve">Image + text | School tour CTA</t>
  </si>
  <si>
    <t xml:space="preserve">Pipeline TH BT</t>
  </si>
  <si>
    <t xml:space="preserve">TH_Tinh_Local</t>
  </si>
  <si>
    <t xml:space="preserve">Geo Tây Ninh + An Giang | Age 28-42</t>
  </si>
  <si>
    <t xml:space="preserve">Local image + text | Hotline + form</t>
  </si>
  <si>
    <t xml:space="preserve">Pipeline TH Tỉnh</t>
  </si>
  <si>
    <t xml:space="preserve">Geo GV+5km | Age 32-48 | HS cấp 1 parent</t>
  </si>
  <si>
    <t xml:space="preserve">Video testi "Chuyển cấp" + Lead form</t>
  </si>
  <si>
    <t xml:space="preserve">CPL &lt;160k</t>
  </si>
  <si>
    <t xml:space="preserve">Geo HCM | Age 32-48 | Education</t>
  </si>
  <si>
    <t xml:space="preserve">Video webinar invitation + Carousel benefits</t>
  </si>
  <si>
    <t xml:space="preserve">Pipeline Webinar</t>
  </si>
  <si>
    <t xml:space="preserve">Reg &lt;50k</t>
  </si>
  <si>
    <t xml:space="preserve">Geo GV+HCM | Age 36-52 | Lớp 9 parent</t>
  </si>
  <si>
    <t xml:space="preserve">Video "Lộ trình THPT" + Lead form</t>
  </si>
  <si>
    <t xml:space="preserve">CPL &lt;180k</t>
  </si>
  <si>
    <t xml:space="preserve">Geo HCM+Tỉnh | Age 36-52</t>
  </si>
  <si>
    <t xml:space="preserve">Video webinar invitation "Chọn trường lớp 10"</t>
  </si>
  <si>
    <t xml:space="preserve">Geo HCM | Age 36-52 | Edu, competition</t>
  </si>
  <si>
    <t xml:space="preserve">Image học bổng + USP + deadline</t>
  </si>
  <si>
    <t xml:space="preserve">Pipeline HB</t>
  </si>
  <si>
    <t xml:space="preserve">Website visitors 7d | Form open no submit</t>
  </si>
  <si>
    <t xml:space="preserve">Dynamic creative + urgency CTA</t>
  </si>
  <si>
    <t xml:space="preserve">Follow-up seq</t>
  </si>
  <si>
    <t xml:space="preserve">Video viewers 25%+ | Page engagers 21d</t>
  </si>
  <si>
    <t xml:space="preserve">Testimonial video + tour invitation</t>
  </si>
  <si>
    <t xml:space="preserve">Nurture seq</t>
  </si>
  <si>
    <t xml:space="preserve">Tour booked</t>
  </si>
  <si>
    <t xml:space="preserve">Retarget_60d_Old</t>
  </si>
  <si>
    <t xml:space="preserve">Website visitors 22-60d</t>
  </si>
  <si>
    <t xml:space="preserve">Brand video + campus life</t>
  </si>
  <si>
    <t xml:space="preserve">Reach, Recall</t>
  </si>
  <si>
    <t xml:space="preserve">Broad HCM | Age 25-50 | Parents</t>
  </si>
  <si>
    <t xml:space="preserve">Brand video &lt;15s | USP overlay</t>
  </si>
  <si>
    <t xml:space="preserve">CPM, Recall</t>
  </si>
  <si>
    <t xml:space="preserve">🎯 KPI MỤC TIÊU META ADS THEO THÁNG</t>
  </si>
  <si>
    <t xml:space="preserve">CPL mục tiêu (đ)</t>
  </si>
  <si>
    <t xml:space="preserve">CTR mục tiêu</t>
  </si>
  <si>
    <t xml:space="preserve">1.2%</t>
  </si>
  <si>
    <t xml:space="preserve">1.8%</t>
  </si>
  <si>
    <t xml:space="preserve">CPM mục tiêu (đ)</t>
  </si>
  <si>
    <t xml:space="preserve">Leads/tháng</t>
  </si>
  <si>
    <t xml:space="preserve">50%</t>
  </si>
  <si>
    <t xml:space="preserve">48%</t>
  </si>
  <si>
    <t xml:space="preserve">Booked Tour/tháng</t>
  </si>
  <si>
    <t xml:space="preserve">Cost/Tour mục tiêu</t>
  </si>
  <si>
    <t xml:space="preserve">🔍 KẾ HOẠCH GOOGLE ADS CHI TIẾT – 04/2026 → 09/2026 (Search + Display + YouTube + PMax)</t>
  </si>
  <si>
    <t xml:space="preserve">Google Search: 1,530,000,000đ | G.Display/YouTube: 595,000,000đ | Tổng: 2,125,000,000đ | CPL mục tiêu: 180,000đ</t>
  </si>
  <si>
    <t xml:space="preserve">💰 NGÂN SÁCH GOOGLE ADS THEO THÁNG</t>
  </si>
  <si>
    <t xml:space="preserve">Display/YT</t>
  </si>
  <si>
    <t xml:space="preserve">PMax Test</t>
  </si>
  <si>
    <t xml:space="preserve">26/03-03/2026</t>
  </si>
  <si>
    <t xml:space="preserve">Setup + pilot Brand + GV</t>
  </si>
  <si>
    <t xml:space="preserve">Brand + Generic all campus</t>
  </si>
  <si>
    <t xml:space="preserve">Scale generic + webinar search</t>
  </si>
  <si>
    <t xml:space="preserve">High intent + PMax test</t>
  </si>
  <si>
    <t xml:space="preserve">Chốt + học bổng search</t>
  </si>
  <si>
    <t xml:space="preserve">Remarketing + brand defense</t>
  </si>
  <si>
    <t xml:space="preserve">Late intent + chuyển trường</t>
  </si>
  <si>
    <t xml:space="preserve">🎯 KPI MỤC TIÊU GOOGLE ADS THEO THÁNG</t>
  </si>
  <si>
    <t xml:space="preserve">CTR Search mục tiêu</t>
  </si>
  <si>
    <t xml:space="preserve">55%</t>
  </si>
  <si>
    <t xml:space="preserve">Landing CVR</t>
  </si>
  <si>
    <t xml:space="preserve">4%</t>
  </si>
  <si>
    <t xml:space="preserve">Leads Google/tháng</t>
  </si>
  <si>
    <t xml:space="preserve">Cost/Booked Tour</t>
  </si>
  <si>
    <t xml:space="preserve">Brand IS mục tiêu</t>
  </si>
  <si>
    <t xml:space="preserve">80%</t>
  </si>
  <si>
    <t xml:space="preserve">85%</t>
  </si>
  <si>
    <t xml:space="preserve">90%</t>
  </si>
  <si>
    <t xml:space="preserve">⚙️ BIRCH + GOHIGHLEVEL – INTEGRATION SETUP + AUTOMATION RULES</t>
  </si>
  <si>
    <t xml:space="preserve">🎛️ BIRCH CONTROL TOWER – GIÁ TRỊ ĐIỀU KHIỂN (Google Sheets single-value cells)</t>
  </si>
  <si>
    <t xml:space="preserve">Cell</t>
  </si>
  <si>
    <t xml:space="preserve">Tên biến</t>
  </si>
  <si>
    <t xml:space="preserve">Ý nghĩa</t>
  </si>
  <si>
    <t xml:space="preserve">Cập nhật khi</t>
  </si>
  <si>
    <t xml:space="preserve">B2</t>
  </si>
  <si>
    <t xml:space="preserve">current_month_budget</t>
  </si>
  <si>
    <t xml:space="preserve">Ngân sách Google Search tháng hiện tại</t>
  </si>
  <si>
    <t xml:space="preserve">B3</t>
  </si>
  <si>
    <t xml:space="preserve">remaining_budget</t>
  </si>
  <si>
    <t xml:space="preserve">Ngân sách còn lại (nhập tay hoặc tính)</t>
  </si>
  <si>
    <t xml:space="preserve">Perf. Marketer</t>
  </si>
  <si>
    <t xml:space="preserve">B4</t>
  </si>
  <si>
    <t xml:space="preserve">account_cpl_target</t>
  </si>
  <si>
    <t xml:space="preserve">CPL mục tiêu toàn account Google</t>
  </si>
  <si>
    <t xml:space="preserve">B5</t>
  </si>
  <si>
    <t xml:space="preserve">cost_per_tour_target</t>
  </si>
  <si>
    <t xml:space="preserve">Cost/Booked Tour mục tiêu</t>
  </si>
  <si>
    <t xml:space="preserve">B6</t>
  </si>
  <si>
    <t xml:space="preserve">cac_target</t>
  </si>
  <si>
    <t xml:space="preserve">CAC mục tiêu trung bình</t>
  </si>
  <si>
    <t xml:space="preserve">B7</t>
  </si>
  <si>
    <t xml:space="preserve">min_qualified_rate</t>
  </si>
  <si>
    <t xml:space="preserve">Qualified rate tối thiểu để không scale</t>
  </si>
  <si>
    <t xml:space="preserve">B8</t>
  </si>
  <si>
    <t xml:space="preserve">min_booked_tour_rate</t>
  </si>
  <si>
    <t xml:space="preserve">Booked tour rate tối thiểu</t>
  </si>
  <si>
    <t xml:space="preserve">B9</t>
  </si>
  <si>
    <t xml:space="preserve">min_showup_rate</t>
  </si>
  <si>
    <t xml:space="preserve">Show-up rate tối thiểu</t>
  </si>
  <si>
    <t xml:space="preserve">B10</t>
  </si>
  <si>
    <t xml:space="preserve">max_daily_scale_pct</t>
  </si>
  <si>
    <t xml:space="preserve">Tối đa tăng ngân sách mỗi ngày (15%)</t>
  </si>
  <si>
    <t xml:space="preserve">B11</t>
  </si>
  <si>
    <t xml:space="preserve">max_daily_reduce_pct</t>
  </si>
  <si>
    <t xml:space="preserve">Tối đa giảm ngân sách mỗi ngày (15%)</t>
  </si>
  <si>
    <t xml:space="preserve">B12</t>
  </si>
  <si>
    <t xml:space="preserve">pmax_test_cap</t>
  </si>
  <si>
    <t xml:space="preserve">Trần ngân sách PMax test</t>
  </si>
  <si>
    <t xml:space="preserve">B13</t>
  </si>
  <si>
    <t xml:space="preserve">brand_is_target</t>
  </si>
  <si>
    <t xml:space="preserve">Brand impression share tối thiểu cần giữ</t>
  </si>
  <si>
    <t xml:space="preserve">🤖 10 AUTOMATION RULES MẪU – BIRCH GOOGLE ADS</t>
  </si>
  <si>
    <t xml:space="preserve">Tên Rule</t>
  </si>
  <si>
    <t xml:space="preserve">Điều kiện (Conditions)</t>
  </si>
  <si>
    <t xml:space="preserve">Hành động (Action)</t>
  </si>
  <si>
    <t xml:space="preserve">Priority</t>
  </si>
  <si>
    <t xml:space="preserve">R01</t>
  </si>
  <si>
    <t xml:space="preserve">ALERT – CPL Quá Cao</t>
  </si>
  <si>
    <t xml:space="preserve">Spend 3 ngày &gt; 500k | CPL &gt; target 120% | Leads &gt; 0</t>
  </si>
  <si>
    <t xml:space="preserve">Gửi cảnh báo Slack + Email ngay | KHÔNG tự thay đổi budget</t>
  </si>
  <si>
    <t xml:space="preserve">Campaign (All Search)</t>
  </si>
  <si>
    <t xml:space="preserve">Very High</t>
  </si>
  <si>
    <t xml:space="preserve">🟢 Active</t>
  </si>
  <si>
    <t xml:space="preserve">R02</t>
  </si>
  <si>
    <t xml:space="preserve">ALERT – Zero Lead Alarm</t>
  </si>
  <si>
    <t xml:space="preserve">Spend 2 ngày &gt; threshold | Leads = 0 | Not paused</t>
  </si>
  <si>
    <t xml:space="preserve">Gửi cảnh báo khẩn | Pause ad group nếu sau 24h không có lead</t>
  </si>
  <si>
    <t xml:space="preserve">R03</t>
  </si>
  <si>
    <t xml:space="preserve">ALERT – Brand IS Drop</t>
  </si>
  <si>
    <t xml:space="preserve">Brand campaign | Impression Share &lt; 80% | Any day</t>
  </si>
  <si>
    <t xml:space="preserve">Gửi cảnh báo | Increase brand campaign budget +20%</t>
  </si>
  <si>
    <t xml:space="preserve">Campaign (Brand)</t>
  </si>
  <si>
    <t xml:space="preserve">R04</t>
  </si>
  <si>
    <t xml:space="preserve">SCALE – Campaign Thắng</t>
  </si>
  <si>
    <t xml:space="preserve">CPL &lt;= target | Qualified Rate (Sheets) &gt;= 50% | Booked Tour (Sheets) &gt;= 2/tuần | Spend ổn định 5 ngày</t>
  </si>
  <si>
    <t xml:space="preserve">Increase daily budget +15% | Max 1 lần/ngày | Không vượt cap từ Sheets</t>
  </si>
  <si>
    <t xml:space="preserve">Campaign (Search)</t>
  </si>
  <si>
    <t xml:space="preserve">High</t>
  </si>
  <si>
    <t xml:space="preserve">🟡 Review 1st</t>
  </si>
  <si>
    <t xml:space="preserve">R05</t>
  </si>
  <si>
    <t xml:space="preserve">REDUCE – Campaign Yếu</t>
  </si>
  <si>
    <t xml:space="preserve">CPL &gt; target +25% | Spend &gt; min threshold | Qualified Rate &lt; 40%</t>
  </si>
  <si>
    <t xml:space="preserve">Reduce daily budget -15% | Gửi notify | Review landing page</t>
  </si>
  <si>
    <t xml:space="preserve">R06</t>
  </si>
  <si>
    <t xml:space="preserve">PAUSE – Keyword Lãng Phí</t>
  </si>
  <si>
    <t xml:space="preserve">Keyword spend &gt; 300k | Conversions = 0 | CPC &gt; avg +50%</t>
  </si>
  <si>
    <t xml:space="preserve">Pause keyword | Add to review list | Gửi notify</t>
  </si>
  <si>
    <t xml:space="preserve">Medium</t>
  </si>
  <si>
    <t xml:space="preserve">R07</t>
  </si>
  <si>
    <t xml:space="preserve">WEBINAR – Scale Pre-Event</t>
  </si>
  <si>
    <t xml:space="preserve">Webinar campaign | Reg Cost trong target | Event date còn 3-7 ngày</t>
  </si>
  <si>
    <t xml:space="preserve">Increase budget +25% | Priority: THCS/THPT | Run 48h before event</t>
  </si>
  <si>
    <t xml:space="preserve">Campaign (Webinar)</t>
  </si>
  <si>
    <t xml:space="preserve">R08</t>
  </si>
  <si>
    <t xml:space="preserve">PMAX – Test Controlled</t>
  </si>
  <si>
    <t xml:space="preserve">PMax campaign | CPL &gt; Search CPL + 30% | Spend &gt; cap từ Sheets</t>
  </si>
  <si>
    <t xml:space="preserve">Reduce PMax budget | Protect Search budget | Alert team</t>
  </si>
  <si>
    <t xml:space="preserve">Campaign (PMax)</t>
  </si>
  <si>
    <t xml:space="preserve">🔴 Manual only</t>
  </si>
  <si>
    <t xml:space="preserve">R09</t>
  </si>
  <si>
    <t xml:space="preserve">REMARKETING – Activation</t>
  </si>
  <si>
    <t xml:space="preserve">Display/RLSA remarketing | Audience size &gt; 1000 | CTR &lt; 0.5%</t>
  </si>
  <si>
    <t xml:space="preserve">Refresh creative assets | Notify content team | Try new message</t>
  </si>
  <si>
    <t xml:space="preserve">Campaign (Display)</t>
  </si>
  <si>
    <t xml:space="preserve">R10</t>
  </si>
  <si>
    <t xml:space="preserve">BRAND – Always-On Guard</t>
  </si>
  <si>
    <t xml:space="preserve">Brand campaign | Budget remaining &lt; 20% | Day &lt; 25th month</t>
  </si>
  <si>
    <t xml:space="preserve">Increase brand budget từ general pool | Ensure IS ≥ 90%</t>
  </si>
  <si>
    <t xml:space="preserve">🔄 WEBHOOK PAYLOAD – GHL → GOOGLE SHEETS</t>
  </si>
  <si>
    <t xml:space="preserve">Field</t>
  </si>
  <si>
    <t xml:space="preserve">GHL Source</t>
  </si>
  <si>
    <t xml:space="preserve">Sheet Column</t>
  </si>
  <si>
    <t xml:space="preserve">Data Type</t>
  </si>
  <si>
    <t xml:space="preserve">Ví dụ</t>
  </si>
  <si>
    <t xml:space="preserve">timestamp</t>
  </si>
  <si>
    <t xml:space="preserve">Workflow timestamp</t>
  </si>
  <si>
    <t xml:space="preserve">DateTime</t>
  </si>
  <si>
    <t xml:space="preserve">Time-series analysis</t>
  </si>
  <si>
    <t xml:space="preserve">2026-04-15T09:30:00</t>
  </si>
  <si>
    <t xml:space="preserve">contact_id</t>
  </si>
  <si>
    <t xml:space="preserve">Contact ID</t>
  </si>
  <si>
    <t xml:space="preserve">String</t>
  </si>
  <si>
    <t xml:space="preserve">Deduplication</t>
  </si>
  <si>
    <t xml:space="preserve">abc123xyz</t>
  </si>
  <si>
    <t xml:space="preserve">contact_name</t>
  </si>
  <si>
    <t xml:space="preserve">Contact Name</t>
  </si>
  <si>
    <t xml:space="preserve">Reference</t>
  </si>
  <si>
    <t xml:space="preserve">Nguyễn Văn A</t>
  </si>
  <si>
    <t xml:space="preserve">phone</t>
  </si>
  <si>
    <t xml:space="preserve">Contact Phone</t>
  </si>
  <si>
    <t xml:space="preserve">Match with ads click ID</t>
  </si>
  <si>
    <t xml:space="preserve">0901234567</t>
  </si>
  <si>
    <t xml:space="preserve">email</t>
  </si>
  <si>
    <t xml:space="preserve">Contact Email</t>
  </si>
  <si>
    <t xml:space="preserve">Match + exclusion</t>
  </si>
  <si>
    <t xml:space="preserve">a@email.com</t>
  </si>
  <si>
    <t xml:space="preserve">campus</t>
  </si>
  <si>
    <t xml:space="preserve">Custom Field: Campus</t>
  </si>
  <si>
    <t xml:space="preserve">Campus-level reporting</t>
  </si>
  <si>
    <t xml:space="preserve">grade</t>
  </si>
  <si>
    <t xml:space="preserve">Custom Field: Grade</t>
  </si>
  <si>
    <t xml:space="preserve">Grade-level reporting</t>
  </si>
  <si>
    <t xml:space="preserve">source_channel</t>
  </si>
  <si>
    <t xml:space="preserve">Custom Field: Source Channel</t>
  </si>
  <si>
    <t xml:space="preserve">Attribution</t>
  </si>
  <si>
    <t xml:space="preserve">google_search</t>
  </si>
  <si>
    <t xml:space="preserve">campaign_id</t>
  </si>
  <si>
    <t xml:space="preserve">Custom Field: Campaign ID</t>
  </si>
  <si>
    <t xml:space="preserve">Campaign-level quality</t>
  </si>
  <si>
    <t xml:space="preserve">campaign_name</t>
  </si>
  <si>
    <t xml:space="preserve">Custom Field: Campaign Name</t>
  </si>
  <si>
    <t xml:space="preserve">Readable name</t>
  </si>
  <si>
    <t xml:space="preserve">Search MN GV Generic</t>
  </si>
  <si>
    <t xml:space="preserve">keyword_theme</t>
  </si>
  <si>
    <t xml:space="preserve">Custom Field: Keyword Theme</t>
  </si>
  <si>
    <t xml:space="preserve">Keyword quality analysis</t>
  </si>
  <si>
    <t xml:space="preserve">generic</t>
  </si>
  <si>
    <t xml:space="preserve">lead_status</t>
  </si>
  <si>
    <t xml:space="preserve">Pipeline Stage</t>
  </si>
  <si>
    <t xml:space="preserve">Funnel position</t>
  </si>
  <si>
    <t xml:space="preserve">qualified</t>
  </si>
  <si>
    <t xml:space="preserve">qualified_flag</t>
  </si>
  <si>
    <t xml:space="preserve">Custom Field: Qualified</t>
  </si>
  <si>
    <t xml:space="preserve">M</t>
  </si>
  <si>
    <t xml:space="preserve">Boolean</t>
  </si>
  <si>
    <t xml:space="preserve">Birch Qualified Rate calc</t>
  </si>
  <si>
    <t xml:space="preserve">TRUE</t>
  </si>
  <si>
    <t xml:space="preserve">tour_booked</t>
  </si>
  <si>
    <t xml:space="preserve">Custom Field: Tour Date</t>
  </si>
  <si>
    <t xml:space="preserve">N</t>
  </si>
  <si>
    <t xml:space="preserve">Date</t>
  </si>
  <si>
    <t xml:space="preserve">Tour tracking</t>
  </si>
  <si>
    <t xml:space="preserve">2026-04-20</t>
  </si>
  <si>
    <t xml:space="preserve">tour_attended</t>
  </si>
  <si>
    <t xml:space="preserve">Custom Field: Tour Attended</t>
  </si>
  <si>
    <t xml:space="preserve">O</t>
  </si>
  <si>
    <t xml:space="preserve">Show-up rate</t>
  </si>
  <si>
    <t xml:space="preserve">enrolled</t>
  </si>
  <si>
    <t xml:space="preserve">Custom Field: Enrollment</t>
  </si>
  <si>
    <t xml:space="preserve">P</t>
  </si>
  <si>
    <t xml:space="preserve">Final conversion</t>
  </si>
  <si>
    <t xml:space="preserve">FALSE</t>
  </si>
  <si>
    <t xml:space="preserve">utm_source</t>
  </si>
  <si>
    <t xml:space="preserve">Hidden field / UTM</t>
  </si>
  <si>
    <t xml:space="preserve">Q</t>
  </si>
  <si>
    <t xml:space="preserve">GA4 attribution match</t>
  </si>
  <si>
    <t xml:space="preserve">google</t>
  </si>
  <si>
    <t xml:space="preserve">utm_medium</t>
  </si>
  <si>
    <t xml:space="preserve">R</t>
  </si>
  <si>
    <t xml:space="preserve">Channel attribution</t>
  </si>
  <si>
    <t xml:space="preserve">cpc</t>
  </si>
  <si>
    <t xml:space="preserve">utm_campaign</t>
  </si>
  <si>
    <t xml:space="preserve">S</t>
  </si>
  <si>
    <t xml:space="preserve">Campaign attribution</t>
  </si>
  <si>
    <t xml:space="preserve">📊 BIRCH AUTOMATION RULES – CHI TIẾT</t>
  </si>
  <si>
    <t xml:space="preserve">Rule Name</t>
  </si>
  <si>
    <t xml:space="preserve">IF Condition</t>
  </si>
  <si>
    <t xml:space="preserve">AND Condition</t>
  </si>
  <si>
    <t xml:space="preserve">Time Window</t>
  </si>
  <si>
    <t xml:space="preserve">THEN Action</t>
  </si>
  <si>
    <t xml:space="preserve">Alert Channel</t>
  </si>
  <si>
    <t xml:space="preserve">Frequency</t>
  </si>
  <si>
    <t xml:space="preserve">CPL High Alert</t>
  </si>
  <si>
    <t xml:space="preserve">CPL &gt; target × 1.2</t>
  </si>
  <si>
    <t xml:space="preserve">Spend &gt; 500,000/day</t>
  </si>
  <si>
    <t xml:space="preserve">3 days rolling</t>
  </si>
  <si>
    <t xml:space="preserve">Send alert + Tag campaign for review</t>
  </si>
  <si>
    <t xml:space="preserve">Slack + Email</t>
  </si>
  <si>
    <t xml:space="preserve">Daily check</t>
  </si>
  <si>
    <t xml:space="preserve">🔴 High</t>
  </si>
  <si>
    <t xml:space="preserve">Zero Lead Alert</t>
  </si>
  <si>
    <t xml:space="preserve">Leads = 0</t>
  </si>
  <si>
    <t xml:space="preserve">Spend &gt; 500,000</t>
  </si>
  <si>
    <t xml:space="preserve">Send alert + Auto-pause if 5 days</t>
  </si>
  <si>
    <t xml:space="preserve">Scale Winner</t>
  </si>
  <si>
    <t xml:space="preserve">CPL &lt; target × 0.8</t>
  </si>
  <si>
    <t xml:space="preserve">Qualified Rate &gt; 50%</t>
  </si>
  <si>
    <t xml:space="preserve">7 days rolling</t>
  </si>
  <si>
    <t xml:space="preserve">Increase budget +15%</t>
  </si>
  <si>
    <t xml:space="preserve">Email notification</t>
  </si>
  <si>
    <t xml:space="preserve">Weekly</t>
  </si>
  <si>
    <t xml:space="preserve">🟡 Medium</t>
  </si>
  <si>
    <t xml:space="preserve">Pause Loser</t>
  </si>
  <si>
    <t xml:space="preserve">CPL &gt; target × 1.3</t>
  </si>
  <si>
    <t xml:space="preserve">Tour Rate &lt; 10%</t>
  </si>
  <si>
    <t xml:space="preserve">5 days rolling</t>
  </si>
  <si>
    <t xml:space="preserve">Decrease budget -15% → Pause if persists</t>
  </si>
  <si>
    <t xml:space="preserve">KW Waste Pause</t>
  </si>
  <si>
    <t xml:space="preserve">Keyword Spend &gt; 500K</t>
  </si>
  <si>
    <t xml:space="preserve">Conversions = 0</t>
  </si>
  <si>
    <t xml:space="preserve">14 days</t>
  </si>
  <si>
    <t xml:space="preserve">Pause keyword</t>
  </si>
  <si>
    <t xml:space="preserve">Email log</t>
  </si>
  <si>
    <t xml:space="preserve">Brand Always-On</t>
  </si>
  <si>
    <t xml:space="preserve">Brand campaign paused/limited</t>
  </si>
  <si>
    <t xml:space="preserve">Alert + Auto-enable</t>
  </si>
  <si>
    <t xml:space="preserve">Slack immediate</t>
  </si>
  <si>
    <t xml:space="preserve">🔴 Critical</t>
  </si>
  <si>
    <t xml:space="preserve">Budget Pacing</t>
  </si>
  <si>
    <t xml:space="preserve">Monthly spend &gt; 80% by mid-month</t>
  </si>
  <si>
    <t xml:space="preserve">Alert + Suggest reduction</t>
  </si>
  <si>
    <t xml:space="preserve">Email + Slack</t>
  </si>
  <si>
    <t xml:space="preserve">Bi-weekly</t>
  </si>
  <si>
    <t xml:space="preserve">Campus Gap</t>
  </si>
  <si>
    <t xml:space="preserve">Campus X enrollment &lt; 80% monthly target</t>
  </si>
  <si>
    <t xml:space="preserve">Mid-month</t>
  </si>
  <si>
    <t xml:space="preserve">Alert + Suggest budget shift</t>
  </si>
  <si>
    <t xml:space="preserve">Email to management</t>
  </si>
  <si>
    <t xml:space="preserve">Quality Score Drop</t>
  </si>
  <si>
    <t xml:space="preserve">QS drops below 5 on top KWs</t>
  </si>
  <si>
    <t xml:space="preserve">Impression share drops</t>
  </si>
  <si>
    <t xml:space="preserve">7 days</t>
  </si>
  <si>
    <t xml:space="preserve">Alert + Review ad/LP relevance</t>
  </si>
  <si>
    <t xml:space="preserve">Weekend Adjust</t>
  </si>
  <si>
    <t xml:space="preserve">Weekend (Sat-Sun)</t>
  </si>
  <si>
    <t xml:space="preserve">Reduce budget to 70% (lower intent)</t>
  </si>
  <si>
    <t xml:space="preserve">Auto-rule</t>
  </si>
  <si>
    <t xml:space="preserve">Weekly cycle</t>
  </si>
  <si>
    <t xml:space="preserve">🟢 Low</t>
  </si>
  <si>
    <t xml:space="preserve">═══ DUAL CRM: PANCAKE CRM + GHL + MAKE.COM DATA FLOW ═══</t>
  </si>
  <si>
    <t xml:space="preserve">Nguồn Lead</t>
  </si>
  <si>
    <t xml:space="preserve">Bước 1</t>
  </si>
  <si>
    <t xml:space="preserve">Bước 2</t>
  </si>
  <si>
    <t xml:space="preserve">Bước 3</t>
  </si>
  <si>
    <t xml:space="preserve">Bước 4</t>
  </si>
  <si>
    <t xml:space="preserve">Bước 5</t>
  </si>
  <si>
    <t xml:space="preserve">CRM chính</t>
  </si>
  <si>
    <t xml:space="preserve">Facebook Comment/Inbox</t>
  </si>
  <si>
    <t xml:space="preserve">PH comment/inbox trên FB Page</t>
  </si>
  <si>
    <t xml:space="preserve">Pancake CRM bắt lead tự động</t>
  </si>
  <si>
    <t xml:space="preserve">Pancake auto-tag + assign tư vấn viên</t>
  </si>
  <si>
    <t xml:space="preserve">Make.com webhook → Tạo contact GHL</t>
  </si>
  <si>
    <t xml:space="preserve">GHL trigger Welcome workflow</t>
  </si>
  <si>
    <t xml:space="preserve">Pancake (chat) + GHL (automation)</t>
  </si>
  <si>
    <t xml:space="preserve">Zalo OA Message</t>
  </si>
  <si>
    <t xml:space="preserve">PH nhắn tin Zalo OA</t>
  </si>
  <si>
    <t xml:space="preserve">Pancake CRM bắt lead</t>
  </si>
  <si>
    <t xml:space="preserve">Pancake chatbot trả lời + tư vấn viên</t>
  </si>
  <si>
    <t xml:space="preserve">Make.com → Tạo/update GHL contact</t>
  </si>
  <si>
    <t xml:space="preserve">GHL trigger nurture sequence</t>
  </si>
  <si>
    <t xml:space="preserve">GHL Landing Page Form</t>
  </si>
  <si>
    <t xml:space="preserve">PH submit form trên landing page</t>
  </si>
  <si>
    <t xml:space="preserve">GHL tạo contact + add to pipeline</t>
  </si>
  <si>
    <t xml:space="preserve">Make.com → Sync contact to Pancake</t>
  </si>
  <si>
    <t xml:space="preserve">Pancake tag + assign</t>
  </si>
  <si>
    <t xml:space="preserve">GHL (primary) + Pancake (sync)</t>
  </si>
  <si>
    <t xml:space="preserve">Meta Lead Ads</t>
  </si>
  <si>
    <t xml:space="preserve">PH submit lead form trên FB/IG</t>
  </si>
  <si>
    <t xml:space="preserve">Birch capture → GHL via webhook</t>
  </si>
  <si>
    <t xml:space="preserve">GHL tạo contact + UTM tag</t>
  </si>
  <si>
    <t xml:space="preserve">GHL trigger workflow</t>
  </si>
  <si>
    <t xml:space="preserve">Make.com → Sync to Pancake</t>
  </si>
  <si>
    <t xml:space="preserve">Google Ads Click → Form</t>
  </si>
  <si>
    <t xml:space="preserve">PH click ad → Landing page → Form</t>
  </si>
  <si>
    <t xml:space="preserve">GHL capture + GCLID tracking</t>
  </si>
  <si>
    <t xml:space="preserve">GHL pipeline + workflow</t>
  </si>
  <si>
    <t xml:space="preserve">Make.com → Pancake sync</t>
  </si>
  <si>
    <t xml:space="preserve">Birch track conversion</t>
  </si>
  <si>
    <t xml:space="preserve">TikTok Lead Ads</t>
  </si>
  <si>
    <t xml:space="preserve">PH submit form TikTok</t>
  </si>
  <si>
    <t xml:space="preserve">Birch → GHL webhook</t>
  </si>
  <si>
    <t xml:space="preserve">GHL contact + TikTok tag</t>
  </si>
  <si>
    <t xml:space="preserve">GHL workflow triggered</t>
  </si>
  <si>
    <t xml:space="preserve">Make.com → Pancake</t>
  </si>
  <si>
    <t xml:space="preserve">Referral (PH giới thiệu)</t>
  </si>
  <si>
    <t xml:space="preserve">PH submit referral form</t>
  </si>
  <si>
    <t xml:space="preserve">GHL capture + referral tag</t>
  </si>
  <si>
    <t xml:space="preserve">GHL tag referrer + referee</t>
  </si>
  <si>
    <t xml:space="preserve">GHL referral workflow</t>
  </si>
  <si>
    <t xml:space="preserve">Make.com → Pancake both contacts</t>
  </si>
  <si>
    <t xml:space="preserve">GHL (primary)</t>
  </si>
  <si>
    <t xml:space="preserve">Walk-in</t>
  </si>
  <si>
    <t xml:space="preserve">PH đến trực tiếp</t>
  </si>
  <si>
    <t xml:space="preserve">Tư vấn viên nhập Pancake</t>
  </si>
  <si>
    <t xml:space="preserve">Pancake tag "Walk-in" + cơ sở</t>
  </si>
  <si>
    <t xml:space="preserve">Make.com → GHL contact</t>
  </si>
  <si>
    <t xml:space="preserve">GHL add to pipeline</t>
  </si>
  <si>
    <t xml:space="preserve">Pancake (entry) + GHL (pipeline)</t>
  </si>
  <si>
    <t xml:space="preserve">Webinar Registration</t>
  </si>
  <si>
    <t xml:space="preserve">PH đăng ký webinar qua form</t>
  </si>
  <si>
    <t xml:space="preserve">GHL capture + webinar tag</t>
  </si>
  <si>
    <t xml:space="preserve">GHL Webinar workflow</t>
  </si>
  <si>
    <t xml:space="preserve">Make.com → Pancake note</t>
  </si>
  <si>
    <t xml:space="preserve">Post-webinar nurture</t>
  </si>
  <si>
    <t xml:space="preserve">Phone Call</t>
  </si>
  <si>
    <t xml:space="preserve">PH gọi điện</t>
  </si>
  <si>
    <t xml:space="preserve">Tư vấn viên nhập Pancake/GHL</t>
  </si>
  <si>
    <t xml:space="preserve">Tag "Phone" + cơ sở + cấp học</t>
  </si>
  <si>
    <t xml:space="preserve">Make.com sync 2 chiều</t>
  </si>
  <si>
    <t xml:space="preserve">Cả hai CRM</t>
  </si>
  <si>
    <t xml:space="preserve">Chi tiết đầy đủ 100 bước setup → Xem Sheet "P. Setup &amp; Đồng Bộ"</t>
  </si>
  <si>
    <t xml:space="preserve">KẾ HOẠCH WEBINAR CHI TIẾT – TUYỂN SINH VIỆT ANH 2026</t>
  </si>
  <si>
    <t xml:space="preserve">Ngân sách Webinar Ads: 425,000,000đ (5%) | Mục tiêu: 6 webinar chính + 2 bổ sung | Target: 800+ registrations tổng | Kênh quảng bá: Meta + Google + Zalo + Email</t>
  </si>
  <si>
    <t xml:space="preserve">A. LỊCH WEBINAR 7 THÁNG (04-09/2026)</t>
  </si>
  <si>
    <t xml:space="preserve">Tên Webinar</t>
  </si>
  <si>
    <t xml:space="preserve">Ngày dự kiến</t>
  </si>
  <si>
    <t xml:space="preserve">Nền tảng</t>
  </si>
  <si>
    <t xml:space="preserve">Chủ đề chính</t>
  </si>
  <si>
    <t xml:space="preserve">Diễn giả</t>
  </si>
  <si>
    <t xml:space="preserve">Mục tiêu Reg</t>
  </si>
  <si>
    <t xml:space="preserve">Mục tiêu Attend</t>
  </si>
  <si>
    <t xml:space="preserve">Attend Rate</t>
  </si>
  <si>
    <t xml:space="preserve">CTA sau webinar</t>
  </si>
  <si>
    <t xml:space="preserve">Ngân sách Ads</t>
  </si>
  <si>
    <t xml:space="preserve">Kênh quảng bá</t>
  </si>
  <si>
    <t xml:space="preserve">GHL Workflow</t>
  </si>
  <si>
    <t xml:space="preserve">Lộ trình con tôi sau lớp 5</t>
  </si>
  <si>
    <t xml:space="preserve">15/04/2026</t>
  </si>
  <si>
    <t xml:space="preserve">19:30-21:00</t>
  </si>
  <si>
    <t xml:space="preserve">Zoom + Facebook Live</t>
  </si>
  <si>
    <t xml:space="preserve">Chuyển cấp 5→6: Tâm lý, chương trình, tiêu chí chọn trường</t>
  </si>
  <si>
    <t xml:space="preserve">BGH THCS + PH cựu HS</t>
  </si>
  <si>
    <t xml:space="preserve">60%</t>
  </si>
  <si>
    <t xml:space="preserve">Book tour THCS GV</t>
  </si>
  <si>
    <t xml:space="preserve">Meta+Google+Zalo+Email</t>
  </si>
  <si>
    <t xml:space="preserve">Tuyển sinh lớp 10 – Học bổng &amp; Lộ trình ĐH</t>
  </si>
  <si>
    <t xml:space="preserve">22/04/2026</t>
  </si>
  <si>
    <t xml:space="preserve">Lớp 10 tư thục vs công lập, học bổng, đầu ra ĐH</t>
  </si>
  <si>
    <t xml:space="preserve">BGH THPT + Alumni ĐH top</t>
  </si>
  <si>
    <t xml:space="preserve">Thi học bổng lớp 10</t>
  </si>
  <si>
    <t xml:space="preserve">Mầm non song ngữ – Nền tảng vàng 0-6 tuổi</t>
  </si>
  <si>
    <t xml:space="preserve">06/05/2026</t>
  </si>
  <si>
    <t xml:space="preserve">19:30-20:30</t>
  </si>
  <si>
    <t xml:space="preserve">Phát triển ngôn ngữ sớm, tiêu chí chọn MN an toàn</t>
  </si>
  <si>
    <t xml:space="preserve">Chuyên gia GD mầm non + GV MN VA</t>
  </si>
  <si>
    <t xml:space="preserve">65%</t>
  </si>
  <si>
    <t xml:space="preserve">Book tour MN</t>
  </si>
  <si>
    <t xml:space="preserve">Meta+Zalo+TikTok</t>
  </si>
  <si>
    <t xml:space="preserve">Chọn trường tiểu học – Điều PH cần biết</t>
  </si>
  <si>
    <t xml:space="preserve">14/05/2026</t>
  </si>
  <si>
    <t xml:space="preserve">Tiêu chí chọn trường TH, song ngữ, sĩ số, ngoại khóa</t>
  </si>
  <si>
    <t xml:space="preserve">BGH TH + PH hiện tại</t>
  </si>
  <si>
    <t xml:space="preserve">Book tour TH GV/BT</t>
  </si>
  <si>
    <t xml:space="preserve">Meta+Google+Zalo</t>
  </si>
  <si>
    <t xml:space="preserve">THCS – Giai đoạn bản lề quyết định tương lai</t>
  </si>
  <si>
    <t xml:space="preserve">11/06/2026</t>
  </si>
  <si>
    <t xml:space="preserve">Dậy thì &amp; học tập, lộ trình THCS→THPT liên cấp</t>
  </si>
  <si>
    <t xml:space="preserve">GV chủ nhiệm THCS + Tâm lý GD</t>
  </si>
  <si>
    <t xml:space="preserve">Book tour THCS</t>
  </si>
  <si>
    <t xml:space="preserve">Học bổng THPT 2026 – Cơ hội cuối</t>
  </si>
  <si>
    <t xml:space="preserve">16/07/2026</t>
  </si>
  <si>
    <t xml:space="preserve">Deadline học bổng, pathway du học, ĐH top</t>
  </si>
  <si>
    <t xml:space="preserve">BGH + Counselor du học</t>
  </si>
  <si>
    <t xml:space="preserve">Đăng ký thi HB ngay</t>
  </si>
  <si>
    <t xml:space="preserve">Webinar + Scholarship</t>
  </si>
  <si>
    <t xml:space="preserve">Open Day Online – Tour ảo 8 cơ sở</t>
  </si>
  <si>
    <t xml:space="preserve">21/06/2026</t>
  </si>
  <si>
    <t xml:space="preserve">09:00-11:00</t>
  </si>
  <si>
    <t xml:space="preserve">Zoom + YouTube Live</t>
  </si>
  <si>
    <t xml:space="preserve">Virtual tour tất cả campus, Q&amp;A trực tiếp với BGH</t>
  </si>
  <si>
    <t xml:space="preserve">BGH + Campus Manager</t>
  </si>
  <si>
    <t xml:space="preserve">Book tour thực tế</t>
  </si>
  <si>
    <t xml:space="preserve">Meta+YouTube+Zalo</t>
  </si>
  <si>
    <t xml:space="preserve">Late intake – Còn nhận hồ sơ T9</t>
  </si>
  <si>
    <t xml:space="preserve">03/09/2026</t>
  </si>
  <si>
    <t xml:space="preserve">Zoom</t>
  </si>
  <si>
    <t xml:space="preserve">Chuyển trường, nhập học muộn, quy trình nhanh</t>
  </si>
  <si>
    <t xml:space="preserve">BGH + Sales Lead</t>
  </si>
  <si>
    <t xml:space="preserve">Liên hệ tư vấn ngay</t>
  </si>
  <si>
    <t xml:space="preserve">Late intake seq</t>
  </si>
  <si>
    <t xml:space="preserve">B. QUY TRÌNH TỔ CHỨC WEBINAR (CHECKLIST)</t>
  </si>
  <si>
    <t xml:space="preserve">Trước 3 tuần</t>
  </si>
  <si>
    <t xml:space="preserve">T-21 ngày</t>
  </si>
  <si>
    <t xml:space="preserve">Chốt chủ đề + diễn giả</t>
  </si>
  <si>
    <t xml:space="preserve">Xác nhận topic, outline, diễn giả chính + backup</t>
  </si>
  <si>
    <t xml:space="preserve">Email/Meeting</t>
  </si>
  <si>
    <t xml:space="preserve">Tạo Landing Page webinar</t>
  </si>
  <si>
    <t xml:space="preserve">LP riêng trên GHL hoặc website, form: Tên+SĐT+Email+Cấp</t>
  </si>
  <si>
    <t xml:space="preserve">GHL/WordPress</t>
  </si>
  <si>
    <t xml:space="preserve">Trước 2 tuần</t>
  </si>
  <si>
    <t xml:space="preserve">T-14 ngày</t>
  </si>
  <si>
    <t xml:space="preserve">Setup Zoom + test</t>
  </si>
  <si>
    <t xml:space="preserve">Tạo meeting, test link, backup plan nếu Zoom lỗi</t>
  </si>
  <si>
    <t xml:space="preserve">Tech/Admin</t>
  </si>
  <si>
    <t xml:space="preserve">Zoom Pro</t>
  </si>
  <si>
    <t xml:space="preserve">Tạo creative ads webinar</t>
  </si>
  <si>
    <t xml:space="preserve">3-5 creative (image + video teaser 15s) cho Meta + Google</t>
  </si>
  <si>
    <t xml:space="preserve">Canva/Premiere</t>
  </si>
  <si>
    <t xml:space="preserve">Launch ads webinar</t>
  </si>
  <si>
    <t xml:space="preserve">Meta Lead Gen + Google Search "hội thảo" + Zalo broadcast</t>
  </si>
  <si>
    <t xml:space="preserve">Setup email sequence GHL</t>
  </si>
  <si>
    <t xml:space="preserve">Confirm email → Reminder 48h → Reminder 2h → Post-webinar</t>
  </si>
  <si>
    <t xml:space="preserve">Trước 1 tuần</t>
  </si>
  <si>
    <t xml:space="preserve">T-7 ngày</t>
  </si>
  <si>
    <t xml:space="preserve">Kiểm tra registrations</t>
  </si>
  <si>
    <t xml:space="preserve">Check số reg vs target → Tăng budget ads nếu cần</t>
  </si>
  <si>
    <t xml:space="preserve">GHL + Ads Manager</t>
  </si>
  <si>
    <t xml:space="preserve">Chuẩn bị slide + script</t>
  </si>
  <si>
    <t xml:space="preserve">Slide PPT, script cho host, Q&amp;A prep, CTA slide cuối</t>
  </si>
  <si>
    <t xml:space="preserve">Content + BGH</t>
  </si>
  <si>
    <t xml:space="preserve">PowerPoint</t>
  </si>
  <si>
    <t xml:space="preserve">SMS reminder blast</t>
  </si>
  <si>
    <t xml:space="preserve">Gửi SMS nhắc tất cả registrants</t>
  </si>
  <si>
    <t xml:space="preserve">GHL SMS</t>
  </si>
  <si>
    <t xml:space="preserve">Ngày webinar</t>
  </si>
  <si>
    <t xml:space="preserve">T-2h</t>
  </si>
  <si>
    <t xml:space="preserve">Broadcast Zalo OA nhắc nhở + link Zoom</t>
  </si>
  <si>
    <t xml:space="preserve">GHL/Zalo</t>
  </si>
  <si>
    <t xml:space="preserve">T-30 phút</t>
  </si>
  <si>
    <t xml:space="preserve">Tech check cuối</t>
  </si>
  <si>
    <t xml:space="preserve">Test camera, mic, slide share, backup internet</t>
  </si>
  <si>
    <t xml:space="preserve">Trong WB</t>
  </si>
  <si>
    <t xml:space="preserve">Moderate chat + Q&amp;A</t>
  </si>
  <si>
    <t xml:space="preserve">Trả lời chat real-time, ghi nhận câu hỏi, CTA liên tục</t>
  </si>
  <si>
    <t xml:space="preserve">Marketing team</t>
  </si>
  <si>
    <t xml:space="preserve">Zoom Chat</t>
  </si>
  <si>
    <t xml:space="preserve">Cuối WB</t>
  </si>
  <si>
    <t xml:space="preserve">CTA slide + offer</t>
  </si>
  <si>
    <t xml:space="preserve">Hiển thị ưu đãi đặc biệt cho attendees + QR book tour</t>
  </si>
  <si>
    <t xml:space="preserve">Host/BGH</t>
  </si>
  <si>
    <t xml:space="preserve">Zoom + GHL</t>
  </si>
  <si>
    <t xml:space="preserve">Sau 2h</t>
  </si>
  <si>
    <t xml:space="preserve">T+2h</t>
  </si>
  <si>
    <t xml:space="preserve">Email thank you + replay</t>
  </si>
  <si>
    <t xml:space="preserve">Gửi email cảm ơn + link recording + CTA book tour</t>
  </si>
  <si>
    <t xml:space="preserve">GHL Email</t>
  </si>
  <si>
    <t xml:space="preserve">Sau 24h</t>
  </si>
  <si>
    <t xml:space="preserve">T+24h</t>
  </si>
  <si>
    <t xml:space="preserve">Gọi điện follow-up</t>
  </si>
  <si>
    <t xml:space="preserve">Sales gọi tất cả attendees chưa book tour → personal CTA</t>
  </si>
  <si>
    <t xml:space="preserve">GHL + Phone</t>
  </si>
  <si>
    <t xml:space="preserve">Sau 48h</t>
  </si>
  <si>
    <t xml:space="preserve">T+48h</t>
  </si>
  <si>
    <t xml:space="preserve">Gửi recording cho no-shows</t>
  </si>
  <si>
    <t xml:space="preserve">Email/Zalo recording → CTA "Xem ngay + Book tour"</t>
  </si>
  <si>
    <t xml:space="preserve">Sau 1 tuần</t>
  </si>
  <si>
    <t xml:space="preserve">T+7 ngày</t>
  </si>
  <si>
    <t xml:space="preserve">Report webinar</t>
  </si>
  <si>
    <t xml:space="preserve">Reg, attend, attend rate, tours booked, CPR, CPA</t>
  </si>
  <si>
    <t xml:space="preserve">Excel/GHL</t>
  </si>
  <si>
    <t xml:space="preserve">Nurture sequence tiếp</t>
  </si>
  <si>
    <t xml:space="preserve">Attendees chưa tour → SMS Day 7 → Zalo Day 10 → Email Day 14</t>
  </si>
  <si>
    <t xml:space="preserve">C. KPI WEBINAR THEO THÁNG</t>
  </si>
  <si>
    <t xml:space="preserve">Số webinar</t>
  </si>
  <si>
    <t xml:space="preserve">Registrations</t>
  </si>
  <si>
    <t xml:space="preserve">Attend rate</t>
  </si>
  <si>
    <t xml:space="preserve">62%</t>
  </si>
  <si>
    <t xml:space="preserve">Attendees</t>
  </si>
  <si>
    <t xml:space="preserve">Tours booked từ WB</t>
  </si>
  <si>
    <t xml:space="preserve">Cost/Registration</t>
  </si>
  <si>
    <t xml:space="preserve">CHI TIẾT 12 BUỔI WEBINAR (2/tháng T4-T9)</t>
  </si>
  <si>
    <t xml:space="preserve">Tiêu Đề (Tiếng Việt)</t>
  </si>
  <si>
    <t xml:space="preserve">Diễn Giả</t>
  </si>
  <si>
    <t xml:space="preserve">Nền Tảng</t>
  </si>
  <si>
    <t xml:space="preserve">Kênh Quảng Cáo</t>
  </si>
  <si>
    <t xml:space="preserve">Target Đăng Ký</t>
  </si>
  <si>
    <t xml:space="preserve">Agenda</t>
  </si>
  <si>
    <t xml:space="preserve">Hành Động Theo Dõi</t>
  </si>
  <si>
    <t xml:space="preserve">Ghi Lại</t>
  </si>
  <si>
    <t xml:space="preserve">19:30</t>
  </si>
  <si>
    <t xml:space="preserve">Chọn Trường Tiểu Học Tốt - Hướng Dẫn Cho Phụ Huynh</t>
  </si>
  <si>
    <t xml:space="preserve">Thầy Nguyễn (Hiệu Trưởng)</t>
  </si>
  <si>
    <t xml:space="preserve">P: 30-55, con 6-8</t>
  </si>
  <si>
    <t xml:space="preserve">Meta, Email, Zalo</t>
  </si>
  <si>
    <t xml:space="preserve">1. Tiêu chí chọn trường (5m) | 2. Phát triển con (5m) | 3. CVA Việt Anh (5m) | 4. Q&amp;A (10m)</t>
  </si>
  <si>
    <t xml:space="preserve">Email theo dõi sau 2h, offer học thử miễn phí</t>
  </si>
  <si>
    <t xml:space="preserve">YouTube recording</t>
  </si>
  <si>
    <t xml:space="preserve">https://khoaviet.edu.vn/webinar1</t>
  </si>
  <si>
    <t xml:space="preserve">2026-06-10</t>
  </si>
  <si>
    <t xml:space="preserve">Mầm Non Chất Lượng = Con Thông Minh</t>
  </si>
  <si>
    <t xml:space="preserve">Cô Hoa (GV MN)</t>
  </si>
  <si>
    <t xml:space="preserve">P: 25-45, con 3-5</t>
  </si>
  <si>
    <t xml:space="preserve">Meta, Google, Zalo</t>
  </si>
  <si>
    <t xml:space="preserve">1. Phát triển tuổi MN (5m) | 2. Song ngữ từ sớm (5m) | 3. Cơ sở Việt Anh (5m) | 4. Q&amp;A (10m)</t>
  </si>
  <si>
    <t xml:space="preserve">SMS: "Ghi danh ngay, giảm 10%". Email: gói học thử</t>
  </si>
  <si>
    <t xml:space="preserve">https://khoaviet.edu.vn/webinar2</t>
  </si>
  <si>
    <t xml:space="preserve">THCS - Chuẩn Bị Cho Cấp Hai Thành Công</t>
  </si>
  <si>
    <t xml:space="preserve">Thầy Minh (THCS)</t>
  </si>
  <si>
    <t xml:space="preserve">Meta, Email, LinkedIn</t>
  </si>
  <si>
    <t xml:space="preserve">1. Áp lực &amp; cơ hội THCS (5m) | 2. Chương trình Việt Anh (5m) | 3. Mentoring (5m) | 4. Q&amp;A (10m)</t>
  </si>
  <si>
    <t xml:space="preserve">Follow-up email: thông tin học bổng. Phone call for hot leads</t>
  </si>
  <si>
    <t xml:space="preserve">https://khoaviet.edu.vn/webinar3</t>
  </si>
  <si>
    <t xml:space="preserve">2026-07-08</t>
  </si>
  <si>
    <t xml:space="preserve">Lớp 10 - Chìa Khóa Để Đại Học Tốt</t>
  </si>
  <si>
    <t xml:space="preserve">Thầy Tuấn (THPT)</t>
  </si>
  <si>
    <t xml:space="preserve">1. Tầm quan trọng của lớp 10 (5m) | 2. Chương trình Việt Anh (5m) | 3. Học bổng (5m) | 4. Q&amp;A (10m)</t>
  </si>
  <si>
    <t xml:space="preserve">Email: "Còn 20 chỗ - quyết định ngay". Phone call</t>
  </si>
  <si>
    <t xml:space="preserve">https://khoaviet.edu.vn/webinar4</t>
  </si>
  <si>
    <t xml:space="preserve">2026-07-22</t>
  </si>
  <si>
    <t xml:space="preserve">Xử Lý Lo Lắng: Con Mình Có Tự Tin Không?</t>
  </si>
  <si>
    <t xml:space="preserve">Cô Linh (Tâm Lý Sư)</t>
  </si>
  <si>
    <t xml:space="preserve">P: 25-60, con &gt;6</t>
  </si>
  <si>
    <t xml:space="preserve">Meta, Email, Zalo, Google</t>
  </si>
  <si>
    <t xml:space="preserve">1. Lo lắng của phụ huynh &amp; con (5m) | 2. Cách giáo dục tại Việt Anh (5m) | 3. Phát triển tự tin (5m) | 4. Q&amp;A (10m)</t>
  </si>
  <si>
    <t xml:space="preserve">Email nurture sequence (5 emails). Offer: consultation</t>
  </si>
  <si>
    <t xml:space="preserve">https://khoaviet.edu.vn/webinar5</t>
  </si>
  <si>
    <t xml:space="preserve">2026-08-05</t>
  </si>
  <si>
    <t xml:space="preserve">Chuẩn Bị Cho Năm Học Mới - Checklist Phụ Huynh</t>
  </si>
  <si>
    <t xml:space="preserve">Thầy Dũng (Quản Lý)</t>
  </si>
  <si>
    <t xml:space="preserve">P: 25-60, con &gt;3</t>
  </si>
  <si>
    <t xml:space="preserve">1. Chuẩn bị tâm lý &amp; thể chất (5m) | 2. Dụng cụ học tập (5m) | 3. Lịch năm học (5m) | 4. Q&amp;A (10m)</t>
  </si>
  <si>
    <t xml:space="preserve">Email: "Ghi danh cuối cùng". SMS: "Còn 48 tiếng"</t>
  </si>
  <si>
    <t xml:space="preserve">https://khoaviet.edu.vn/webinar6</t>
  </si>
  <si>
    <t xml:space="preserve">2026-05-27</t>
  </si>
  <si>
    <t xml:space="preserve">Open Day Preview - Virtual Tour 6 Cơ Sở</t>
  </si>
  <si>
    <t xml:space="preserve">Cô Vy (Marketing)</t>
  </si>
  <si>
    <t xml:space="preserve">1. Tour cơ sở GV (5m) | 2. Tour cơ sở TĐ (5m) | 3. Tour cơ sở PH (5m) | 4. Đặt vé online (5m) | 5. Q&amp;A (5m)</t>
  </si>
  <si>
    <t xml:space="preserve">Email: "Đã đặt vé chưa?". SMS: link to reservation</t>
  </si>
  <si>
    <t xml:space="preserve">https://khoaviet.edu.vn/openday-preview</t>
  </si>
  <si>
    <t xml:space="preserve">2026-06-18</t>
  </si>
  <si>
    <t xml:space="preserve">Cha Mẹ Hỏi: Tại Sao Chọn Việt Anh?</t>
  </si>
  <si>
    <t xml:space="preserve">Panel: 3 Hiệu Trưởng + 1 Phụ Huynh</t>
  </si>
  <si>
    <t xml:space="preserve">Meta, Email, Google</t>
  </si>
  <si>
    <t xml:space="preserve">1. Hiệu Trưởng nói (3m). 2. Phụ huynh testimonial (3m). 3. Giáo viên (2m). 4. Interactive Q&amp;A (12m)</t>
  </si>
  <si>
    <t xml:space="preserve">Email follow-up: "Những gì bạn bỏ lỡ". Phone call hot leads</t>
  </si>
  <si>
    <t xml:space="preserve">https://khoaviet.edu.vn/parent-panel</t>
  </si>
  <si>
    <t xml:space="preserve">Behind The Scenes - Một Ngày Tại Việt Anh</t>
  </si>
  <si>
    <t xml:space="preserve">Cô Hạnh + Học Sinh</t>
  </si>
  <si>
    <t xml:space="preserve">P: 25-55, con &gt;6</t>
  </si>
  <si>
    <t xml:space="preserve">Meta, TikTok, Zalo</t>
  </si>
  <si>
    <t xml:space="preserve">1. Sáng: Lớp học (3m) | 2. Trưa: Ăn cơm (2m) | 3. Chiều: Ngoại khóa (3m) | 4. Q&amp;A (12m)</t>
  </si>
  <si>
    <t xml:space="preserve">Email: "Còn lúc này để quyết định". SMS: gọi tư vấn</t>
  </si>
  <si>
    <t xml:space="preserve">YouTube + TikTok</t>
  </si>
  <si>
    <t xml:space="preserve">https://khoaviet.edu.vn/behind-scenes</t>
  </si>
  <si>
    <t xml:space="preserve">2026-08-12</t>
  </si>
  <si>
    <t xml:space="preserve">Q&amp;A Final - Hỏi Đáp Cuối Cùng Trước Khai Giảng</t>
  </si>
  <si>
    <t xml:space="preserve">Toàn bộ Leadership Team</t>
  </si>
  <si>
    <t xml:space="preserve">1. Chi tiết khai giảng (5m) | 2. Phí &amp; thanh toán (3m) | 3. Nhu cầu khác (2m) | 4. Open Q&amp;A (10m)</t>
  </si>
  <si>
    <t xml:space="preserve">Auto SMS: "Lịch khai giảng + Link join class group". Email: payment reminder</t>
  </si>
  <si>
    <t xml:space="preserve">https://khoaviet.edu.vn/final-qa</t>
  </si>
  <si>
    <t xml:space="preserve">2026-07-29</t>
  </si>
  <si>
    <t xml:space="preserve">Workshop: Giúp Con Tự Tin Học Tập</t>
  </si>
  <si>
    <t xml:space="preserve">Cô Linh (Tâm Lý)</t>
  </si>
  <si>
    <t xml:space="preserve">P: 30-55, con &gt;8</t>
  </si>
  <si>
    <t xml:space="preserve">1. Tự tin là gì? (5m) | 2. Cách nuôi dạy tại nhà (5m) | 3. Cách hỗ trợ học tập (5m) | 4. Interactiveexercise (5m) | 5. Q&amp;A (5m)</t>
  </si>
  <si>
    <t xml:space="preserve">Email: workshop materials download. Offer: 1:1 coaching</t>
  </si>
  <si>
    <t xml:space="preserve">https://khoaviet.edu.vn/confidence-workshop</t>
  </si>
  <si>
    <t xml:space="preserve">2026-06-04</t>
  </si>
  <si>
    <t xml:space="preserve">18:00</t>
  </si>
  <si>
    <t xml:space="preserve">Buổi Chat Nhẹ Nhàng: Phụ Huynh Chia Sẻ Kinh Nghiệm</t>
  </si>
  <si>
    <t xml:space="preserve">Facilitator: Cô Vy</t>
  </si>
  <si>
    <t xml:space="preserve">P: 25-60 (current parents)</t>
  </si>
  <si>
    <t xml:space="preserve">Email to database</t>
  </si>
  <si>
    <t xml:space="preserve">1. Phụ huynh cũ kể chuyện (10m) | 2. Trả lời Q&amp;A tự do (15m) | 3. Networking time (5m)</t>
  </si>
  <si>
    <t xml:space="preserve">Email: testimonial collection + referral incentive offer</t>
  </si>
  <si>
    <t xml:space="preserve">https://khoaviet.edu.vn/parent-chat</t>
  </si>
  <si>
    <t xml:space="preserve">2026-08-19</t>
  </si>
  <si>
    <t xml:space="preserve">Lý Do Chọn Việt Anh - Thành Công &amp; Sự Khác Biệt</t>
  </si>
  <si>
    <t xml:space="preserve">Panel: Hiệu Trưởng + 2 Giáo Viên + 1 Phụ Huynh</t>
  </si>
  <si>
    <t xml:space="preserve">All: 25-60 (last chance)</t>
  </si>
  <si>
    <t xml:space="preserve">1. Khác biệt Việt Anh (5m) | 2. Giáo viên nói (5m) | 3. Phụ huynh testimonial (5m) | 4. Q&amp;A (10m)</t>
  </si>
  <si>
    <t xml:space="preserve">SMS: "Lần cuối - hôm nay là deadline". Email: "Cơ hội cuối cùng"</t>
  </si>
  <si>
    <t xml:space="preserve">https://khoaviet.edu.vn/final-decision</t>
  </si>
  <si>
    <t xml:space="preserve">15 WEBINAR CHI TIẾT — T4 ĐẾN T9/2026</t>
  </si>
  <si>
    <t xml:space="preserve">Chủ Đề</t>
  </si>
  <si>
    <t xml:space="preserve">Registration URL</t>
  </si>
  <si>
    <t xml:space="preserve">Promotion Channel</t>
  </si>
  <si>
    <t xml:space="preserve">Email Sequence</t>
  </si>
  <si>
    <t xml:space="preserve">Follow-up Action</t>
  </si>
  <si>
    <t xml:space="preserve">Target Registrations</t>
  </si>
  <si>
    <t xml:space="preserve">01/04/2026</t>
  </si>
  <si>
    <t xml:space="preserve">19:00</t>
  </si>
  <si>
    <t xml:space="preserve">Chọn trường quốc tế như thế nào?</t>
  </si>
  <si>
    <t xml:space="preserve">Hiệu trưởng Nguyễn Văn A</t>
  </si>
  <si>
    <t xml:space="preserve">Phụ huynh K1-K3</t>
  </si>
  <si>
    <t xml:space="preserve">Email + Zalo + FB</t>
  </si>
  <si>
    <t xml:space="preserve">Welcome + Reminder</t>
  </si>
  <si>
    <t xml:space="preserve">Ghi danh tour</t>
  </si>
  <si>
    <t xml:space="preserve">08/04/2026</t>
  </si>
  <si>
    <t xml:space="preserve">Tiếng Anh và phát triển kỹ năng</t>
  </si>
  <si>
    <t xml:space="preserve">Giáo sư Tim Brown</t>
  </si>
  <si>
    <t xml:space="preserve">Phụ huynh TH</t>
  </si>
  <si>
    <t xml:space="preserve">forms.truongvietanh.com/webinar-2</t>
  </si>
  <si>
    <t xml:space="preserve">Email + Zalo + Instagram</t>
  </si>
  <si>
    <t xml:space="preserve">Welcome + 3 reminder</t>
  </si>
  <si>
    <t xml:space="preserve">Tham quan lớp</t>
  </si>
  <si>
    <t xml:space="preserve">Chuẩn bị cho THCS: tâm lý &amp; học tập</t>
  </si>
  <si>
    <t xml:space="preserve">Tâm lý sư Lê Thu Hà</t>
  </si>
  <si>
    <t xml:space="preserve">Phụ huynh TH-THCS</t>
  </si>
  <si>
    <t xml:space="preserve">forms.truongvietanh.com/webinar-3</t>
  </si>
  <si>
    <t xml:space="preserve">Email + Zalo + TikTok</t>
  </si>
  <si>
    <t xml:space="preserve">Welcome + 4 reminder</t>
  </si>
  <si>
    <t xml:space="preserve">Tư vấn 1-1</t>
  </si>
  <si>
    <t xml:space="preserve">Chứng chỉ Cambridge: lộ trình học tập</t>
  </si>
  <si>
    <t xml:space="preserve">Giảng viên Cambridge</t>
  </si>
  <si>
    <t xml:space="preserve">Phụ huynh THCS-THPT</t>
  </si>
  <si>
    <t xml:space="preserve">forms.truongvietanh.com/webinar-4</t>
  </si>
  <si>
    <t xml:space="preserve">Email + Zalo + LinkedIn</t>
  </si>
  <si>
    <t xml:space="preserve">Tour + Tư vấn</t>
  </si>
  <si>
    <t xml:space="preserve">29/04/2026</t>
  </si>
  <si>
    <t xml:space="preserve">Hành trang vào đại học: GPA &amp; IELTS</t>
  </si>
  <si>
    <t xml:space="preserve">Cô Phạm Minh Châu</t>
  </si>
  <si>
    <t xml:space="preserve">Phụ huynh THPT</t>
  </si>
  <si>
    <t xml:space="preserve">forms.truongvietanh.com/webinar-5</t>
  </si>
  <si>
    <t xml:space="preserve">Welcome + 5 reminder</t>
  </si>
  <si>
    <t xml:space="preserve">Ghi danh lớp IELTS</t>
  </si>
  <si>
    <t xml:space="preserve">Học tập hiệu quả ở nhà vs trường</t>
  </si>
  <si>
    <t xml:space="preserve">TS. Trần Thanh Huyền</t>
  </si>
  <si>
    <t xml:space="preserve">Phụ huynh toàn cấp</t>
  </si>
  <si>
    <t xml:space="preserve">forms.truongvietanh.com/webinar-6</t>
  </si>
  <si>
    <t xml:space="preserve">Tham khảo ý kiến</t>
  </si>
  <si>
    <t xml:space="preserve">13/05/2026</t>
  </si>
  <si>
    <t xml:space="preserve">Khám phá các ngành học phổ biến</t>
  </si>
  <si>
    <t xml:space="preserve">Hướng dẫn viên việc làm</t>
  </si>
  <si>
    <t xml:space="preserve">forms.truongvietanh.com/webinar-7</t>
  </si>
  <si>
    <t xml:space="preserve">Tư vấn ngành học</t>
  </si>
  <si>
    <t xml:space="preserve">20/05/2026</t>
  </si>
  <si>
    <t xml:space="preserve">Du học: Thực trạng &amp; Cơ hội</t>
  </si>
  <si>
    <t xml:space="preserve">Cố vấn du học Lan Anh</t>
  </si>
  <si>
    <t xml:space="preserve">forms.truongvietanh.com/webinar-8</t>
  </si>
  <si>
    <t xml:space="preserve">Tư vấn du học 1-1</t>
  </si>
  <si>
    <t xml:space="preserve">27/05/2026</t>
  </si>
  <si>
    <t xml:space="preserve">Học bổng &amp; Hỗ trợ tài chính</t>
  </si>
  <si>
    <t xml:space="preserve">Phòng Tuyển sinh</t>
  </si>
  <si>
    <t xml:space="preserve">forms.truongvietanh.com/webinar-9</t>
  </si>
  <si>
    <t xml:space="preserve">Nộp đơn xin HT</t>
  </si>
  <si>
    <t xml:space="preserve">03/06/2026</t>
  </si>
  <si>
    <t xml:space="preserve">Kỹ năng mềm thời 4.0</t>
  </si>
  <si>
    <t xml:space="preserve">Huấn luyện viên Minh Tuấn</t>
  </si>
  <si>
    <t xml:space="preserve">forms.truongvietanh.com/webinar-10</t>
  </si>
  <si>
    <t xml:space="preserve">Đăng ký workshop</t>
  </si>
  <si>
    <t xml:space="preserve">10/06/2026</t>
  </si>
  <si>
    <t xml:space="preserve">Tâm lý &amp; Sức khỏe tinh thần học sinh</t>
  </si>
  <si>
    <t xml:space="preserve">Bác sĩ Trần Ánh Sáng</t>
  </si>
  <si>
    <t xml:space="preserve">Phụ huynh + GV</t>
  </si>
  <si>
    <t xml:space="preserve">forms.truongvietanh.com/webinar-11</t>
  </si>
  <si>
    <t xml:space="preserve">Tư vấn tâm lý</t>
  </si>
  <si>
    <t xml:space="preserve">17/06/2026</t>
  </si>
  <si>
    <t xml:space="preserve">Tài chính cá nhân &amp; Tiền tệ</t>
  </si>
  <si>
    <t xml:space="preserve">Chuyên gia tài chính</t>
  </si>
  <si>
    <t xml:space="preserve">forms.truongvietanh.com/webinar-12</t>
  </si>
  <si>
    <t xml:space="preserve">Ghi danh lớp FE</t>
  </si>
  <si>
    <t xml:space="preserve">24/06/2026</t>
  </si>
  <si>
    <t xml:space="preserve">Chuẩn bị bước vào THPT</t>
  </si>
  <si>
    <t xml:space="preserve">Hiệu trưởng + Chủ nhiệm</t>
  </si>
  <si>
    <t xml:space="preserve">Phụ huynh TH lên THCS</t>
  </si>
  <si>
    <t xml:space="preserve">forms.truongvietanh.com/webinar-13</t>
  </si>
  <si>
    <t xml:space="preserve">Tour THPT</t>
  </si>
  <si>
    <t xml:space="preserve">01/07/2026</t>
  </si>
  <si>
    <t xml:space="preserve">Kỳ nghỉ hè: Các khóa học ngoại khóa</t>
  </si>
  <si>
    <t xml:space="preserve">Phòng HĐHD</t>
  </si>
  <si>
    <t xml:space="preserve">forms.truongvietanh.com/webinar-14</t>
  </si>
  <si>
    <t xml:space="preserve">Đăng ký khóa hè</t>
  </si>
  <si>
    <t xml:space="preserve">08/07/2026</t>
  </si>
  <si>
    <t xml:space="preserve">Q&amp;A: Các câu hỏi thường gặp</t>
  </si>
  <si>
    <t xml:space="preserve">Ban lãnh đạo nhà trường</t>
  </si>
  <si>
    <t xml:space="preserve">forms.truongvietanh.com/webinar-15</t>
  </si>
  <si>
    <t xml:space="preserve">Liên hệ tuyển sinh</t>
  </si>
  <si>
    <t xml:space="preserve">LỊCH SOCIAL MEDIA CHI TIẾT – THEO KÊNH VÀ ĐỊA ĐIỂM (04-09/2026)</t>
  </si>
  <si>
    <t xml:space="preserve">Mục tiêu: 3-4 bài/ngày trên mỗi nền tảng | Kho sẵn: 2,000 bài | Quay mới: 3-5 video/tháng | Tổng: ~540 bài organic trong 6 tháng</t>
  </si>
  <si>
    <t xml:space="preserve">A. LỊCH ĐĂNG BÀI TUẦN MẪU (Template cho mỗi tuần)</t>
  </si>
  <si>
    <t xml:space="preserve">Thứ</t>
  </si>
  <si>
    <t xml:space="preserve">Google Business</t>
  </si>
  <si>
    <t xml:space="preserve">Thời gian đăng</t>
  </si>
  <si>
    <t xml:space="preserve">Loại nội dung</t>
  </si>
  <si>
    <t xml:space="preserve">Cơ sở focus</t>
  </si>
  <si>
    <t xml:space="preserve">Carousel: Chương trình học (MN/TH)</t>
  </si>
  <si>
    <t xml:space="preserve">Reel: "1 ngày tại VA" 30s</t>
  </si>
  <si>
    <t xml:space="preserve">Video testi PH 15-30s</t>
  </si>
  <si>
    <t xml:space="preserve">Broadcast: Tour tuần này</t>
  </si>
  <si>
    <t xml:space="preserve">Post: Ảnh campus + CTA</t>
  </si>
  <si>
    <t xml:space="preserve">7:30 + 11:30 + 19:00</t>
  </si>
  <si>
    <t xml:space="preserve">Educational + Social proof</t>
  </si>
  <si>
    <t xml:space="preserve">Đầu tuần = boost engagement</t>
  </si>
  <si>
    <t xml:space="preserve">Video: Testimonial PH 60s</t>
  </si>
  <si>
    <t xml:space="preserve">Story: Behind-the-scene GV</t>
  </si>
  <si>
    <t xml:space="preserve">Carousel: Top 5 lý do chọn VA</t>
  </si>
  <si>
    <t xml:space="preserve">Article: Tips chọn trường</t>
  </si>
  <si>
    <t xml:space="preserve">7:30 + 12:00 + 20:00</t>
  </si>
  <si>
    <t xml:space="preserve">Trust building</t>
  </si>
  <si>
    <t xml:space="preserve">Bình Tân + Tỉnh</t>
  </si>
  <si>
    <t xml:space="preserve">Zalo article dài, SEO friendly</t>
  </si>
  <si>
    <t xml:space="preserve">Image: Ảnh hoạt động ngoại khóa</t>
  </si>
  <si>
    <t xml:space="preserve">Reel: "GV nói gì về VA" 15s</t>
  </si>
  <si>
    <t xml:space="preserve">Video: Day-in-the-life HS</t>
  </si>
  <si>
    <t xml:space="preserve">Short: Campus tour 60s</t>
  </si>
  <si>
    <t xml:space="preserve">Post: Sự kiện sắp tới</t>
  </si>
  <si>
    <t xml:space="preserve">7:30 + 11:30 + 19:30</t>
  </si>
  <si>
    <t xml:space="preserve">Lifestyle + Campus life</t>
  </si>
  <si>
    <t xml:space="preserve">Hump day = giải trí nhẹ</t>
  </si>
  <si>
    <t xml:space="preserve">Carousel: So sánh (không nêu tên đối thủ)</t>
  </si>
  <si>
    <t xml:space="preserve">Story: Q&amp;A PH thường hỏi</t>
  </si>
  <si>
    <t xml:space="preserve">Video testi HS 15-30s</t>
  </si>
  <si>
    <t xml:space="preserve">Broadcast: Ưu đãi/Webinar</t>
  </si>
  <si>
    <t xml:space="preserve">7:30 + 12:00 + 19:00</t>
  </si>
  <si>
    <t xml:space="preserve">Decision support</t>
  </si>
  <si>
    <t xml:space="preserve">Push ưu đãi cuối tuần</t>
  </si>
  <si>
    <t xml:space="preserve">Video: Highlight tuần (recap)</t>
  </si>
  <si>
    <t xml:space="preserve">Reel: Thành tích HS/GV</t>
  </si>
  <si>
    <t xml:space="preserve">Video: "3 điều PH không ngờ"</t>
  </si>
  <si>
    <t xml:space="preserve">Broadcast: Nhắc tour cuối tuần</t>
  </si>
  <si>
    <t xml:space="preserve">Video: Webinar recap/teaser</t>
  </si>
  <si>
    <t xml:space="preserve">Post: Review mới từ PH</t>
  </si>
  <si>
    <t xml:space="preserve">7:30 + 11:30 + 20:00</t>
  </si>
  <si>
    <t xml:space="preserve">Achievement + Urgency</t>
  </si>
  <si>
    <t xml:space="preserve">Thái Sơn + Mekong</t>
  </si>
  <si>
    <t xml:space="preserve">Friday = ưu đãi weekend</t>
  </si>
  <si>
    <t xml:space="preserve">Live: Tour campus trực tiếp 30 phút</t>
  </si>
  <si>
    <t xml:space="preserve">Carousel: Ảnh tour weekend</t>
  </si>
  <si>
    <t xml:space="preserve">Video: "Mời PH tham quan"</t>
  </si>
  <si>
    <t xml:space="preserve">Cập nhật giờ tour</t>
  </si>
  <si>
    <t xml:space="preserve">9:00 (live) + 14:00</t>
  </si>
  <si>
    <t xml:space="preserve">Experience + FOMO</t>
  </si>
  <si>
    <t xml:space="preserve">Theo lịch tour</t>
  </si>
  <si>
    <t xml:space="preserve">Weekend = PH rảnh xem</t>
  </si>
  <si>
    <t xml:space="preserve">Chủ nhật</t>
  </si>
  <si>
    <t xml:space="preserve">Image: Quote GD + Logo VA</t>
  </si>
  <si>
    <t xml:space="preserve">Story: Fun fact về trường</t>
  </si>
  <si>
    <t xml:space="preserve">Video nhẹ: Ngày của bé tại VA</t>
  </si>
  <si>
    <t xml:space="preserve">9:00 + 19:00</t>
  </si>
  <si>
    <t xml:space="preserve">Brand + Emotional</t>
  </si>
  <si>
    <t xml:space="preserve">Nhẹ nhàng, warm</t>
  </si>
  <si>
    <t xml:space="preserve">B. CHỦ ĐỀ CONTENT THEO THÁNG</t>
  </si>
  <si>
    <t xml:space="preserve">Pillar Content</t>
  </si>
  <si>
    <t xml:space="preserve">Video cần quay</t>
  </si>
  <si>
    <t xml:space="preserve">Ảnh cần chụp</t>
  </si>
  <si>
    <t xml:space="preserve">Blog/Article</t>
  </si>
  <si>
    <t xml:space="preserve">Số bài FB</t>
  </si>
  <si>
    <t xml:space="preserve">Số bài IG</t>
  </si>
  <si>
    <t xml:space="preserve">Số video TikTok</t>
  </si>
  <si>
    <t xml:space="preserve">Số bài Zalo</t>
  </si>
  <si>
    <t xml:space="preserve">Tổng content</t>
  </si>
  <si>
    <t xml:space="preserve">Khám phá VA – Tour mở cửa</t>
  </si>
  <si>
    <t xml:space="preserve">Testimonial PH mùa trước + Campus tour video</t>
  </si>
  <si>
    <t xml:space="preserve">5 video testi + 3 campus tour</t>
  </si>
  <si>
    <t xml:space="preserve">20 ảnh hoạt động mới</t>
  </si>
  <si>
    <t xml:space="preserve">4 blog: Chọn trường, Song ngữ, STEM, An toàn</t>
  </si>
  <si>
    <t xml:space="preserve">Tại sao VA? – So sánh &amp; Chọn lọc</t>
  </si>
  <si>
    <t xml:space="preserve">So sánh chương trình + Open Day recap</t>
  </si>
  <si>
    <t xml:space="preserve">3 video so sánh + 2 Open Day</t>
  </si>
  <si>
    <t xml:space="preserve">15 ảnh Open Day</t>
  </si>
  <si>
    <t xml:space="preserve">4 blog: Sĩ số, Ngoại khóa, GV, Học phí</t>
  </si>
  <si>
    <t xml:space="preserve">Chuyển cấp – Giai đoạn vàng quyết định</t>
  </si>
  <si>
    <t xml:space="preserve">Webinar recap + PH review sau tour</t>
  </si>
  <si>
    <t xml:space="preserve">5 video PH sau tour + 2 webinar clip</t>
  </si>
  <si>
    <t xml:space="preserve">15 ảnh tour</t>
  </si>
  <si>
    <t xml:space="preserve">4 blog: Chuyển cấp 5→6, Lớp 10, Dậy thì, Lộ trình</t>
  </si>
  <si>
    <t xml:space="preserve">Chốt – Học bổng &amp; Ưu đãi cuối</t>
  </si>
  <si>
    <t xml:space="preserve">Học bổng announcement + Deadline countdown</t>
  </si>
  <si>
    <t xml:space="preserve">3 video HS nhận HB + 2 countdown</t>
  </si>
  <si>
    <t xml:space="preserve">10 ảnh ceremony</t>
  </si>
  <si>
    <t xml:space="preserve">2 blog: Học bổng, Đầu ra ĐH</t>
  </si>
  <si>
    <t xml:space="preserve">Cuối mùa – Cơ hội cuối cùng</t>
  </si>
  <si>
    <t xml:space="preserve">Urgency content + Slot còn lại</t>
  </si>
  <si>
    <t xml:space="preserve">2 video "Chỗ có hạn" + 2 PH mới</t>
  </si>
  <si>
    <t xml:space="preserve">10 ảnh chuẩn bị năm học</t>
  </si>
  <si>
    <t xml:space="preserve">2 blog: Late enrollment, Chuyển trường</t>
  </si>
  <si>
    <t xml:space="preserve">Khai giảng – Welcome &amp; Brand</t>
  </si>
  <si>
    <t xml:space="preserve">Khai giảng recap + PH mới share</t>
  </si>
  <si>
    <t xml:space="preserve">3 video khai giảng + 2 PH share</t>
  </si>
  <si>
    <t xml:space="preserve">20 ảnh khai giảng</t>
  </si>
  <si>
    <t xml:space="preserve">2 blog: Năm học mới, Cảm nhận PH</t>
  </si>
  <si>
    <t xml:space="preserve">C. CONTENT THEO CƠ SỞ (Phân bổ bài đăng/tháng)</t>
  </si>
  <si>
    <t xml:space="preserve">FB/tháng</t>
  </si>
  <si>
    <t xml:space="preserve">IG/tháng</t>
  </si>
  <si>
    <t xml:space="preserve">TikTok/tháng</t>
  </si>
  <si>
    <t xml:space="preserve">Zalo/tháng</t>
  </si>
  <si>
    <t xml:space="preserve">GMB/tháng</t>
  </si>
  <si>
    <t xml:space="preserve">Nội dung ưu tiên</t>
  </si>
  <si>
    <t xml:space="preserve">Giọng văn/tone</t>
  </si>
  <si>
    <t xml:space="preserve">Hashtag chính</t>
  </si>
  <si>
    <t xml:space="preserve">Gò Vấp, TP.HCM</t>
  </si>
  <si>
    <t xml:space="preserve">An toàn, GV tận tâm, camera, bé vui</t>
  </si>
  <si>
    <t xml:space="preserve">Ấm áp, tin cậy, gần gũi</t>
  </si>
  <si>
    <t xml:space="preserve">#MamNonVietAnh #MamNonGoVap</t>
  </si>
  <si>
    <t xml:space="preserve">TX. Cần Giuộc, Tây Ninh (cũ: H. Cần Giuộc, Long An)</t>
  </si>
  <si>
    <t xml:space="preserve">Trường trong KDC, bán trú, local trust</t>
  </si>
  <si>
    <t xml:space="preserve">Thân thiện, địa phương</t>
  </si>
  <si>
    <t xml:space="preserve">#MamNonNhanLe #CanGiuoc #TayNinh</t>
  </si>
  <si>
    <t xml:space="preserve">Liên cấp, KDC Thái Sơn, không cần đi xa</t>
  </si>
  <si>
    <t xml:space="preserve">Thân thiện, tiện lợi</t>
  </si>
  <si>
    <t xml:space="preserve">#ThaiSon #TruongTuCanGiuoc</t>
  </si>
  <si>
    <t xml:space="preserve">TP. Rạch Giá, An Giang (cũ: TP. Rạch Giá, Kiên Giang)</t>
  </si>
  <si>
    <t xml:space="preserve">Chuẩn TP.HCM tại tỉnh, song ngữ</t>
  </si>
  <si>
    <t xml:space="preserve">Tự hào, tiên phong</t>
  </si>
  <si>
    <t xml:space="preserve">#MekongXanh #RachGia #AnGiang</t>
  </si>
  <si>
    <t xml:space="preserve">Song ngữ, sĩ số nhỏ, lộ trình TA</t>
  </si>
  <si>
    <t xml:space="preserve">Chuyên nghiệp, giáo dục</t>
  </si>
  <si>
    <t xml:space="preserve">#TieuHocVietAnh #SongNgu</t>
  </si>
  <si>
    <t xml:space="preserve">Bình Tân, TP.HCM</t>
  </si>
  <si>
    <t xml:space="preserve">Khép kín, an toàn, học phí hợp lý</t>
  </si>
  <si>
    <t xml:space="preserve">Gần gũi, thiết thực</t>
  </si>
  <si>
    <t xml:space="preserve">#TruongVietAnhBinhTan</t>
  </si>
  <si>
    <t xml:space="preserve">Chuyển cấp, GV chủ nhiệm, lộ trình 6→12</t>
  </si>
  <si>
    <t xml:space="preserve">Nghiêm túc, động lực</t>
  </si>
  <si>
    <t xml:space="preserve">#THCSVietAnh #Lop6</t>
  </si>
  <si>
    <t xml:space="preserve">Học bổng, đầu ra ĐH, pathway du học</t>
  </si>
  <si>
    <t xml:space="preserve">Chuyên nghiệp, tự tin</t>
  </si>
  <si>
    <t xml:space="preserve">#THPTVietAnh #HocBong #Lop10</t>
  </si>
  <si>
    <t xml:space="preserve">Giá trị VA, alumni, thành tích</t>
  </si>
  <si>
    <t xml:space="preserve">Tự hào, uy tín</t>
  </si>
  <si>
    <t xml:space="preserve">#TruongVietAnh #HeThongVietAnh</t>
  </si>
  <si>
    <t xml:space="preserve">═══ CHIẾN LƯỢC NUÔI KÊNH — TỪ SHEET O ═══</t>
  </si>
  <si>
    <t xml:space="preserve">Chi tiết nuôi kênh từng platform → Xem Sheet "O. Nuôi Kênh Social Media"</t>
  </si>
  <si>
    <t xml:space="preserve">LỊCH ĐĂNG BÀI MẪU — TUẦN ĐIỂN HÌNH (T6/2026 — Peak Season)</t>
  </si>
  <si>
    <t xml:space="preserve">T2</t>
  </si>
  <si>
    <t xml:space="preserve">T3</t>
  </si>
  <si>
    <t xml:space="preserve">CN</t>
  </si>
  <si>
    <t xml:space="preserve">Check leads overnight + Assign</t>
  </si>
  <si>
    <t xml:space="preserve">Check leads + Assign</t>
  </si>
  <si>
    <t xml:space="preserve">Check leads</t>
  </si>
  <si>
    <t xml:space="preserve">FB: Carousel HS
Zalo: Article</t>
  </si>
  <si>
    <t xml:space="preserve">FB: Event coverage
Zalo: Article</t>
  </si>
  <si>
    <t xml:space="preserve">FB: Throwback post</t>
  </si>
  <si>
    <t xml:space="preserve">IG: Carousel
TikTok: Tips</t>
  </si>
  <si>
    <t xml:space="preserve">IG: Reel
TikTok: BTS</t>
  </si>
  <si>
    <t xml:space="preserve">IG: Reel
TikTok: Live prep</t>
  </si>
  <si>
    <t xml:space="preserve">IG: Stories only</t>
  </si>
  <si>
    <t xml:space="preserve">11:30-12:30</t>
  </si>
  <si>
    <t xml:space="preserve">FB: Reels
YT: Shorts</t>
  </si>
  <si>
    <t xml:space="preserve">FB: Reels</t>
  </si>
  <si>
    <t xml:space="preserve">Ads check midday</t>
  </si>
  <si>
    <t xml:space="preserve">Ads + Zalo broadcast</t>
  </si>
  <si>
    <t xml:space="preserve">Ads check</t>
  </si>
  <si>
    <t xml:space="preserve">Ads quick check</t>
  </si>
  <si>
    <t xml:space="preserve">FB Group engage
IG Stories</t>
  </si>
  <si>
    <t xml:space="preserve">FB Group: 6 nhóm
YT: Upload long video</t>
  </si>
  <si>
    <t xml:space="preserve">FB Group engage
IG DM reply</t>
  </si>
  <si>
    <t xml:space="preserve">FB Group engage
IG engagement</t>
  </si>
  <si>
    <t xml:space="preserve">FB Group: Mini-game
IG Stories</t>
  </si>
  <si>
    <t xml:space="preserve">FB Group: Live
TikTok: Live</t>
  </si>
  <si>
    <t xml:space="preserve">FB: Testimonial
Email: Newsletter</t>
  </si>
  <si>
    <t xml:space="preserve">FB: Testimonial</t>
  </si>
  <si>
    <t xml:space="preserve">FB: Tips post</t>
  </si>
  <si>
    <t xml:space="preserve">FB: Testimonial
Email: Broadcast</t>
  </si>
  <si>
    <t xml:space="preserve">20:00</t>
  </si>
  <si>
    <t xml:space="preserve">FB: Tips dài
IG: Stories</t>
  </si>
  <si>
    <t xml:space="preserve">LIVESTREAM T3
(FB + Zalo)</t>
  </si>
  <si>
    <t xml:space="preserve">TikTok: Trend video
IG: Stories</t>
  </si>
  <si>
    <t xml:space="preserve">LIVESTREAM T5
(FB + Zalo)</t>
  </si>
  <si>
    <t xml:space="preserve">TikTok: Trend
IG: Stories</t>
  </si>
  <si>
    <t xml:space="preserve">TikTok: Live T7</t>
  </si>
  <si>
    <t xml:space="preserve">ANALYTICS, GTM TRACKING &amp; REMARKETING — CÀI ĐẶT CHI TIẾT TỪNG PHỄU</t>
  </si>
  <si>
    <t xml:space="preserve">A. GOOGLE TAG MANAGER — CẤU TRÚC CONTAINER</t>
  </si>
  <si>
    <t xml:space="preserve">Container ID: GTM-XXXXXXX | Domain: truongvietanh.com + forms.truongvietanh.com</t>
  </si>
  <si>
    <t xml:space="preserve">Tag Name</t>
  </si>
  <si>
    <t xml:space="preserve">Tag Type</t>
  </si>
  <si>
    <t xml:space="preserve">Fire trên trang nào</t>
  </si>
  <si>
    <t xml:space="preserve">Variables sử dụng</t>
  </si>
  <si>
    <t xml:space="preserve">GA4 - Config</t>
  </si>
  <si>
    <t xml:space="preserve">Google Analytics: GA4 Configuration</t>
  </si>
  <si>
    <t xml:space="preserve">Tất cả trang truongvietanh.com + forms.*</t>
  </si>
  <si>
    <t xml:space="preserve">GA4 Measurement ID (G-XXXXXXXX)</t>
  </si>
  <si>
    <t xml:space="preserve">Tracking cơ bản: pageview, scroll, click</t>
  </si>
  <si>
    <t xml:space="preserve">Cao</t>
  </si>
  <si>
    <t xml:space="preserve">GA4 - Form Submit</t>
  </si>
  <si>
    <t xml:space="preserve">Form Submission (custom)</t>
  </si>
  <si>
    <t xml:space="preserve">Tất cả trang có form GHL</t>
  </si>
  <si>
    <t xml:space="preserve">form_id, form_name, page_path, campus, grade_level</t>
  </si>
  <si>
    <t xml:space="preserve">Track form submissions = leads</t>
  </si>
  <si>
    <t xml:space="preserve">⬜</t>
  </si>
  <si>
    <t xml:space="preserve">GA4 - Tour Booked</t>
  </si>
  <si>
    <t xml:space="preserve">URL contains /cam-on + /xac-nhan</t>
  </si>
  <si>
    <t xml:space="preserve">Thank You + Confirmation pages</t>
  </si>
  <si>
    <t xml:space="preserve">tour_date, campus, source, medium</t>
  </si>
  <si>
    <t xml:space="preserve">Track tour bookings = conversions</t>
  </si>
  <si>
    <t xml:space="preserve">GA4 - Scroll Depth</t>
  </si>
  <si>
    <t xml:space="preserve">Scroll Depth (25, 50, 75, 90%)</t>
  </si>
  <si>
    <t xml:space="preserve">Landing pages chính</t>
  </si>
  <si>
    <t xml:space="preserve">scroll_threshold, page_path</t>
  </si>
  <si>
    <t xml:space="preserve">Đo mức độ quan tâm nội dung</t>
  </si>
  <si>
    <t xml:space="preserve">Trung bình</t>
  </si>
  <si>
    <t xml:space="preserve">GA4 - Video Play</t>
  </si>
  <si>
    <t xml:space="preserve">YouTube Video (start, 25%, 50%, 75%, 100%)</t>
  </si>
  <si>
    <t xml:space="preserve">Trang có video embed</t>
  </si>
  <si>
    <t xml:space="preserve">video_title, video_percent, page_path</t>
  </si>
  <si>
    <t xml:space="preserve">Track video engagement</t>
  </si>
  <si>
    <t xml:space="preserve">GA4 - CTA Click</t>
  </si>
  <si>
    <t xml:space="preserve">Click on elements matching CSS .cta-button</t>
  </si>
  <si>
    <t xml:space="preserve">Tất cả landing pages</t>
  </si>
  <si>
    <t xml:space="preserve">click_text, click_url, page_path</t>
  </si>
  <si>
    <t xml:space="preserve">Track CTA effectiveness</t>
  </si>
  <si>
    <t xml:space="preserve">GA4 - PDF Download</t>
  </si>
  <si>
    <t xml:space="preserve">Click on links ending .pdf</t>
  </si>
  <si>
    <t xml:space="preserve">Trang chương trình (Trang 4)</t>
  </si>
  <si>
    <t xml:space="preserve">file_name, page_path</t>
  </si>
  <si>
    <t xml:space="preserve">Track lead magnet downloads</t>
  </si>
  <si>
    <t xml:space="preserve">Meta Pixel - Base</t>
  </si>
  <si>
    <t xml:space="preserve">Custom HTML (fbq init + PageView)</t>
  </si>
  <si>
    <t xml:space="preserve">Tất cả trang</t>
  </si>
  <si>
    <t xml:space="preserve">Pixel ID: XXXXXXXXXX</t>
  </si>
  <si>
    <t xml:space="preserve">Base tracking + PageView event</t>
  </si>
  <si>
    <t xml:space="preserve">Meta Pixel - ViewContent</t>
  </si>
  <si>
    <t xml:space="preserve">Custom HTML (fbq track ViewContent)</t>
  </si>
  <si>
    <t xml:space="preserve">Scroll 50% OR Time on page &gt;30s</t>
  </si>
  <si>
    <t xml:space="preserve">Landing pages chính (Trang 1, 3, 4, 5)</t>
  </si>
  <si>
    <t xml:space="preserve">content_name (tên trang), content_category (cấp học), content_ids (campus)</t>
  </si>
  <si>
    <t xml:space="preserve">Đánh dấu người xem nội dung = quan tâm</t>
  </si>
  <si>
    <t xml:space="preserve">Meta Pixel - InitiateCheckout</t>
  </si>
  <si>
    <t xml:space="preserve">Custom HTML (fbq track InitiateCheckout)</t>
  </si>
  <si>
    <t xml:space="preserve">Form field focus (bất kỳ field nào)</t>
  </si>
  <si>
    <t xml:space="preserve">Trang có form</t>
  </si>
  <si>
    <t xml:space="preserve">content_name, num_items (số fields đã điền)</t>
  </si>
  <si>
    <t xml:space="preserve">Track form start = ý định cao</t>
  </si>
  <si>
    <t xml:space="preserve">Meta Pixel - Lead</t>
  </si>
  <si>
    <t xml:space="preserve">Custom HTML (fbq track Lead)</t>
  </si>
  <si>
    <t xml:space="preserve">Form submit thành công</t>
  </si>
  <si>
    <t xml:space="preserve">Tất cả form submission</t>
  </si>
  <si>
    <t xml:space="preserve">content_name (form name), content_category (cấp học), value (estimated value), currency (VND)</t>
  </si>
  <si>
    <t xml:space="preserve">Track lead = conversion chính</t>
  </si>
  <si>
    <t xml:space="preserve">Meta Pixel - Schedule (Tour)</t>
  </si>
  <si>
    <t xml:space="preserve">Custom HTML (fbq track Schedule)</t>
  </si>
  <si>
    <t xml:space="preserve">URL contains /xac-nhan-tour</t>
  </si>
  <si>
    <t xml:space="preserve">Tour confirmation pages</t>
  </si>
  <si>
    <t xml:space="preserve">content_name (campus), appointment_date</t>
  </si>
  <si>
    <t xml:space="preserve">Track tour booking = high-value conversion</t>
  </si>
  <si>
    <t xml:space="preserve">Meta Pixel - Purchase (Enroll)</t>
  </si>
  <si>
    <t xml:space="preserve">Custom HTML (fbq track Purchase)</t>
  </si>
  <si>
    <t xml:space="preserve">Enrollment confirmation page</t>
  </si>
  <si>
    <t xml:space="preserve">Enrollment success page</t>
  </si>
  <si>
    <t xml:space="preserve">value (học phí năm), currency (VND), content_name (campus + grade)</t>
  </si>
  <si>
    <t xml:space="preserve">Track enrollment = ultimate conversion</t>
  </si>
  <si>
    <t xml:space="preserve">Meta Pixel - AddToCart (Download)</t>
  </si>
  <si>
    <t xml:space="preserve">Custom HTML (fbq track AddToCart)</t>
  </si>
  <si>
    <t xml:space="preserve">PDF download click</t>
  </si>
  <si>
    <t xml:space="preserve">Trang 4 chương trình</t>
  </si>
  <si>
    <t xml:space="preserve">content_name (PDF name), content_type (lead_magnet)</t>
  </si>
  <si>
    <t xml:space="preserve">Track PDF download = medium intent</t>
  </si>
  <si>
    <t xml:space="preserve">Meta CAPI - Lead (server)</t>
  </si>
  <si>
    <t xml:space="preserve">HTTP Request (server-side)</t>
  </si>
  <si>
    <t xml:space="preserve">GHL webhook: form submit</t>
  </si>
  <si>
    <t xml:space="preserve">Server (không phải browser)</t>
  </si>
  <si>
    <t xml:space="preserve">event_name=Lead, email (hashed), phone (hashed), fbc, fbp, event_source_url</t>
  </si>
  <si>
    <t xml:space="preserve">Backup tracking cho iOS 14+ browsers block pixel</t>
  </si>
  <si>
    <t xml:space="preserve">Meta CAPI - Purchase (server)</t>
  </si>
  <si>
    <t xml:space="preserve">GHL webhook: enrollment confirmed</t>
  </si>
  <si>
    <t xml:space="preserve">Server</t>
  </si>
  <si>
    <t xml:space="preserve">event_name=Purchase, value, currency, email, phone</t>
  </si>
  <si>
    <t xml:space="preserve">Server-side enrollment tracking</t>
  </si>
  <si>
    <t xml:space="preserve">TikTok Pixel - Base</t>
  </si>
  <si>
    <t xml:space="preserve">Custom HTML (ttq init + PageView)</t>
  </si>
  <si>
    <t xml:space="preserve">All Pages on forms.*</t>
  </si>
  <si>
    <t xml:space="preserve">Base tracking</t>
  </si>
  <si>
    <t xml:space="preserve">TikTok Pixel - SubmitForm</t>
  </si>
  <si>
    <t xml:space="preserve">Custom HTML (ttq track SubmitForm)</t>
  </si>
  <si>
    <t xml:space="preserve">Form submit</t>
  </si>
  <si>
    <t xml:space="preserve">Tất cả form</t>
  </si>
  <si>
    <t xml:space="preserve">content_name, content_type</t>
  </si>
  <si>
    <t xml:space="preserve">Track leads từ TikTok Ads</t>
  </si>
  <si>
    <t xml:space="preserve">TikTok Pixel - CompleteRegistration</t>
  </si>
  <si>
    <t xml:space="preserve">Custom HTML (ttq track CompleteRegistration)</t>
  </si>
  <si>
    <t xml:space="preserve">Thank You pages</t>
  </si>
  <si>
    <t xml:space="preserve">content_name (campus)</t>
  </si>
  <si>
    <t xml:space="preserve">Track tour bookings từ TikTok</t>
  </si>
  <si>
    <t xml:space="preserve">Zalo Pixel - Base</t>
  </si>
  <si>
    <t xml:space="preserve">Custom HTML (Zalo tracking script)</t>
  </si>
  <si>
    <t xml:space="preserve">Zalo Pixel ID</t>
  </si>
  <si>
    <t xml:space="preserve">Track Zalo Ads conversions</t>
  </si>
  <si>
    <t xml:space="preserve">Zalo Pixel - Conversion</t>
  </si>
  <si>
    <t xml:space="preserve">Custom HTML (Zalo conversion)</t>
  </si>
  <si>
    <t xml:space="preserve">Form submit + Tour booked</t>
  </si>
  <si>
    <t xml:space="preserve">Form + Thank You pages</t>
  </si>
  <si>
    <t xml:space="preserve">conversion_type (lead/tour/enroll)</t>
  </si>
  <si>
    <t xml:space="preserve">Track Zalo Ads ROI</t>
  </si>
  <si>
    <t xml:space="preserve">Google Ads - Conversion (Lead)</t>
  </si>
  <si>
    <t xml:space="preserve">Google Ads Conversion Tracking</t>
  </si>
  <si>
    <t xml:space="preserve">Conversion ID, Conversion Label, Value</t>
  </si>
  <si>
    <t xml:space="preserve">Track Google Ads lead conversions</t>
  </si>
  <si>
    <t xml:space="preserve">Google Ads - Conversion (Tour)</t>
  </si>
  <si>
    <t xml:space="preserve">Conversion ID, Conversion Label, Value (higher)</t>
  </si>
  <si>
    <t xml:space="preserve">Track tour bookings từ Google</t>
  </si>
  <si>
    <t xml:space="preserve">Google Ads - Remarketing</t>
  </si>
  <si>
    <t xml:space="preserve">Conversion ID</t>
  </si>
  <si>
    <t xml:space="preserve">Build Google Ads remarketing audiences</t>
  </si>
  <si>
    <t xml:space="preserve">Google Ads - Enhanced Conv.</t>
  </si>
  <si>
    <t xml:space="preserve">Google Ads Enhanced Conversions</t>
  </si>
  <si>
    <t xml:space="preserve">Form submit (with email/phone)</t>
  </si>
  <si>
    <t xml:space="preserve">Form pages</t>
  </si>
  <si>
    <t xml:space="preserve">email (hashed), phone_number (hashed)</t>
  </si>
  <si>
    <t xml:space="preserve">Match conversions chính xác hơn</t>
  </si>
  <si>
    <t xml:space="preserve">B. GTM TRIGGERS — DANH SÁCH ĐẦY ĐỦ</t>
  </si>
  <si>
    <t xml:space="preserve">Trigger Name</t>
  </si>
  <si>
    <t xml:space="preserve">Trigger Type</t>
  </si>
  <si>
    <t xml:space="preserve">Tags sử dụng trigger này</t>
  </si>
  <si>
    <t xml:space="preserve">Không có điều kiện — fire trên mọi trang</t>
  </si>
  <si>
    <t xml:space="preserve">GA4 Config, Meta Pixel Base, TikTok Base, Zalo Base, Google Ads Remarketing</t>
  </si>
  <si>
    <t xml:space="preserve">Trigger mặc định</t>
  </si>
  <si>
    <t xml:space="preserve">Form Pages Only</t>
  </si>
  <si>
    <t xml:space="preserve">Page URL contains forms.truongvietanh.com
AND Page URL NOT contains /cam-on</t>
  </si>
  <si>
    <t xml:space="preserve">Landing pages có form</t>
  </si>
  <si>
    <t xml:space="preserve">Meta InitiateCheckout (khi focus field)</t>
  </si>
  <si>
    <t xml:space="preserve">Chỉ load form tracking trên trang có form</t>
  </si>
  <si>
    <t xml:space="preserve">Thank You Pages</t>
  </si>
  <si>
    <t xml:space="preserve">Page URL contains /cam-on
OR Page URL contains /xac-nhan</t>
  </si>
  <si>
    <t xml:space="preserve">Các trang Thank You</t>
  </si>
  <si>
    <t xml:space="preserve">GA4 Tour Booked, Meta Lead, Meta Schedule, TikTok SubmitForm, Google Ads Conversion</t>
  </si>
  <si>
    <t xml:space="preserve">Conversion pages</t>
  </si>
  <si>
    <t xml:space="preserve">Form Submit Success</t>
  </si>
  <si>
    <t xml:space="preserve">Custom Event</t>
  </si>
  <si>
    <t xml:space="preserve">Event name = "ghl_form_submit"
(GHL fires custom event khi form submit thành công)</t>
  </si>
  <si>
    <t xml:space="preserve">Tất cả form GHL</t>
  </si>
  <si>
    <t xml:space="preserve">GA4 Form Submit, Meta Lead, TikTok SubmitForm, Zalo Conversion</t>
  </si>
  <si>
    <t xml:space="preserve">Custom event từ GHL form callback</t>
  </si>
  <si>
    <t xml:space="preserve">Form Field Focus</t>
  </si>
  <si>
    <t xml:space="preserve">Element Visibility / Click</t>
  </si>
  <si>
    <t xml:space="preserve">CSS selector: input[name="first_name"]:focus
OR textarea:focus</t>
  </si>
  <si>
    <t xml:space="preserve">Meta InitiateCheckout</t>
  </si>
  <si>
    <t xml:space="preserve">Track khi user bắt đầu điền form = ý định</t>
  </si>
  <si>
    <t xml:space="preserve">Scroll 50%</t>
  </si>
  <si>
    <t xml:space="preserve">Scroll Depth</t>
  </si>
  <si>
    <t xml:space="preserve">Vertical Scroll Depth ≥ 50%</t>
  </si>
  <si>
    <t xml:space="preserve">Meta ViewContent</t>
  </si>
  <si>
    <t xml:space="preserve">User đọc được nửa trang = quan tâm</t>
  </si>
  <si>
    <t xml:space="preserve">Scroll 90%</t>
  </si>
  <si>
    <t xml:space="preserve">Vertical Scroll Depth ≥ 90%</t>
  </si>
  <si>
    <t xml:space="preserve">Landing pages</t>
  </si>
  <si>
    <t xml:space="preserve">GA4 Scroll Depth</t>
  </si>
  <si>
    <t xml:space="preserve">User đọc gần hết = rất quan tâm</t>
  </si>
  <si>
    <t xml:space="preserve">Time on Page 30s</t>
  </si>
  <si>
    <t xml:space="preserve">Timer</t>
  </si>
  <si>
    <t xml:space="preserve">Timer: 30000ms, Limit: 1</t>
  </si>
  <si>
    <t xml:space="preserve">Meta ViewContent (backup trigger)</t>
  </si>
  <si>
    <t xml:space="preserve">Backup cho scroll trigger</t>
  </si>
  <si>
    <t xml:space="preserve">Video Start</t>
  </si>
  <si>
    <t xml:space="preserve">YouTube Video</t>
  </si>
  <si>
    <t xml:space="preserve">Status = Start</t>
  </si>
  <si>
    <t xml:space="preserve">GA4 Video Play</t>
  </si>
  <si>
    <t xml:space="preserve">Video 50%</t>
  </si>
  <si>
    <t xml:space="preserve">Status = Progress, Percent = 50</t>
  </si>
  <si>
    <t xml:space="preserve">Trang có video</t>
  </si>
  <si>
    <t xml:space="preserve">Xem 50% video = engaged</t>
  </si>
  <si>
    <t xml:space="preserve">CTA Click</t>
  </si>
  <si>
    <t xml:space="preserve">Click Classes contains "cta-button"
OR Click Text contains "ĐĂNG KÝ"</t>
  </si>
  <si>
    <t xml:space="preserve">GA4 CTA Click</t>
  </si>
  <si>
    <t xml:space="preserve">Track effectiveness từng CTA</t>
  </si>
  <si>
    <t xml:space="preserve">PDF Download</t>
  </si>
  <si>
    <t xml:space="preserve">Click URL ends with .pdf</t>
  </si>
  <si>
    <t xml:space="preserve">Trang chương trình</t>
  </si>
  <si>
    <t xml:space="preserve">GA4 PDF Download, Meta AddToCart</t>
  </si>
  <si>
    <t xml:space="preserve">Phone Click</t>
  </si>
  <si>
    <t xml:space="preserve">Click URL starts with "tel:"</t>
  </si>
  <si>
    <t xml:space="preserve">GA4 Event (phone_click)</t>
  </si>
  <si>
    <t xml:space="preserve">Track gọi điện từ mobile</t>
  </si>
  <si>
    <t xml:space="preserve">Zalo Click</t>
  </si>
  <si>
    <t xml:space="preserve">Click URL contains "zalo.me"</t>
  </si>
  <si>
    <t xml:space="preserve">GA4 Event (zalo_click)</t>
  </si>
  <si>
    <t xml:space="preserve">Track click vào Zalo link</t>
  </si>
  <si>
    <t xml:space="preserve">Page URL contains /xac-nhan-tour
OR Page URL matches regex /xac-nhan$/</t>
  </si>
  <si>
    <t xml:space="preserve">Meta Schedule, GA4 Tour Booked, Google Ads Conversion (Tour)</t>
  </si>
  <si>
    <t xml:space="preserve">High-value conversion</t>
  </si>
  <si>
    <t xml:space="preserve">Enrollment Page</t>
  </si>
  <si>
    <t xml:space="preserve">Page URL contains /dang-ky-thanh-cong
OR referrer contains "enrollment"</t>
  </si>
  <si>
    <t xml:space="preserve">Enrollment confirmation</t>
  </si>
  <si>
    <t xml:space="preserve">Meta Purchase, GA4 Purchase, Google Ads Conversion (Enroll)</t>
  </si>
  <si>
    <t xml:space="preserve">Ultimate conversion</t>
  </si>
  <si>
    <t xml:space="preserve">C. GTM VARIABLES — BIẾN SỬ DỤNG</t>
  </si>
  <si>
    <t xml:space="preserve">Variable Name</t>
  </si>
  <si>
    <t xml:space="preserve">Value / Config</t>
  </si>
  <si>
    <t xml:space="preserve">Sử dụng trong Tags</t>
  </si>
  <si>
    <t xml:space="preserve">GA4 Measurement ID</t>
  </si>
  <si>
    <t xml:space="preserve">Constant</t>
  </si>
  <si>
    <t xml:space="preserve">G-XXXXXXXXXX</t>
  </si>
  <si>
    <t xml:space="preserve">Thay bằng ID thật</t>
  </si>
  <si>
    <t xml:space="preserve">Meta Pixel ID</t>
  </si>
  <si>
    <t xml:space="preserve">XXXXXXXXXX</t>
  </si>
  <si>
    <t xml:space="preserve">Meta Pixel Base + all Meta tags</t>
  </si>
  <si>
    <t xml:space="preserve">TikTok Pixel ID</t>
  </si>
  <si>
    <t xml:space="preserve">TikTok Pixel Base + all TT tags</t>
  </si>
  <si>
    <t xml:space="preserve">Google Ads Conversion ID</t>
  </si>
  <si>
    <t xml:space="preserve">AW-XXXXXXXXX</t>
  </si>
  <si>
    <t xml:space="preserve">Google Ads Conversion tags</t>
  </si>
  <si>
    <t xml:space="preserve">DLV - campus</t>
  </si>
  <si>
    <t xml:space="preserve">Data Layer Variable</t>
  </si>
  <si>
    <t xml:space="preserve">dataLayer variable name: campus</t>
  </si>
  <si>
    <t xml:space="preserve">GA4 events, Meta events</t>
  </si>
  <si>
    <t xml:space="preserve">GHL form push campus to dataLayer</t>
  </si>
  <si>
    <t xml:space="preserve">DLV - grade_level</t>
  </si>
  <si>
    <t xml:space="preserve">dataLayer variable name: grade_level</t>
  </si>
  <si>
    <t xml:space="preserve">GA4, Meta</t>
  </si>
  <si>
    <t xml:space="preserve">Cấp học: mn, th, thcs, thpt</t>
  </si>
  <si>
    <t xml:space="preserve">DLV - form_name</t>
  </si>
  <si>
    <t xml:space="preserve">dataLayer variable name: form_name</t>
  </si>
  <si>
    <t xml:space="preserve">GA4 Form Submit</t>
  </si>
  <si>
    <t xml:space="preserve">Tên form GHL</t>
  </si>
  <si>
    <t xml:space="preserve">DLV - lead_value</t>
  </si>
  <si>
    <t xml:space="preserve">dataLayer variable name: lead_value</t>
  </si>
  <si>
    <t xml:space="preserve">Meta Lead (value parameter)</t>
  </si>
  <si>
    <t xml:space="preserve">Giá trị ước tính/lead</t>
  </si>
  <si>
    <t xml:space="preserve">URL - Page Path</t>
  </si>
  <si>
    <t xml:space="preserve">Component: Path</t>
  </si>
  <si>
    <t xml:space="preserve">Tất cả tags (parameter)</t>
  </si>
  <si>
    <t xml:space="preserve">Auto-captured</t>
  </si>
  <si>
    <t xml:space="preserve">URL - Query (utm_source)</t>
  </si>
  <si>
    <t xml:space="preserve">Component: Query, Key: utm_source</t>
  </si>
  <si>
    <t xml:space="preserve">UTM tracking</t>
  </si>
  <si>
    <t xml:space="preserve">URL - Query (utm_medium)</t>
  </si>
  <si>
    <t xml:space="preserve">Component: Query, Key: utm_medium</t>
  </si>
  <si>
    <t xml:space="preserve">URL - Query (utm_campaign)</t>
  </si>
  <si>
    <t xml:space="preserve">Component: Query, Key: utm_campaign</t>
  </si>
  <si>
    <t xml:space="preserve">Click Text</t>
  </si>
  <si>
    <t xml:space="preserve">Auto-Event Variable</t>
  </si>
  <si>
    <t xml:space="preserve">Variable Type: Click Text</t>
  </si>
  <si>
    <t xml:space="preserve">CTA Click trigger</t>
  </si>
  <si>
    <t xml:space="preserve">Click URL</t>
  </si>
  <si>
    <t xml:space="preserve">Variable Type: Click URL</t>
  </si>
  <si>
    <t xml:space="preserve">PDF Download, Phone, Zalo</t>
  </si>
  <si>
    <t xml:space="preserve">Scroll Depth Threshold</t>
  </si>
  <si>
    <t xml:space="preserve">Variable Type: Scroll Depth Threshold</t>
  </si>
  <si>
    <t xml:space="preserve">Scroll triggers</t>
  </si>
  <si>
    <t xml:space="preserve">JS - User Hash Email</t>
  </si>
  <si>
    <t xml:space="preserve">Custom JavaScript</t>
  </si>
  <si>
    <t xml:space="preserve">function(){var e=document.querySelector("input[type=email]"); return e?SHA256(e.value.toLowerCase()):undefined}</t>
  </si>
  <si>
    <t xml:space="preserve">Enhanced Conversions, CAPI</t>
  </si>
  <si>
    <t xml:space="preserve">Hash email cho privacy</t>
  </si>
  <si>
    <t xml:space="preserve">JS - User Hash Phone</t>
  </si>
  <si>
    <t xml:space="preserve">function(){var p=document.querySelector("input[type=tel]"); return p?SHA256(p.value):undefined}</t>
  </si>
  <si>
    <t xml:space="preserve">Hash SĐT</t>
  </si>
  <si>
    <t xml:space="preserve">Cookie - _fbc</t>
  </si>
  <si>
    <t xml:space="preserve">1st Party Cookie</t>
  </si>
  <si>
    <t xml:space="preserve">Cookie Name: _fbc</t>
  </si>
  <si>
    <t xml:space="preserve">Meta CAPI</t>
  </si>
  <si>
    <t xml:space="preserve">Facebook click ID</t>
  </si>
  <si>
    <t xml:space="preserve">Cookie - _fbp</t>
  </si>
  <si>
    <t xml:space="preserve">Cookie Name: _fbp</t>
  </si>
  <si>
    <t xml:space="preserve">Facebook browser ID</t>
  </si>
  <si>
    <t xml:space="preserve">D. REMARKETING AUDIENCES — CUSTOM AUDIENCES CHI TIẾT</t>
  </si>
  <si>
    <t xml:space="preserve">Nguyên tắc: Mỗi trang phễu tạo 1 audience. Khi remarketing → EXCLUDE audience trang đó, đưa sang trang tiếp theo.</t>
  </si>
  <si>
    <t xml:space="preserve">Định nghĩa (Definition)</t>
  </si>
  <si>
    <t xml:space="preserve">Kích thước ước tính</t>
  </si>
  <si>
    <t xml:space="preserve">Sử dụng để...</t>
  </si>
  <si>
    <t xml:space="preserve">Exclude khi...</t>
  </si>
  <si>
    <t xml:space="preserve">Ví dụ Ads sử dụng</t>
  </si>
  <si>
    <t xml:space="preserve">WEB_All_Visitors_180d</t>
  </si>
  <si>
    <t xml:space="preserve">Meta + Google</t>
  </si>
  <si>
    <t xml:space="preserve">Tất cả người truy cập truongvietanh.com + forms.* trong 180 ngày</t>
  </si>
  <si>
    <t xml:space="preserve">180 ngày</t>
  </si>
  <si>
    <t xml:space="preserve">Broad remarketing, Lookalike seed</t>
  </si>
  <si>
    <t xml:space="preserve">Awareness ads cho cold traffic</t>
  </si>
  <si>
    <t xml:space="preserve">WEB_All_Visitors_30d</t>
  </si>
  <si>
    <t xml:space="preserve">Visitors 30 ngày gần nhất</t>
  </si>
  <si>
    <t xml:space="preserve">Active interest remarketing</t>
  </si>
  <si>
    <t xml:space="preserve">Đã submit form</t>
  </si>
  <si>
    <t xml:space="preserve">Conversion-focused ads</t>
  </si>
  <si>
    <t xml:space="preserve">WEB_All_Visitors_7d</t>
  </si>
  <si>
    <t xml:space="preserve">Visitors 7 ngày gần nhất</t>
  </si>
  <si>
    <t xml:space="preserve">Hot remarketing</t>
  </si>
  <si>
    <t xml:space="preserve">Urgency ads</t>
  </si>
  <si>
    <t xml:space="preserve">FNL_MN_LP_Visitors</t>
  </si>
  <si>
    <t xml:space="preserve">URL = forms.truongvietanh.com/tuyen-sinh-mam-non (PageView fired)</t>
  </si>
  <si>
    <t xml:space="preserve">Retarget: đưa sang Trang 3 (Testimonial)</t>
  </si>
  <si>
    <t xml:space="preserve">FNL_MN_Form_Complete</t>
  </si>
  <si>
    <t xml:space="preserve">Ad: "PH nói gì về VA?"</t>
  </si>
  <si>
    <t xml:space="preserve">FNL_MN_LP_Engaged</t>
  </si>
  <si>
    <t xml:space="preserve">URL = forms.truongvietanh.com/tuyen-sinh-mam-non + ViewContent fired (scroll 50% OR &gt;30s)</t>
  </si>
  <si>
    <t xml:space="preserve">Retarget engaged visitors: Trang 4 (Chương trình)</t>
  </si>
  <si>
    <t xml:space="preserve">Ad: "So sánh chương trình MN"</t>
  </si>
  <si>
    <t xml:space="preserve">FNL_MN_Form_Started</t>
  </si>
  <si>
    <t xml:space="preserve">InitiateCheckout fired trên /tuyen-sinh-mam-non</t>
  </si>
  <si>
    <t xml:space="preserve">Retarget: nhắc hoàn thành form</t>
  </si>
  <si>
    <t xml:space="preserve">Ad: "Bạn gần hoàn thành — Chỉ 30s nữa!"</t>
  </si>
  <si>
    <t xml:space="preserve">Lead event fired trên /tuyen-sinh-mam-non</t>
  </si>
  <si>
    <t xml:space="preserve">60 ngày</t>
  </si>
  <si>
    <t xml:space="preserve">Exclude khỏi top-funnel ads
Retarget: đưa sang book tour</t>
  </si>
  <si>
    <t xml:space="preserve">FNL_MN_Tour_Booked</t>
  </si>
  <si>
    <t xml:space="preserve">Ad: "Đặt lịch tham quan ngay!"</t>
  </si>
  <si>
    <t xml:space="preserve">Schedule event fired trên /cam-on</t>
  </si>
  <si>
    <t xml:space="preserve">Exclude khỏi lead ads
Retarget no-show: đặt lại lịch</t>
  </si>
  <si>
    <t xml:space="preserve">FNL_MN_Tour_Attended</t>
  </si>
  <si>
    <t xml:space="preserve">Ad: reminder tour</t>
  </si>
  <si>
    <t xml:space="preserve">GHL tag "tour_completed" → uploaded Custom Audience</t>
  </si>
  <si>
    <t xml:space="preserve">90 ngày</t>
  </si>
  <si>
    <t xml:space="preserve">Retarget: push enrollment
Exclude khỏi awareness ads</t>
  </si>
  <si>
    <t xml:space="preserve">FNL_MN_Enrolled</t>
  </si>
  <si>
    <t xml:space="preserve">Ad: "Ưu đãi đặc biệt cho PH đã tham quan"</t>
  </si>
  <si>
    <t xml:space="preserve">Purchase event OR GHL tag "enrolled"</t>
  </si>
  <si>
    <t xml:space="preserve">EXCLUDE khỏi TẤT CẢ tuyển sinh ads
Seed cho Lookalike</t>
  </si>
  <si>
    <t xml:space="preserve">Không chạy ads. Dùng làm Lookalike seed</t>
  </si>
  <si>
    <t xml:space="preserve">FNL_MN_Testimonial</t>
  </si>
  <si>
    <t xml:space="preserve">URL = forms.truongvietanh.com/tuyen-sinh-mam-non/phu-huynh-noi-gi</t>
  </si>
  <si>
    <t xml:space="preserve">Retarget: đưa sang Trang 4 (Chương trình)</t>
  </si>
  <si>
    <t xml:space="preserve">Ad: "Chương trình chi tiết"</t>
  </si>
  <si>
    <t xml:space="preserve">FNL_MN_Program</t>
  </si>
  <si>
    <t xml:space="preserve">URL = forms.truongvietanh.com/tuyen-sinh-mam-non/chuong-trinh</t>
  </si>
  <si>
    <t xml:space="preserve">600</t>
  </si>
  <si>
    <t xml:space="preserve">Retarget: đưa sang Trang 5 (Học phí)</t>
  </si>
  <si>
    <t xml:space="preserve">Ad: "Học phí + Ưu đãi"</t>
  </si>
  <si>
    <t xml:space="preserve">FNL_MN_Tuition</t>
  </si>
  <si>
    <t xml:space="preserve">URL = forms.truongvietanh.com/tuyen-sinh-mam-non/hoc-phi</t>
  </si>
  <si>
    <t xml:space="preserve">Retarget: urgency push enrollment</t>
  </si>
  <si>
    <t xml:space="preserve">Ad: "Chỉ còn X ngày ưu đãi!"</t>
  </si>
  <si>
    <t xml:space="preserve">FNL_MN_PDF_Download</t>
  </si>
  <si>
    <t xml:space="preserve">AddToCart event trên /chuong-trinh</t>
  </si>
  <si>
    <t xml:space="preserve">Retarget: nurture → form submission</t>
  </si>
  <si>
    <t xml:space="preserve">Ad: "Bạn đã tải cẩm nang — Đặt lịch tư vấn"</t>
  </si>
  <si>
    <t xml:space="preserve">FNL_TH_LP_Visitors</t>
  </si>
  <si>
    <t xml:space="preserve">URL = forms.truongvietanh.com/tuyen-sinh-tieu-hoc</t>
  </si>
  <si>
    <t xml:space="preserve">Retarget sang Testimonial TH</t>
  </si>
  <si>
    <t xml:space="preserve">FNL_TH_Form_Complete</t>
  </si>
  <si>
    <t xml:space="preserve">Ad: "PH Tiểu Học nói gì?"</t>
  </si>
  <si>
    <t xml:space="preserve">FNL_THCS_LP_Visitors</t>
  </si>
  <si>
    <t xml:space="preserve">URL = forms.truongvietanh.com/tuyen-sinh-thcs</t>
  </si>
  <si>
    <t xml:space="preserve">Retarget sang Testimonial THCS</t>
  </si>
  <si>
    <t xml:space="preserve">FNL_THCS_Form_Complete</t>
  </si>
  <si>
    <t xml:space="preserve">Ad: "PH Cấp 2 nói gì?"</t>
  </si>
  <si>
    <t xml:space="preserve">FNL_THPT_LP_Visitors</t>
  </si>
  <si>
    <t xml:space="preserve">URL = forms.truongvietanh.com/tuyen-sinh-thpt</t>
  </si>
  <si>
    <t xml:space="preserve">Retarget sang Testimonial THPT</t>
  </si>
  <si>
    <t xml:space="preserve">FNL_THPT_Form_Complete</t>
  </si>
  <si>
    <t xml:space="preserve">Ad: "PH Cấp 3 nói gì?"</t>
  </si>
  <si>
    <t xml:space="preserve">EVT_OpenDay_Visitors</t>
  </si>
  <si>
    <t xml:space="preserve">URL contains /open-day</t>
  </si>
  <si>
    <t xml:space="preserve">Retarget: push registration</t>
  </si>
  <si>
    <t xml:space="preserve">EVT_OpenDay_Registered</t>
  </si>
  <si>
    <t xml:space="preserve">Ad: "Đăng ký Open Day!"</t>
  </si>
  <si>
    <t xml:space="preserve">Lead event trên /open-day/*</t>
  </si>
  <si>
    <t xml:space="preserve">Reminders + post-event follow-up</t>
  </si>
  <si>
    <t xml:space="preserve">EVT_OpenDay_Attended</t>
  </si>
  <si>
    <t xml:space="preserve">Ad: reminder -3d, -1d</t>
  </si>
  <si>
    <t xml:space="preserve">EVT_Webinar_Registered</t>
  </si>
  <si>
    <t xml:space="preserve">Lead event trên /webinar-*</t>
  </si>
  <si>
    <t xml:space="preserve">Reminders + replay push</t>
  </si>
  <si>
    <t xml:space="preserve">Ad: "Xem replay webinar"</t>
  </si>
  <si>
    <t xml:space="preserve">Lookalike 1% based on FNL_*_Enrolled (all grades)</t>
  </si>
  <si>
    <t xml:space="preserve">Auto (Meta)</t>
  </si>
  <si>
    <t xml:space="preserve">Ongoing</t>
  </si>
  <si>
    <t xml:space="preserve">Top-of-funnel cold traffic - BEST audience</t>
  </si>
  <si>
    <t xml:space="preserve">All remarketing audiences</t>
  </si>
  <si>
    <t xml:space="preserve">Awareness + Lead Gen campaigns</t>
  </si>
  <si>
    <t xml:space="preserve">LAL_Tour_Booked_1%</t>
  </si>
  <si>
    <t xml:space="preserve">Lookalike 1% based on FNL_*_Tour_Booked</t>
  </si>
  <si>
    <t xml:space="preserve">Mid-funnel cold traffic</t>
  </si>
  <si>
    <t xml:space="preserve">Lead Gen campaigns</t>
  </si>
  <si>
    <t xml:space="preserve">LAL_Form_Complete_2%</t>
  </si>
  <si>
    <t xml:space="preserve">Lookalike 2% based on all Form_Complete audiences</t>
  </si>
  <si>
    <t xml:space="preserve">Broader cold audience</t>
  </si>
  <si>
    <t xml:space="preserve">All remarketing</t>
  </si>
  <si>
    <t xml:space="preserve">Scale campaigns T6-T7</t>
  </si>
  <si>
    <t xml:space="preserve">GADS_All_Converters</t>
  </si>
  <si>
    <t xml:space="preserve">Google Ads conversion tracking: all form submits + tour bookings</t>
  </si>
  <si>
    <t xml:space="preserve">Exclude từ Search campaigns (đã convert)</t>
  </si>
  <si>
    <t xml:space="preserve">Smart Bidding optimization</t>
  </si>
  <si>
    <t xml:space="preserve">GADS_Similar_Converters</t>
  </si>
  <si>
    <t xml:space="preserve">Similar audience to converters</t>
  </si>
  <si>
    <t xml:space="preserve">Expand reach cho Search + Display</t>
  </si>
  <si>
    <t xml:space="preserve">Display remarketing</t>
  </si>
  <si>
    <t xml:space="preserve">E. REMARKETING FLOW — TỪNG BƯỚC KHI KHÁCH HÀNG DI CHUYỂN QUA PHỄU</t>
  </si>
  <si>
    <t xml:space="preserve">⚠️ NGUYÊN TẮC VÀNG: Khách hàng KHÔNG BAO GIỜ thấy lại cùng một trang. Luôn đưa sang trang TIẾP THEO.</t>
  </si>
  <si>
    <t xml:space="preserve">Audience IN</t>
  </si>
  <si>
    <t xml:space="preserve">Audience EXCLUDE</t>
  </si>
  <si>
    <t xml:space="preserve">Ads Creative</t>
  </si>
  <si>
    <t xml:space="preserve">Landing Page đích (KHÁC trang cũ)</t>
  </si>
  <si>
    <t xml:space="preserve">Thời gian chờ</t>
  </si>
  <si>
    <t xml:space="preserve">Frequency cap</t>
  </si>
  <si>
    <t xml:space="preserve">Lần đầu vào Trang 1 LP → KHÔNG submit form → Rời đi</t>
  </si>
  <si>
    <t xml:space="preserve">FNL_MN_Form_Complete, FNL_MN_Testimonial</t>
  </si>
  <si>
    <t xml:space="preserve">Video: "Hơn 5,000 PH tin tưởng — Xem câu chuyện" (30s)
Carousel: 5 testimonial quotes</t>
  </si>
  <si>
    <t xml:space="preserve">→ TRANG 3: forms.truongvietanh.com/tuyen-sinh-mam-non/phu-huynh-noi-gi</t>
  </si>
  <si>
    <t xml:space="preserve">24 giờ sau visit</t>
  </si>
  <si>
    <t xml:space="preserve">200K VND</t>
  </si>
  <si>
    <t xml:space="preserve">2 lần/ngày/người</t>
  </si>
  <si>
    <t xml:space="preserve">Meta, TikTok</t>
  </si>
  <si>
    <t xml:space="preserve">Đã xem Trang 3 (Testimonial) → Tin tưởng hơn → KHÔNG submit</t>
  </si>
  <si>
    <t xml:space="preserve">FNL_MN_Form_Complete, FNL_MN_Program</t>
  </si>
  <si>
    <t xml:space="preserve">Infographic: "So sánh 5 chương trình MN: Montessori, STEM, Song ngữ..."
Carousel: So sánh bảng</t>
  </si>
  <si>
    <t xml:space="preserve">→ TRANG 4: forms.truongvietanh.com/tuyen-sinh-mam-non/chuong-trinh</t>
  </si>
  <si>
    <t xml:space="preserve">150K VND</t>
  </si>
  <si>
    <t xml:space="preserve">2 lần/ngày</t>
  </si>
  <si>
    <t xml:space="preserve">Đã xem Trang 4 (Chương trình) → Đã nghiên cứu → KHÔNG submit</t>
  </si>
  <si>
    <t xml:space="preserve">FNL_MN_Form_Complete, FNL_MN_Tuition</t>
  </si>
  <si>
    <t xml:space="preserve">Dynamic: "Học phí MN 2026 từ [X]M/tháng — Ưu đãi giảm 10%"
Countdown timer image</t>
  </si>
  <si>
    <t xml:space="preserve">→ TRANG 5: forms.truongvietanh.com/tuyen-sinh-mam-non/hoc-phi</t>
  </si>
  <si>
    <t xml:space="preserve">3 lần/ngày</t>
  </si>
  <si>
    <t xml:space="preserve">Đã xem Trang 5 (Học phí) → Quan tâm giá → VẪN KHÔNG submit</t>
  </si>
  <si>
    <t xml:space="preserve">Urgency: "Chỉ còn [X] ngày ưu đãi — Đăng ký ngay!"
Video: Tour nhanh 15s + CTA</t>
  </si>
  <si>
    <t xml:space="preserve">→ TRANG 1 VARIANT B: forms.truongvietanh.com/tuyen-sinh-mam-non?v=b
(Layout khác, headline khác, social proof nhiều hơn)</t>
  </si>
  <si>
    <t xml:space="preserve">300K VND</t>
  </si>
  <si>
    <t xml:space="preserve">Đã submit form Trang 1 → Lead captured → CHƯA book tour</t>
  </si>
  <si>
    <t xml:space="preserve">Personalized: "Chào [Tên PH], đặt lịch tham quan chỉ mất 30 giây"
Calendar preview image</t>
  </si>
  <si>
    <t xml:space="preserve">→ TRANG 2: forms.truongvietanh.com/tuyen-sinh-mam-non/cam-on#calendar</t>
  </si>
  <si>
    <t xml:space="preserve">1 lần/ngày</t>
  </si>
  <si>
    <t xml:space="preserve">Đã book tour → Tour date sắp đến</t>
  </si>
  <si>
    <t xml:space="preserve">Reminder: "Hẹn gặp bạn ngày [Date]! Checklist chuẩn bị tham quan"
+ Map directions</t>
  </si>
  <si>
    <t xml:space="preserve">→ KHÔNG đưa sang LP mới. Chỉ hiển thị reminder ad.</t>
  </si>
  <si>
    <t xml:space="preserve">-3 ngày, -1 ngày, -2 giờ</t>
  </si>
  <si>
    <t xml:space="preserve">50K VND</t>
  </si>
  <si>
    <t xml:space="preserve">Meta, Zalo SMS</t>
  </si>
  <si>
    <t xml:space="preserve">NO-SHOW: Đã book tour nhưng không đến</t>
  </si>
  <si>
    <t xml:space="preserve">FNL_MN_Tour_Booked
+ GHL tag "no_show"</t>
  </si>
  <si>
    <t xml:space="preserve">Friendly: "Rất tiếc bạn chưa đến — Đặt lại lịch nhanh chỉ 30s"
New incentive: tặng quà khi đến</t>
  </si>
  <si>
    <t xml:space="preserve">→ TRANG 2: forms.truongvietanh.com/tuyen-sinh-mam-non/cam-on (đặt lại lịch)</t>
  </si>
  <si>
    <t xml:space="preserve">24 giờ sau tour date</t>
  </si>
  <si>
    <t xml:space="preserve">100K VND</t>
  </si>
  <si>
    <t xml:space="preserve">Đã tham quan → Ấn tượng tốt → CHƯA đăng ký enroll</t>
  </si>
  <si>
    <t xml:space="preserve">Social proof: "200+ PH đã đăng ký sau tham quan"
Urgency: "Giữ chỗ cho bé — Chỉ còn X chỗ"
Testimonial từ PH mới enroll</t>
  </si>
  <si>
    <t xml:space="preserve">→ TRANG 5: forms.truongvietanh.com/tuyen-sinh-mam-non/hoc-phi?offer=post-tour
(Ưu đãi đặc biệt cho PH đã tour)</t>
  </si>
  <si>
    <t xml:space="preserve">3 ngày sau tour</t>
  </si>
  <si>
    <t xml:space="preserve">COLD LEAD: 30+ ngày không hoạt động (bất kỳ stage nào)</t>
  </si>
  <si>
    <t xml:space="preserve">All FNL_MN_* audiences
+ NOT active last 14 days</t>
  </si>
  <si>
    <t xml:space="preserve">FNL_MN_Enrolled
FNL_MN_Active_14d</t>
  </si>
  <si>
    <t xml:space="preserve">Win-back: "Cơ hội cuối — Ưu đãi đặc biệt chỉ dành cho bạn"
Exclusive discount code</t>
  </si>
  <si>
    <t xml:space="preserve">→ TRANG ĐẶC BIỆT: forms.truongvietanh.com/tuyen-sinh-mam-non/hoc-phi?offer=winback
(Trang riêng với ưu đãi cao hơn bình thường)</t>
  </si>
  <si>
    <t xml:space="preserve">1 lần/2 ngày</t>
  </si>
  <si>
    <t xml:space="preserve">Meta, Email</t>
  </si>
  <si>
    <t xml:space="preserve">ENROLLED: Đã đăng ký thành công</t>
  </si>
  <si>
    <t xml:space="preserve">N/A — EXCLUDE khỏi TẤT CẢ tuyển sinh ads</t>
  </si>
  <si>
    <t xml:space="preserve">❌ KHÔNG chạy ads tuyển sinh nữa
✅ Chỉ chạy: Referral program, Welcome content, Retention</t>
  </si>
  <si>
    <t xml:space="preserve">→ forms.truongvietanh.com/gioi-thieu-ban (Referral program)
Hoặc không chạy ads</t>
  </si>
  <si>
    <t xml:space="preserve">Ngay khi enrolled</t>
  </si>
  <si>
    <t xml:space="preserve">0 (hoặc referral budget)</t>
  </si>
  <si>
    <t xml:space="preserve">Email, Zalo only</t>
  </si>
  <si>
    <t xml:space="preserve">F. CONVERSION API (CAPI) — SERVER-SIDE TRACKING SETUP</t>
  </si>
  <si>
    <t xml:space="preserve">Technical Details</t>
  </si>
  <si>
    <t xml:space="preserve">Testing</t>
  </si>
  <si>
    <t xml:space="preserve">Tạo System User trong Meta Business Manager</t>
  </si>
  <si>
    <t xml:space="preserve">Business Manager → System Users → Generate Token (pages_read_engagement, ads_management, business_management)</t>
  </si>
  <si>
    <t xml:space="preserve">Test API call: GET /me</t>
  </si>
  <si>
    <t xml:space="preserve">Token không hết hạn</t>
  </si>
  <si>
    <t xml:space="preserve">Lấy Pixel ID + Access Token</t>
  </si>
  <si>
    <t xml:space="preserve">Events Manager → Pixel → Settings → Conversions API → Generate Access Token</t>
  </si>
  <si>
    <t xml:space="preserve">Test: Send test event qua Graph API Explorer</t>
  </si>
  <si>
    <t xml:space="preserve">Setup GHL → CAPI Webhook</t>
  </si>
  <si>
    <t xml:space="preserve">GHL Workflow: Form submit → HTTP POST → https://graph.facebook.com/v18.0/{pixel_id}/events
Body: {data: [{event_name: "Lead", event_time, user_data: {em: SHA256(email), ph: SHA256(phone), fbc, fbp}, custom_data: {content_name, currency: "VND"}, event_source_url, action_source: "website"}], access_token}</t>
  </si>
  <si>
    <t xml:space="preserve">GHL → Test workflow → Check Events Manager → Test Events tab</t>
  </si>
  <si>
    <t xml:space="preserve">SHA256 hash email + phone</t>
  </si>
  <si>
    <t xml:space="preserve">Setup deduplication</t>
  </si>
  <si>
    <t xml:space="preserve">Event ID: generate unique ID trên cả browser pixel VÀ server CAPI
Meta tự deduplicate nếu event_id + event_name match</t>
  </si>
  <si>
    <t xml:space="preserve">Fire cùng event → check Events Manager chỉ count 1</t>
  </si>
  <si>
    <t xml:space="preserve">CRITICAL: tránh double-counting</t>
  </si>
  <si>
    <t xml:space="preserve">Verify Event Match Quality</t>
  </si>
  <si>
    <t xml:space="preserve">Events Manager → Diagnostics → Event Match Quality score
Target: ≥7.0/10. Cải thiện bằng gửi thêm: external_id, client_ip_address, client_user_agent</t>
  </si>
  <si>
    <t xml:space="preserve">Check score sau 48h chạy</t>
  </si>
  <si>
    <t xml:space="preserve">Score càng cao → ads optimize tốt hơn</t>
  </si>
  <si>
    <t xml:space="preserve">Setup CAPI cho Purchase (Enroll)</t>
  </si>
  <si>
    <t xml:space="preserve">GHL Workflow: Pipeline stage = "Enrolled" → HTTP POST CAPI event "Purchase"
value = học phí năm (VND), currency = VND</t>
  </si>
  <si>
    <t xml:space="preserve">Test với dummy enrollment → Check Events Manager</t>
  </si>
  <si>
    <t xml:space="preserve">Value-based optimization</t>
  </si>
  <si>
    <t xml:space="preserve">Google Enhanced Conversions</t>
  </si>
  <si>
    <t xml:space="preserve">Google</t>
  </si>
  <si>
    <t xml:space="preserve">GTM → Google Ads Conversion tag → Enhanced Conversions checkbox ON
Provide: email (hashed), phone (hashed) from form</t>
  </si>
  <si>
    <t xml:space="preserve">Test: Submit form → Check Google Ads → Conversions → Diagnostics</t>
  </si>
  <si>
    <t xml:space="preserve">Tương tự CAPI nhưng cho Google</t>
  </si>
  <si>
    <t xml:space="preserve">TikTok Events API</t>
  </si>
  <si>
    <t xml:space="preserve">TikTok Events API → POST https://business-api.tiktok.com/open_api/v1.3/pixel/track/
Similar setup: event, user data (hashed), properties</t>
  </si>
  <si>
    <t xml:space="preserve">TikTok Events Manager → Test Events</t>
  </si>
  <si>
    <t xml:space="preserve">Ít quan trọng hơn Meta CAPI</t>
  </si>
  <si>
    <t xml:space="preserve">G. DATALAYER PUSH — CODE CÀI TRÊN GHL LANDING PAGES</t>
  </si>
  <si>
    <t xml:space="preserve">Code cài đặt</t>
  </si>
  <si>
    <t xml:space="preserve">Event pushed</t>
  </si>
  <si>
    <t xml:space="preserve">Tất cả Landing Pages (Header)</t>
  </si>
  <si>
    <t xml:space="preserve">&lt;script&gt;window.dataLayer=window.dataLayer||[];dataLayer.push({'page_type':'landing_page','campus':'{{campus}}','grade_level':'{{grade}}'});&lt;/script&gt;</t>
  </si>
  <si>
    <t xml:space="preserve">page_type, campus, grade_level</t>
  </si>
  <si>
    <t xml:space="preserve">Identify trang + cơ sở cho GTM</t>
  </si>
  <si>
    <t xml:space="preserve">Form — khi user focus vào field đầu tiên</t>
  </si>
  <si>
    <t xml:space="preserve">document.querySelector("input[name=first_name]").addEventListener("focus",function(){dataLayer.push({'event':'form_start','form_name':'{{form_name}}'})});</t>
  </si>
  <si>
    <t xml:space="preserve">form_start</t>
  </si>
  <si>
    <t xml:space="preserve">Trigger Meta InitiateCheckout</t>
  </si>
  <si>
    <t xml:space="preserve">Form — khi submit thành công</t>
  </si>
  <si>
    <t xml:space="preserve">GHL form onSuccess callback:
dataLayer.push({'event':'ghl_form_submit','form_name':'{{form_name}}','campus':'{{campus}}','grade':'{{grade}}','lead_value':'500000'});</t>
  </si>
  <si>
    <t xml:space="preserve">ghl_form_submit</t>
  </si>
  <si>
    <t xml:space="preserve">Trigger tất cả Lead events (GA4, Meta, TikTok, Zalo, Google)</t>
  </si>
  <si>
    <t xml:space="preserve">Thank You page (Tour booked)</t>
  </si>
  <si>
    <t xml:space="preserve">dataLayer.push({'event':'tour_booked','campus':'{{campus}}','tour_date':'{{date}}'});</t>
  </si>
  <si>
    <t xml:space="preserve">Trigger Schedule/Purchase events</t>
  </si>
  <si>
    <t xml:space="preserve">PDF Download button</t>
  </si>
  <si>
    <t xml:space="preserve">document.querySelector(".pdf-download").addEventListener("click",function(){dataLayer.push({'event':'pdf_download','file_name':'cam-nang-chon-truong.pdf'})});</t>
  </si>
  <si>
    <t xml:space="preserve">pdf_download</t>
  </si>
  <si>
    <t xml:space="preserve">Trigger AddToCart event</t>
  </si>
  <si>
    <t xml:space="preserve">Video — YouTube embed tracking</t>
  </si>
  <si>
    <t xml:space="preserve">&lt;script&gt;var tag=document.createElement("script");tag.src="https://www.youtube.com/iframe_api";&lt;/script&gt;
// onPlayerStateChange → dataLayer.push video events</t>
  </si>
  <si>
    <t xml:space="preserve">video_start, video_progress, video_complete</t>
  </si>
  <si>
    <t xml:space="preserve">GA4 video tracking</t>
  </si>
  <si>
    <t xml:space="preserve">H. REVIEW TOÀN BỘ KÊNH TRUYỀN THÔNG — CHECKLIST KIỂM TRA</t>
  </si>
  <si>
    <t xml:space="preserve">Tracking cài đặt</t>
  </si>
  <si>
    <t xml:space="preserve">Pixel/Tag</t>
  </si>
  <si>
    <t xml:space="preserve">CAPI/Server</t>
  </si>
  <si>
    <t xml:space="preserve">Custom Audiences</t>
  </si>
  <si>
    <t xml:space="preserve">Remarketing setup</t>
  </si>
  <si>
    <t xml:space="preserve">Phù hợp?</t>
  </si>
  <si>
    <t xml:space="preserve">Cần điều chỉnh</t>
  </si>
  <si>
    <t xml:space="preserve">Meta Ads (FB+IG)</t>
  </si>
  <si>
    <t xml:space="preserve">GA4 + Meta Pixel + CAPI</t>
  </si>
  <si>
    <t xml:space="preserve">✅ Meta Pixel (browser)
✅ 6 events configured</t>
  </si>
  <si>
    <t xml:space="preserve">✅ CAPI qua GHL webhook
✅ Deduplication</t>
  </si>
  <si>
    <t xml:space="preserve">✅ 25+ Custom Audiences
✅ 3 Lookalikes</t>
  </si>
  <si>
    <t xml:space="preserve">✅ 10-step remarketing flow
✅ Exclude logic per stage</t>
  </si>
  <si>
    <t xml:space="preserve">✅ 7-day click, 1-day view</t>
  </si>
  <si>
    <t xml:space="preserve">✅ ĐẦY ĐỦ</t>
  </si>
  <si>
    <t xml:space="preserve">Cần test CAPI event match quality
Cần verify deduplication hoạt động</t>
  </si>
  <si>
    <t xml:space="preserve">GA4 + Google Ads tag + Enhanced Conv.</t>
  </si>
  <si>
    <t xml:space="preserve">✅ Google Ads Conversion
✅ 2 conversions (Lead, Tour)</t>
  </si>
  <si>
    <t xml:space="preserve">✅ Enhanced Conversions
✅ GCLID tracking</t>
  </si>
  <si>
    <t xml:space="preserve">✅ All Converters
✅ Similar Audiences</t>
  </si>
  <si>
    <t xml:space="preserve">✅ RLSA (Search)
✅ Display remarketing</t>
  </si>
  <si>
    <t xml:space="preserve">✅ Last-click + Data-driven</t>
  </si>
  <si>
    <t xml:space="preserve">Thêm Offline Conversion Import (enroll data upload)
Setup Consent Mode v2</t>
  </si>
  <si>
    <t xml:space="preserve">GA4 + TikTok Pixel + Events API</t>
  </si>
  <si>
    <t xml:space="preserve">✅ TikTok Pixel
✅ 2 events</t>
  </si>
  <si>
    <t xml:space="preserve">⚠️ Events API chưa setup
Cần thêm</t>
  </si>
  <si>
    <t xml:space="preserve">⚠️ Chưa tạo Custom Audiences</t>
  </si>
  <si>
    <t xml:space="preserve">⚠️ Chưa setup remarketing
Cần tạo audiences + retarget flow</t>
  </si>
  <si>
    <t xml:space="preserve">✅ Click-based</t>
  </si>
  <si>
    <t xml:space="preserve">⚠️ THIẾU</t>
  </si>
  <si>
    <t xml:space="preserve">1. Setup TikTok Events API
2. Tạo Custom Audiences
3. Setup remarketing ads
4. Add THCS/THPT targeting</t>
  </si>
  <si>
    <t xml:space="preserve">GA4 + Zalo Pixel</t>
  </si>
  <si>
    <t xml:space="preserve">✅ Zalo Pixel
✅ Conversion tracking</t>
  </si>
  <si>
    <t xml:space="preserve">❌ Không có CAPI
(Zalo chưa support)</t>
  </si>
  <si>
    <t xml:space="preserve">⚠️ Hạn chế
Zalo chỉ có basic retargeting</t>
  </si>
  <si>
    <t xml:space="preserve">⚠️ Basic: visitors → retarget
Không có multi-step flow</t>
  </si>
  <si>
    <t xml:space="preserve">✅ Last-click</t>
  </si>
  <si>
    <t xml:space="preserve">⚠️ HẠN CHẾ</t>
  </si>
  <si>
    <t xml:space="preserve">Zalo Ads hạn chế về remarketing
→ BÙ: Dùng Zalo OA broadcast + GHL workflow thay thế</t>
  </si>
  <si>
    <t xml:space="preserve">GA4 + Google Ads</t>
  </si>
  <si>
    <t xml:space="preserve">✅ Qua Google Ads tag</t>
  </si>
  <si>
    <t xml:space="preserve">✅ Qua Enhanced Conv.</t>
  </si>
  <si>
    <t xml:space="preserve">✅ Video viewers audience
✅ Channel subscribers</t>
  </si>
  <si>
    <t xml:space="preserve">✅ Video viewer → Display/Search remarketing</t>
  </si>
  <si>
    <t xml:space="preserve">✅ Engaged view</t>
  </si>
  <si>
    <t xml:space="preserve">✅ OK</t>
  </si>
  <si>
    <t xml:space="preserve">Thêm Video Action Campaigns
Target PH xem video &gt;75% → Lead form</t>
  </si>
  <si>
    <t xml:space="preserve">Zalo OA (Organic)</t>
  </si>
  <si>
    <t xml:space="preserve">GHL tracking (UTM links)</t>
  </si>
  <si>
    <t xml:space="preserve">❌ Không có pixel
(organic channel)</t>
  </si>
  <si>
    <t xml:space="preserve">❌ N/A</t>
  </si>
  <si>
    <t xml:space="preserve">❌ N/A (organic)</t>
  </si>
  <si>
    <t xml:space="preserve">✅ GHL workflow: Zalo follower → Nurture sequence
✅ Pancake CRM track conversations</t>
  </si>
  <si>
    <t xml:space="preserve">UTM-based</t>
  </si>
  <si>
    <t xml:space="preserve">Thêm UTM link cho mọi article + broadcast
Setup UTM naming convention cho Zalo</t>
  </si>
  <si>
    <t xml:space="preserve">Facebook Organic</t>
  </si>
  <si>
    <t xml:space="preserve">UTM links + Meta Pixel (khi click vào website)</t>
  </si>
  <si>
    <t xml:space="preserve">✅ Meta Pixel (khi visit web)</t>
  </si>
  <si>
    <t xml:space="preserve">⚠️ Page engagement audience
Nhưng không track per-post</t>
  </si>
  <si>
    <t xml:space="preserve">✅ Page engagers → retarget
✅ Video viewers → retarget</t>
  </si>
  <si>
    <t xml:space="preserve">Thêm UTM đầy đủ cho MỌII link từ Page
Setup FB Lead Ads integration trực tiếp với GHL</t>
  </si>
  <si>
    <t xml:space="preserve">GHL tracking (built-in)</t>
  </si>
  <si>
    <t xml:space="preserve">❌ N/A (email)</t>
  </si>
  <si>
    <t xml:space="preserve">✅ GHL: email segment = Custom Audience
Upload to Meta monthly</t>
  </si>
  <si>
    <t xml:space="preserve">✅ GHL workflow: không open → resend
Đã click → next step</t>
  </si>
  <si>
    <t xml:space="preserve">GHL built-in</t>
  </si>
  <si>
    <t xml:space="preserve">Upload email list lên Meta làm Custom Audience mỗi tháng
Setup domain authentication (DKIM, SPF, DMARC)</t>
  </si>
  <si>
    <t xml:space="preserve">GHL tracking</t>
  </si>
  <si>
    <t xml:space="preserve">✅ GHL workflow: SMS sent → track reply/click</t>
  </si>
  <si>
    <t xml:space="preserve">Thêm shortened URL tracking (bit.ly hoặc GHL link)
Track SMS → website visit → conversion</t>
  </si>
  <si>
    <t xml:space="preserve">GHL form + UTM</t>
  </si>
  <si>
    <t xml:space="preserve">✅ Meta Pixel (khi visit referral page)</t>
  </si>
  <si>
    <t xml:space="preserve">✅ CAPI (form submit)</t>
  </si>
  <si>
    <t xml:space="preserve">❌ Chưa tạo</t>
  </si>
  <si>
    <t xml:space="preserve">❌ Chưa setup</t>
  </si>
  <si>
    <t xml:space="preserve">✅ UTM + coupon code</t>
  </si>
  <si>
    <t xml:space="preserve">1. Tạo referral audience
2. Thank referrer ads
3. Track referral → enrollment chain</t>
  </si>
  <si>
    <t xml:space="preserve">Website SEO</t>
  </si>
  <si>
    <t xml:space="preserve">GA4 full</t>
  </si>
  <si>
    <t xml:space="preserve">✅ GA4 tất cả trang</t>
  </si>
  <si>
    <t xml:space="preserve">✅ Website visitors → Meta, Google audiences</t>
  </si>
  <si>
    <t xml:space="preserve">✅ Qua Meta + Google remarketing</t>
  </si>
  <si>
    <t xml:space="preserve">✅ GA4 full</t>
  </si>
  <si>
    <t xml:space="preserve">Thêm Search Console integration
Setup GA4 Explorations cho funnel analysis</t>
  </si>
  <si>
    <t xml:space="preserve">Influencer</t>
  </si>
  <si>
    <t xml:space="preserve">UTM links + coupon codes</t>
  </si>
  <si>
    <t xml:space="preserve">✅ Meta Pixel (khi visit)</t>
  </si>
  <si>
    <t xml:space="preserve">⚠️ Influencer page viewers</t>
  </si>
  <si>
    <t xml:space="preserve">UTM + Coupon</t>
  </si>
  <si>
    <t xml:space="preserve">Mỗi influencer cần: unique UTM, unique coupon code, unique landing page variant
Track: visit → form → tour → enroll per influencer</t>
  </si>
  <si>
    <t xml:space="preserve">I. UTM NAMING CONVENTION — QUY TẮC ĐẶT TÊN UTM</t>
  </si>
  <si>
    <t xml:space="preserve">Parameter</t>
  </si>
  <si>
    <t xml:space="preserve">Giải thích</t>
  </si>
  <si>
    <t xml:space="preserve">{platform}</t>
  </si>
  <si>
    <t xml:space="preserve">facebook, google, tiktok, zalo, email, sms, referral, organic</t>
  </si>
  <si>
    <t xml:space="preserve">Nền tảng traffic đến</t>
  </si>
  <si>
    <t xml:space="preserve">{channel_type}</t>
  </si>
  <si>
    <t xml:space="preserve">cpc, cpm, social, email, sms, referral, organic, display, video</t>
  </si>
  <si>
    <t xml:space="preserve">Loại kênh</t>
  </si>
  <si>
    <t xml:space="preserve">{grade}_{campaign}_{month}</t>
  </si>
  <si>
    <t xml:space="preserve">mn_tuyensinh_t4, th_openday_t6, thcs_webinar_t5, all_hesoidong_t6</t>
  </si>
  <si>
    <t xml:space="preserve">Chiến dịch cụ thể</t>
  </si>
  <si>
    <t xml:space="preserve">utm_content</t>
  </si>
  <si>
    <t xml:space="preserve">{ad_format}_{variant}</t>
  </si>
  <si>
    <t xml:space="preserve">carousel_v1, video_30s_v2, single_image_a, lead_form_b</t>
  </si>
  <si>
    <t xml:space="preserve">Phân biệt ad creative</t>
  </si>
  <si>
    <t xml:space="preserve">utm_term</t>
  </si>
  <si>
    <t xml:space="preserve">{keyword_or_audience}</t>
  </si>
  <si>
    <t xml:space="preserve">truong_mam_non_go_vap, lal_enrolled_1pct, interest_parents_25_35</t>
  </si>
  <si>
    <t xml:space="preserve">Keyword (Google) hoặc Audience (Meta)</t>
  </si>
  <si>
    <t xml:space="preserve">Ví dụ đầy đủ</t>
  </si>
  <si>
    <t xml:space="preserve">https://forms.truongvietanh.com/tuyen-sinh-mam-non?utm_source=facebook&amp;utm_medium=cpc&amp;utm_campaign=mn_tuyensinh_t4&amp;utm_content=carousel_v1&amp;utm_term=lal_enrolled_1pct</t>
  </si>
  <si>
    <t xml:space="preserve">URL hoàn chỉnh với UTM</t>
  </si>
  <si>
    <t xml:space="preserve">KẾ HOẠCH VIDEO MARKETING CHI TIẾT – TUYỂN SINH VIỆT ANH 2026</t>
  </si>
  <si>
    <t xml:space="preserve">Kho sẵn: 100 video testimonial | Quay mới: 5-8 video/tháng | Kênh: TikTok, YouTube, Meta Reels/Stories, Zalo, Landing Pages</t>
  </si>
  <si>
    <t xml:space="preserve">A. KHO VIDEO HIỆN CÓ – PHÂN LOẠI &amp; SỬ DỤNG</t>
  </si>
  <si>
    <t xml:space="preserve">Loại Video</t>
  </si>
  <si>
    <t xml:space="preserve">Độ dài</t>
  </si>
  <si>
    <t xml:space="preserve">Dùng cho kênh</t>
  </si>
  <si>
    <t xml:space="preserve">Dùng cho Ads</t>
  </si>
  <si>
    <t xml:space="preserve">Testimonial Phụ huynh</t>
  </si>
  <si>
    <t xml:space="preserve">15-60s</t>
  </si>
  <si>
    <t xml:space="preserve">PH chia sẻ lý do chọn VA, con thay đổi thế nào</t>
  </si>
  <si>
    <t xml:space="preserve">MN+TH+THCS+THPT</t>
  </si>
  <si>
    <t xml:space="preserve">TikTok, FB Reel, IG Story, YouTube Short</t>
  </si>
  <si>
    <t xml:space="preserve">Meta Spark, TikTok Spark</t>
  </si>
  <si>
    <t xml:space="preserve">✅ Sẵn sàng</t>
  </si>
  <si>
    <t xml:space="preserve">Top 10 PH → ưu tiên Spark Ads</t>
  </si>
  <si>
    <t xml:space="preserve">Testimonial Học sinh</t>
  </si>
  <si>
    <t xml:space="preserve">15-30s</t>
  </si>
  <si>
    <t xml:space="preserve">HS chia sẻ trải nghiệm học tập, bạn bè, hoạt động</t>
  </si>
  <si>
    <t xml:space="preserve">TikTok, IG Reel, YouTube Short</t>
  </si>
  <si>
    <t xml:space="preserve">TikTok InFeed</t>
  </si>
  <si>
    <t xml:space="preserve">Authentic, quay bằng phone</t>
  </si>
  <si>
    <t xml:space="preserve">Testimonial Giáo viên</t>
  </si>
  <si>
    <t xml:space="preserve">30-60s</t>
  </si>
  <si>
    <t xml:space="preserve">GV chia sẻ phương pháp dạy, tâm huyết</t>
  </si>
  <si>
    <t xml:space="preserve">FB, YouTube, Landing Page</t>
  </si>
  <si>
    <t xml:space="preserve">Meta Conversions</t>
  </si>
  <si>
    <t xml:space="preserve">Trust building mạnh</t>
  </si>
  <si>
    <t xml:space="preserve">Campus Tour Virtual</t>
  </si>
  <si>
    <t xml:space="preserve">60-120s</t>
  </si>
  <si>
    <t xml:space="preserve">Tour ảo từng cơ sở: sân, lớp, lab, bếp, thể thao</t>
  </si>
  <si>
    <t xml:space="preserve">8 cơ sở</t>
  </si>
  <si>
    <t xml:space="preserve">YouTube, FB, Landing Page</t>
  </si>
  <si>
    <t xml:space="preserve">Google DG, Meta RMKT</t>
  </si>
  <si>
    <t xml:space="preserve">1 video/campus</t>
  </si>
  <si>
    <t xml:space="preserve">Day-in-the-life HS</t>
  </si>
  <si>
    <t xml:space="preserve">60-90s</t>
  </si>
  <si>
    <t xml:space="preserve">1 ngày của HS tại VA: sáng đến lớp → ngoại khóa → về</t>
  </si>
  <si>
    <t xml:space="preserve">MN+TH+THCS</t>
  </si>
  <si>
    <t xml:space="preserve">TikTok, IG Reel, YouTube</t>
  </si>
  <si>
    <t xml:space="preserve">Lifestyle content</t>
  </si>
  <si>
    <t xml:space="preserve">Behind-the-scene GV</t>
  </si>
  <si>
    <t xml:space="preserve">GV chuẩn bị bài, decor lớp, tâm sự</t>
  </si>
  <si>
    <t xml:space="preserve">IG Story, TikTok</t>
  </si>
  <si>
    <t xml:space="preserve">Organic only</t>
  </si>
  <si>
    <t xml:space="preserve">Humanize brand</t>
  </si>
  <si>
    <t xml:space="preserve">Hoạt động ngoại khóa</t>
  </si>
  <si>
    <t xml:space="preserve">STEM, Art, Music, Sports, Field trip</t>
  </si>
  <si>
    <t xml:space="preserve">TikTok, FB, IG</t>
  </si>
  <si>
    <t xml:space="preserve">Meta Awareness</t>
  </si>
  <si>
    <t xml:space="preserve">Showcase full program</t>
  </si>
  <si>
    <t xml:space="preserve">Alumni/Đầu ra ĐH</t>
  </si>
  <si>
    <t xml:space="preserve">Cựu HS đỗ ĐH top chia sẻ journey</t>
  </si>
  <si>
    <t xml:space="preserve">Google DG, Meta Conv</t>
  </si>
  <si>
    <t xml:space="preserve">Key cho THPT</t>
  </si>
  <si>
    <t xml:space="preserve">Brand video hệ thống</t>
  </si>
  <si>
    <t xml:space="preserve">15s + 30s</t>
  </si>
  <si>
    <t xml:space="preserve">Montage 8 campus + USP overlay + logo</t>
  </si>
  <si>
    <t xml:space="preserve">YouTube pre-roll, FB InStream</t>
  </si>
  <si>
    <t xml:space="preserve">Google YouTube, Meta</t>
  </si>
  <si>
    <t xml:space="preserve">Brand awareness</t>
  </si>
  <si>
    <t xml:space="preserve">Webinar recap/teaser</t>
  </si>
  <si>
    <t xml:space="preserve">Highlight webinar + CTA đăng ký webinar tiếp</t>
  </si>
  <si>
    <t xml:space="preserve">FB, YouTube, Zalo</t>
  </si>
  <si>
    <t xml:space="preserve">Meta, Google</t>
  </si>
  <si>
    <t xml:space="preserve">☐ Cần quay</t>
  </si>
  <si>
    <t xml:space="preserve">Sau mỗi webinar</t>
  </si>
  <si>
    <t xml:space="preserve">B. KẾ HOẠCH QUAY VIDEO MỚI HÀNG THÁNG (04-09/2026)</t>
  </si>
  <si>
    <t xml:space="preserve">Số video quay</t>
  </si>
  <si>
    <t xml:space="preserve">Nội dung cụ thể</t>
  </si>
  <si>
    <t xml:space="preserve">Người tham gia</t>
  </si>
  <si>
    <t xml:space="preserve">Equipment</t>
  </si>
  <si>
    <t xml:space="preserve">Editor</t>
  </si>
  <si>
    <t xml:space="preserve">Deadline output</t>
  </si>
  <si>
    <t xml:space="preserve">Testi PH mới + Campus setup</t>
  </si>
  <si>
    <t xml:space="preserve">GV+BT</t>
  </si>
  <si>
    <t xml:space="preserve">3 PH MN testi, 2 PH TH testi, 3 campus setup shots</t>
  </si>
  <si>
    <t xml:space="preserve">PH tình nguyện + GV</t>
  </si>
  <si>
    <t xml:space="preserve">Phone 4K + Ring light + Lav mic</t>
  </si>
  <si>
    <t xml:space="preserve">In-house editor</t>
  </si>
  <si>
    <t xml:space="preserve">10/04</t>
  </si>
  <si>
    <t xml:space="preserve">Meta+TikTok Ads đợt 1</t>
  </si>
  <si>
    <t xml:space="preserve">Webinar teaser + Day-in-life</t>
  </si>
  <si>
    <t xml:space="preserve">1 teaser WB "Chuyển cấp", 2 day-in-life THCS</t>
  </si>
  <si>
    <t xml:space="preserve">HS lớp 7-8 + BGH</t>
  </si>
  <si>
    <t xml:space="preserve">Phone + Gimbal</t>
  </si>
  <si>
    <t xml:space="preserve">In-house</t>
  </si>
  <si>
    <t xml:space="preserve">12/04</t>
  </si>
  <si>
    <t xml:space="preserve">WB ads + organic TikTok</t>
  </si>
  <si>
    <t xml:space="preserve">Open Day + Testi</t>
  </si>
  <si>
    <t xml:space="preserve">GV+BT+Tỉnh</t>
  </si>
  <si>
    <t xml:space="preserve">2 Open Day recap, 2 PH mới testi, 1 campus tỉnh</t>
  </si>
  <si>
    <t xml:space="preserve">PH + HS + Campus staff</t>
  </si>
  <si>
    <t xml:space="preserve">Phone + DSLR cho event</t>
  </si>
  <si>
    <t xml:space="preserve">Freelance editor</t>
  </si>
  <si>
    <t xml:space="preserve">Meta Scale + YouTube</t>
  </si>
  <si>
    <t xml:space="preserve">Webinar + So sánh</t>
  </si>
  <si>
    <t xml:space="preserve">1 WB THPT teaser, 1 "So sánh trường", 1 alumni ĐH</t>
  </si>
  <si>
    <t xml:space="preserve">BGH + Alumni + PH</t>
  </si>
  <si>
    <t xml:space="preserve">Phone + Pro setup cho alumni</t>
  </si>
  <si>
    <t xml:space="preserve">Google DG + Meta</t>
  </si>
  <si>
    <t xml:space="preserve">Tour highlight + Urgency</t>
  </si>
  <si>
    <t xml:space="preserve">3 tour highlight, 2 "Vì sao chọn VA", 1 countdown</t>
  </si>
  <si>
    <t xml:space="preserve">PH vừa tour + sales</t>
  </si>
  <si>
    <t xml:space="preserve">Phone quick capture</t>
  </si>
  <si>
    <t xml:space="preserve">08/06</t>
  </si>
  <si>
    <t xml:space="preserve">Remarketing + Organic</t>
  </si>
  <si>
    <t xml:space="preserve">Webinar + Open Day #2</t>
  </si>
  <si>
    <t xml:space="preserve">1 WB chuyển cấp recap, 1 Open Day #2, 1 học bổng</t>
  </si>
  <si>
    <t xml:space="preserve">BGH + HS nhận HB</t>
  </si>
  <si>
    <t xml:space="preserve">DSLR + Pro audio</t>
  </si>
  <si>
    <t xml:space="preserve">Freelance</t>
  </si>
  <si>
    <t xml:space="preserve">20/06</t>
  </si>
  <si>
    <t xml:space="preserve">Meta + YouTube</t>
  </si>
  <si>
    <t xml:space="preserve">Chốt sale + Học bổng</t>
  </si>
  <si>
    <t xml:space="preserve">THPT+THCS</t>
  </si>
  <si>
    <t xml:space="preserve">2 "Deadline sắp hết", 2 HS nhận HB, 1 PH chốt</t>
  </si>
  <si>
    <t xml:space="preserve">PH mới enroll + HS HB</t>
  </si>
  <si>
    <t xml:space="preserve">Phone quick</t>
  </si>
  <si>
    <t xml:space="preserve">10/07</t>
  </si>
  <si>
    <t xml:space="preserve">Remarketing mạnh</t>
  </si>
  <si>
    <t xml:space="preserve">Webinar chốt + Brand</t>
  </si>
  <si>
    <t xml:space="preserve">1 WB HB recap, 1 brand hệ thống, 1 campus tour mới</t>
  </si>
  <si>
    <t xml:space="preserve">BGH + All campus</t>
  </si>
  <si>
    <t xml:space="preserve">Pro setup</t>
  </si>
  <si>
    <t xml:space="preserve">20/07</t>
  </si>
  <si>
    <t xml:space="preserve">YouTube + Meta</t>
  </si>
  <si>
    <t xml:space="preserve">Urgency + Win-back</t>
  </si>
  <si>
    <t xml:space="preserve">1 "Còn ít chỗ", 1 PH mới, 1 recap toàn mùa</t>
  </si>
  <si>
    <t xml:space="preserve">PH + Sales</t>
  </si>
  <si>
    <t xml:space="preserve">10/08</t>
  </si>
  <si>
    <t xml:space="preserve">RMKT cuối mùa</t>
  </si>
  <si>
    <t xml:space="preserve">Khai giảng + Brand</t>
  </si>
  <si>
    <t xml:space="preserve">1 khai giảng, 1 PH share Year 1, 1 late intake</t>
  </si>
  <si>
    <t xml:space="preserve">PH+HS+GV</t>
  </si>
  <si>
    <t xml:space="preserve">DSLR + Drone cho khai giảng</t>
  </si>
  <si>
    <t xml:space="preserve">Brand + Late intake</t>
  </si>
  <si>
    <t xml:space="preserve">C. VIDEO PRODUCTION WORKFLOW – QUY TRÌNH SẢN XUẤT</t>
  </si>
  <si>
    <t xml:space="preserve">Pre-production</t>
  </si>
  <si>
    <t xml:space="preserve">Lên brief video</t>
  </si>
  <si>
    <t xml:space="preserve">Topic, người tham gia, key message, CTA, mood</t>
  </si>
  <si>
    <t xml:space="preserve">Google Docs</t>
  </si>
  <si>
    <t xml:space="preserve">Brief approved</t>
  </si>
  <si>
    <t xml:space="preserve">Book người + địa điểm</t>
  </si>
  <si>
    <t xml:space="preserve">Liên hệ PH/HS/GV, chọn campus, chọn giờ đẹp</t>
  </si>
  <si>
    <t xml:space="preserve">Calendar + Phone</t>
  </si>
  <si>
    <t xml:space="preserve">T-5 ngày</t>
  </si>
  <si>
    <t xml:space="preserve">Schedule confirmed</t>
  </si>
  <si>
    <t xml:space="preserve">Chuẩn bị script/prompt</t>
  </si>
  <si>
    <t xml:space="preserve">Gợi ý câu hỏi cho PH, talking points cho GV, shot list</t>
  </si>
  <si>
    <t xml:space="preserve">T-3 ngày</t>
  </si>
  <si>
    <t xml:space="preserve">Script ready</t>
  </si>
  <si>
    <t xml:space="preserve">Production</t>
  </si>
  <si>
    <t xml:space="preserve">Setup + quay</t>
  </si>
  <si>
    <t xml:space="preserve">Check ánh sáng, mic, framing | Quay 3-5 takes | B-roll</t>
  </si>
  <si>
    <t xml:space="preserve">Phone/DSLR + Lav mic</t>
  </si>
  <si>
    <t xml:space="preserve">Ngày quay</t>
  </si>
  <si>
    <t xml:space="preserve">Raw footage</t>
  </si>
  <si>
    <t xml:space="preserve">Post-production</t>
  </si>
  <si>
    <t xml:space="preserve">Edit rough cut</t>
  </si>
  <si>
    <t xml:space="preserve">Cắt ghép, chọn best takes, thêm subtitle VN</t>
  </si>
  <si>
    <t xml:space="preserve">Premiere/CapCut</t>
  </si>
  <si>
    <t xml:space="preserve">T+2 ngày</t>
  </si>
  <si>
    <t xml:space="preserve">Draft v1</t>
  </si>
  <si>
    <t xml:space="preserve">Review + feedback</t>
  </si>
  <si>
    <t xml:space="preserve">Marketing Lead review → feedback → chỉnh sửa</t>
  </si>
  <si>
    <t xml:space="preserve">Slack/Zalo</t>
  </si>
  <si>
    <t xml:space="preserve">T+3 ngày</t>
  </si>
  <si>
    <t xml:space="preserve">Approved v2</t>
  </si>
  <si>
    <t xml:space="preserve">Xuất đa format</t>
  </si>
  <si>
    <t xml:space="preserve">9:16 (TikTok/Reel) + 1:1 (Feed) + 16:9 (YouTube) + Thumbnail</t>
  </si>
  <si>
    <t xml:space="preserve">Premiere/Canva</t>
  </si>
  <si>
    <t xml:space="preserve">T+4 ngày</t>
  </si>
  <si>
    <t xml:space="preserve">Final files</t>
  </si>
  <si>
    <t xml:space="preserve">Distribution</t>
  </si>
  <si>
    <t xml:space="preserve">Upload + schedule</t>
  </si>
  <si>
    <t xml:space="preserve">Upload lên TikTok, YouTube, FB, IG | Schedule theo calendar</t>
  </si>
  <si>
    <t xml:space="preserve">Kho Drive + Scheduler</t>
  </si>
  <si>
    <t xml:space="preserve">T+5 ngày</t>
  </si>
  <si>
    <t xml:space="preserve">Published</t>
  </si>
  <si>
    <t xml:space="preserve">Gửi cho Ads team</t>
  </si>
  <si>
    <t xml:space="preserve">Share video cho Performance Marketer → setup Spark/Boost</t>
  </si>
  <si>
    <t xml:space="preserve">Google Drive share</t>
  </si>
  <si>
    <t xml:space="preserve">Ads ready</t>
  </si>
  <si>
    <t xml:space="preserve">Analytics</t>
  </si>
  <si>
    <t xml:space="preserve">Track performance 7 ngày</t>
  </si>
  <si>
    <t xml:space="preserve">Views, completion, engagement, CTR, leads from video</t>
  </si>
  <si>
    <t xml:space="preserve">TikTok/Meta/YT Analytics</t>
  </si>
  <si>
    <t xml:space="preserve">T+12 ngày</t>
  </si>
  <si>
    <t xml:space="preserve">Performance report</t>
  </si>
  <si>
    <t xml:space="preserve">D. VIDEO KPI THEO KÊNH</t>
  </si>
  <si>
    <t xml:space="preserve">Metric phụ</t>
  </si>
  <si>
    <t xml:space="preserve">Target phụ</t>
  </si>
  <si>
    <t xml:space="preserve">Frequency đo</t>
  </si>
  <si>
    <t xml:space="preserve">Tool đo</t>
  </si>
  <si>
    <t xml:space="preserve">TikTok Organic</t>
  </si>
  <si>
    <t xml:space="preserve">Views/video</t>
  </si>
  <si>
    <t xml:space="preserve">5,000+</t>
  </si>
  <si>
    <t xml:space="preserve">3s retention rate</t>
  </si>
  <si>
    <t xml:space="preserve">≥ 40%</t>
  </si>
  <si>
    <t xml:space="preserve">Per video + Weekly</t>
  </si>
  <si>
    <t xml:space="preserve">TikTok Analytics</t>
  </si>
  <si>
    <t xml:space="preserve">TikTok Ads (Spark)</t>
  </si>
  <si>
    <t xml:space="preserve">CPV</t>
  </si>
  <si>
    <t xml:space="preserve">≤ 2,000đ</t>
  </si>
  <si>
    <t xml:space="preserve">≥ 1.5%</t>
  </si>
  <si>
    <t xml:space="preserve">Facebook Reel</t>
  </si>
  <si>
    <t xml:space="preserve">3,000+</t>
  </si>
  <si>
    <t xml:space="preserve">Engagement rate</t>
  </si>
  <si>
    <t xml:space="preserve">≥ 5%</t>
  </si>
  <si>
    <t xml:space="preserve">Instagram Reel</t>
  </si>
  <si>
    <t xml:space="preserve">Plays</t>
  </si>
  <si>
    <t xml:space="preserve">2,000+</t>
  </si>
  <si>
    <t xml:space="preserve">Saves + Shares</t>
  </si>
  <si>
    <t xml:space="preserve">≥ 3%</t>
  </si>
  <si>
    <t xml:space="preserve">IG Insights</t>
  </si>
  <si>
    <t xml:space="preserve">YouTube Short</t>
  </si>
  <si>
    <t xml:space="preserve">Views</t>
  </si>
  <si>
    <t xml:space="preserve">1,000+</t>
  </si>
  <si>
    <t xml:space="preserve">Subscriber gain</t>
  </si>
  <si>
    <t xml:space="preserve">≥ 5/video</t>
  </si>
  <si>
    <t xml:space="preserve">Per video + Monthly</t>
  </si>
  <si>
    <t xml:space="preserve">YouTube Studio</t>
  </si>
  <si>
    <t xml:space="preserve">YouTube Long</t>
  </si>
  <si>
    <t xml:space="preserve">Watch time</t>
  </si>
  <si>
    <t xml:space="preserve">≥ 50% avg</t>
  </si>
  <si>
    <t xml:space="preserve">Click-through</t>
  </si>
  <si>
    <t xml:space="preserve">≥ 4%</t>
  </si>
  <si>
    <t xml:space="preserve">Landing Page Video</t>
  </si>
  <si>
    <t xml:space="preserve">Play rate</t>
  </si>
  <si>
    <t xml:space="preserve">≥ 30%</t>
  </si>
  <si>
    <t xml:space="preserve">Completion rate</t>
  </si>
  <si>
    <t xml:space="preserve">≥ 25%</t>
  </si>
  <si>
    <t xml:space="preserve">GA4 + Hotjar</t>
  </si>
  <si>
    <t xml:space="preserve">Google DG/YouTube Ads</t>
  </si>
  <si>
    <t xml:space="preserve">≤ 3,000đ</t>
  </si>
  <si>
    <t xml:space="preserve">View-through conv</t>
  </si>
  <si>
    <t xml:space="preserve">Track</t>
  </si>
  <si>
    <t xml:space="preserve">Zalo Article Video</t>
  </si>
  <si>
    <t xml:space="preserve">500+</t>
  </si>
  <si>
    <t xml:space="preserve">Shares</t>
  </si>
  <si>
    <t xml:space="preserve">≥ 2%</t>
  </si>
  <si>
    <t xml:space="preserve">Per post</t>
  </si>
  <si>
    <t xml:space="preserve">Zalo OA Analytics</t>
  </si>
  <si>
    <t xml:space="preserve">KẾ HOẠCH EMAIL MARKETING CHI TIẾT – TUYỂN SINH VIỆT ANH 2026</t>
  </si>
  <si>
    <t xml:space="preserve">Tool: GoHighLevel Email | Domain: @truongvietanh.com | Đồng bộ: GHL → Make.com → Pancake CRM | Tổng database: PH cũ + leads mới</t>
  </si>
  <si>
    <t xml:space="preserve">A. EMAIL SEQUENCES – TỰ ĐỘNG THEO HÀNH TRÌNH</t>
  </si>
  <si>
    <t xml:space="preserve">Sequence</t>
  </si>
  <si>
    <t xml:space="preserve">Email #</t>
  </si>
  <si>
    <t xml:space="preserve">Thời gian gửi</t>
  </si>
  <si>
    <t xml:space="preserve">Subject line</t>
  </si>
  <si>
    <t xml:space="preserve">Nội dung chính</t>
  </si>
  <si>
    <t xml:space="preserve">Template GHL</t>
  </si>
  <si>
    <t xml:space="preserve">KPI mục tiêu</t>
  </si>
  <si>
    <t xml:space="preserve">Welcome</t>
  </si>
  <si>
    <t xml:space="preserve">+1 giờ</t>
  </si>
  <si>
    <t xml:space="preserve">Chào mừng [Tên] đến với Trường Việt Anh!</t>
  </si>
  <si>
    <t xml:space="preserve">Brochure PDF, link website, giới thiệu 8 cơ sở, video campus</t>
  </si>
  <si>
    <t xml:space="preserve">welcome_email_v1</t>
  </si>
  <si>
    <t xml:space="preserve">Open ≥ 35%, Click ≥ 8%</t>
  </si>
  <si>
    <t xml:space="preserve">A/B test subject line</t>
  </si>
  <si>
    <t xml:space="preserve">+3 ngày</t>
  </si>
  <si>
    <t xml:space="preserve">Bạn biết gì về chương trình song ngữ tại Việt Anh?</t>
  </si>
  <si>
    <t xml:space="preserve">Chi tiết chương trình theo cấp, tiếng Anh, STEM, ngoại khóa</t>
  </si>
  <si>
    <t xml:space="preserve">Xem chương trình [Cấp]</t>
  </si>
  <si>
    <t xml:space="preserve">welcome_program_v1</t>
  </si>
  <si>
    <t xml:space="preserve">Open ≥ 30%, Click ≥ 6%</t>
  </si>
  <si>
    <t xml:space="preserve">Dynamic theo cấp</t>
  </si>
  <si>
    <t xml:space="preserve">+7 ngày</t>
  </si>
  <si>
    <t xml:space="preserve">5 lý do phụ huynh chọn Việt Anh cho con</t>
  </si>
  <si>
    <t xml:space="preserve">Testimonial PH, data đầu ra, sĩ số nhỏ, GV tận tâm</t>
  </si>
  <si>
    <t xml:space="preserve">Đọc thêm review PH</t>
  </si>
  <si>
    <t xml:space="preserve">welcome_social_proof</t>
  </si>
  <si>
    <t xml:space="preserve">Open ≥ 28%, Click ≥ 5%</t>
  </si>
  <si>
    <t xml:space="preserve">Social proof heavy</t>
  </si>
  <si>
    <t xml:space="preserve">Lead &gt; 5 ngày chưa tour</t>
  </si>
  <si>
    <t xml:space="preserve">+5 ngày</t>
  </si>
  <si>
    <t xml:space="preserve">[Tên] ơi, mời bạn tham quan trường Việt Anh</t>
  </si>
  <si>
    <t xml:space="preserve">Tour miễn phí, xem lớp học thực tế, gặp GV</t>
  </si>
  <si>
    <t xml:space="preserve">Đặt lịch tour NGAY</t>
  </si>
  <si>
    <t xml:space="preserve">nurture_tour_invite</t>
  </si>
  <si>
    <t xml:space="preserve">Open ≥ 25%, Click ≥ 6%</t>
  </si>
  <si>
    <t xml:space="preserve">Urgency nhẹ</t>
  </si>
  <si>
    <t xml:space="preserve">Chưa phản hồi email 1</t>
  </si>
  <si>
    <t xml:space="preserve">+10 ngày</t>
  </si>
  <si>
    <t xml:space="preserve">Phụ huynh khác nói gì về Việt Anh?</t>
  </si>
  <si>
    <t xml:space="preserve">Video testimonial PH, link review Google, câu chuyện thật</t>
  </si>
  <si>
    <t xml:space="preserve">Xem video PH chia sẻ</t>
  </si>
  <si>
    <t xml:space="preserve">nurture_testimonial</t>
  </si>
  <si>
    <t xml:space="preserve">Open ≥ 22%, Click ≥ 5%</t>
  </si>
  <si>
    <t xml:space="preserve">Video embed</t>
  </si>
  <si>
    <t xml:space="preserve">Chưa phản hồi email 2</t>
  </si>
  <si>
    <t xml:space="preserve">+15 ngày</t>
  </si>
  <si>
    <t xml:space="preserve">Ưu đãi đặc biệt dành riêng cho [Tên]</t>
  </si>
  <si>
    <t xml:space="preserve">Giảm X% nếu nộp hồ sơ trong 14 ngày, học bổng thông tin</t>
  </si>
  <si>
    <t xml:space="preserve">nurture_offer</t>
  </si>
  <si>
    <t xml:space="preserve">Open ≥ 20%, Click ≥ 8%</t>
  </si>
  <si>
    <t xml:space="preserve">Offer triggered</t>
  </si>
  <si>
    <t xml:space="preserve">+2 giờ</t>
  </si>
  <si>
    <t xml:space="preserve">Cảm ơn [Tên] đã đến thăm Việt Anh!</t>
  </si>
  <si>
    <t xml:space="preserve">Recap tour, ảnh campus, thông tin tiếp theo, hồ sơ cần nộp</t>
  </si>
  <si>
    <t xml:space="preserve">Nộp hồ sơ online</t>
  </si>
  <si>
    <t xml:space="preserve">posttour_thankyou</t>
  </si>
  <si>
    <t xml:space="preserve">Open ≥ 45%, Click ≥ 12%</t>
  </si>
  <si>
    <t xml:space="preserve">High intent</t>
  </si>
  <si>
    <t xml:space="preserve">Tour done + chưa nộp hồ sơ</t>
  </si>
  <si>
    <t xml:space="preserve">Hồ sơ nhập học Việt Anh – Hướng dẫn chi tiết</t>
  </si>
  <si>
    <t xml:space="preserve">Checklist hồ sơ, link nộp online, deadline ưu đãi</t>
  </si>
  <si>
    <t xml:space="preserve">Nộp hồ sơ – Bước đơn giản</t>
  </si>
  <si>
    <t xml:space="preserve">posttour_application</t>
  </si>
  <si>
    <t xml:space="preserve">Open ≥ 35%, Click ≥ 10%</t>
  </si>
  <si>
    <t xml:space="preserve">Push conversion</t>
  </si>
  <si>
    <t xml:space="preserve">Tour done + chưa deposit</t>
  </si>
  <si>
    <t xml:space="preserve">Chỉ còn [X] ngày! Ưu đãi sắp hết cho [Cấp]</t>
  </si>
  <si>
    <t xml:space="preserve">Countdown, testimonial PH mới enroll, deadline rõ</t>
  </si>
  <si>
    <t xml:space="preserve">Chốt ngay – Ưu đãi hết [Ngày]</t>
  </si>
  <si>
    <t xml:space="preserve">posttour_urgency</t>
  </si>
  <si>
    <t xml:space="preserve">Open ≥ 30%, Click ≥ 8%</t>
  </si>
  <si>
    <t xml:space="preserve">Urgency + FOMO</t>
  </si>
  <si>
    <t xml:space="preserve">Ngay</t>
  </si>
  <si>
    <t xml:space="preserve">Xác nhận đăng ký: [Tên Webinar]</t>
  </si>
  <si>
    <t xml:space="preserve">Xác nhận, ngày giờ, link Zoom, add to calendar</t>
  </si>
  <si>
    <t xml:space="preserve">Thêm vào lịch</t>
  </si>
  <si>
    <t xml:space="preserve">wb_confirm</t>
  </si>
  <si>
    <t xml:space="preserve">Transactional</t>
  </si>
  <si>
    <t xml:space="preserve">Registered</t>
  </si>
  <si>
    <t xml:space="preserve">-48 giờ</t>
  </si>
  <si>
    <t xml:space="preserve">Nhắc nhở: [Tên Webinar] vào ngày mai!</t>
  </si>
  <si>
    <t xml:space="preserve">Nhắc lịch, checklist chuẩn bị, speaker preview</t>
  </si>
  <si>
    <t xml:space="preserve">Kiểm tra link Zoom</t>
  </si>
  <si>
    <t xml:space="preserve">wb_reminder_48h</t>
  </si>
  <si>
    <t xml:space="preserve">Open ≥ 50%</t>
  </si>
  <si>
    <t xml:space="preserve">Reminder</t>
  </si>
  <si>
    <t xml:space="preserve">Attended</t>
  </si>
  <si>
    <t xml:space="preserve">Cảm ơn bạn tham gia! Đây là recording &amp; tài liệu</t>
  </si>
  <si>
    <t xml:space="preserve">Link recording, slide PDF, CTA book tour, ưu đãi attendee</t>
  </si>
  <si>
    <t xml:space="preserve">Đặt lịch tour – Ưu đãi chỉ cho attendee</t>
  </si>
  <si>
    <t xml:space="preserve">wb_thankyou</t>
  </si>
  <si>
    <t xml:space="preserve">Open ≥ 55%, Click ≥ 15%</t>
  </si>
  <si>
    <t xml:space="preserve">Hot conversion</t>
  </si>
  <si>
    <t xml:space="preserve">No-show</t>
  </si>
  <si>
    <t xml:space="preserve">+24 giờ</t>
  </si>
  <si>
    <t xml:space="preserve">Bạn bỏ lỡ [Tên Webinar] – Xem replay ngay!</t>
  </si>
  <si>
    <t xml:space="preserve">Link recording, tóm tắt key points, CTA tour</t>
  </si>
  <si>
    <t xml:space="preserve">Xem replay miễn phí</t>
  </si>
  <si>
    <t xml:space="preserve">wb_noshow_replay</t>
  </si>
  <si>
    <t xml:space="preserve">Win back no-shows</t>
  </si>
  <si>
    <t xml:space="preserve">Scholarship</t>
  </si>
  <si>
    <t xml:space="preserve">Scholarship interest tag</t>
  </si>
  <si>
    <t xml:space="preserve">Chương trình Học bổng Việt Anh 2026 – Thông tin chi tiết</t>
  </si>
  <si>
    <t xml:space="preserve">Các loại HB, tiêu chí, deadline, link đăng ký thi</t>
  </si>
  <si>
    <t xml:space="preserve">Đăng ký thi Học bổng</t>
  </si>
  <si>
    <t xml:space="preserve">hb_info</t>
  </si>
  <si>
    <t xml:space="preserve">Open ≥ 40%, Click ≥ 12%</t>
  </si>
  <si>
    <t xml:space="preserve">Registered for exam</t>
  </si>
  <si>
    <t xml:space="preserve">-7 ngày</t>
  </si>
  <si>
    <t xml:space="preserve">Chuẩn bị thi Học bổng – Bí kíp từ HS đạt HB</t>
  </si>
  <si>
    <t xml:space="preserve">Tips thi, format đề, story alumni HB, tâm lý thi</t>
  </si>
  <si>
    <t xml:space="preserve">Xem video alumni đạt HB</t>
  </si>
  <si>
    <t xml:space="preserve">hb_prep</t>
  </si>
  <si>
    <t xml:space="preserve">Open ≥ 45%</t>
  </si>
  <si>
    <t xml:space="preserve">Lost &gt; 30 ngày</t>
  </si>
  <si>
    <t xml:space="preserve">+30 ngày</t>
  </si>
  <si>
    <t xml:space="preserve">Việt Anh vẫn nhớ [Tên] – Tin tức mới!</t>
  </si>
  <si>
    <t xml:space="preserve">Cập nhật mới: ưu đãi, sự kiện, thay đổi, thành tích</t>
  </si>
  <si>
    <t xml:space="preserve">Quay lại tìm hiểu</t>
  </si>
  <si>
    <t xml:space="preserve">reengage_v1</t>
  </si>
  <si>
    <t xml:space="preserve">Open ≥ 15%, Click ≥ 3%</t>
  </si>
  <si>
    <t xml:space="preserve">Monthly blast</t>
  </si>
  <si>
    <t xml:space="preserve">Lost &gt; 60 ngày</t>
  </si>
  <si>
    <t xml:space="preserve">+60 ngày</t>
  </si>
  <si>
    <t xml:space="preserve">Cơ hội cuối – [Cấp] Việt Anh còn nhận hồ sơ</t>
  </si>
  <si>
    <t xml:space="preserve">Late intake info, ưu đãi đặc biệt, deadline</t>
  </si>
  <si>
    <t xml:space="preserve">Liên hệ ngay</t>
  </si>
  <si>
    <t xml:space="preserve">reengage_v2</t>
  </si>
  <si>
    <t xml:space="preserve">Open ≥ 12%</t>
  </si>
  <si>
    <t xml:space="preserve">Last chance</t>
  </si>
  <si>
    <t xml:space="preserve">B. EMAIL BROADCAST – LỊCH GỬI HÀNG THÁNG</t>
  </si>
  <si>
    <t xml:space="preserve">Ngày gửi</t>
  </si>
  <si>
    <t xml:space="preserve">Subject</t>
  </si>
  <si>
    <t xml:space="preserve">Audience segment</t>
  </si>
  <si>
    <t xml:space="preserve">W1</t>
  </si>
  <si>
    <t xml:space="preserve">Thứ 3 08/04</t>
  </si>
  <si>
    <t xml:space="preserve">Newsletter</t>
  </si>
  <si>
    <t xml:space="preserve">Mùa tuyển sinh 2026 chính thức bắt đầu!</t>
  </si>
  <si>
    <t xml:space="preserve">Toàn bộ database PH</t>
  </si>
  <si>
    <t xml:space="preserve">Announce + Drive awareness</t>
  </si>
  <si>
    <t xml:space="preserve">Open ≥ 25%</t>
  </si>
  <si>
    <t xml:space="preserve">W2</t>
  </si>
  <si>
    <t xml:space="preserve">Thứ 5 17/04</t>
  </si>
  <si>
    <t xml:space="preserve">Webinar invite</t>
  </si>
  <si>
    <t xml:space="preserve">Hội thảo THCS: Chuyển cấp – Miễn phí</t>
  </si>
  <si>
    <t xml:space="preserve">PH có con lớp 4-5</t>
  </si>
  <si>
    <t xml:space="preserve">Webinar registration</t>
  </si>
  <si>
    <t xml:space="preserve">Reg ≥ 50</t>
  </si>
  <si>
    <t xml:space="preserve">W3</t>
  </si>
  <si>
    <t xml:space="preserve">Thứ 3 22/04</t>
  </si>
  <si>
    <t xml:space="preserve">Hội thảo THPT: Học bổng lớp 10</t>
  </si>
  <si>
    <t xml:space="preserve">PH có con lớp 9</t>
  </si>
  <si>
    <t xml:space="preserve">Reg ≥ 80</t>
  </si>
  <si>
    <t xml:space="preserve">W4</t>
  </si>
  <si>
    <t xml:space="preserve">Thứ 3 29/04</t>
  </si>
  <si>
    <t xml:space="preserve">Ưu đãi đặc biệt tháng 4 – Hết 30/04</t>
  </si>
  <si>
    <t xml:space="preserve">Leads chưa tour</t>
  </si>
  <si>
    <t xml:space="preserve">Push tour booking</t>
  </si>
  <si>
    <t xml:space="preserve">Click ≥ 6%</t>
  </si>
  <si>
    <t xml:space="preserve">Thứ 5 08/05</t>
  </si>
  <si>
    <t xml:space="preserve">Tháng 5 tại Việt Anh – Sự kiện &amp; Ưu đãi</t>
  </si>
  <si>
    <t xml:space="preserve">Toàn bộ database</t>
  </si>
  <si>
    <t xml:space="preserve">Monthly update</t>
  </si>
  <si>
    <t xml:space="preserve">Open ≥ 22%</t>
  </si>
  <si>
    <t xml:space="preserve">Thứ 3 13/05</t>
  </si>
  <si>
    <t xml:space="preserve">Open Day 17/05 – Trải nghiệm trường thật!</t>
  </si>
  <si>
    <t xml:space="preserve">Active leads + PH cũ</t>
  </si>
  <si>
    <t xml:space="preserve">Open Day registration</t>
  </si>
  <si>
    <t xml:space="preserve">Thứ 5 22/05</t>
  </si>
  <si>
    <t xml:space="preserve">Hội thảo: Chọn trường TH cho con</t>
  </si>
  <si>
    <t xml:space="preserve">PH MN + PH con 5-6 tuổi</t>
  </si>
  <si>
    <t xml:space="preserve">Webinar reg</t>
  </si>
  <si>
    <t xml:space="preserve">Reg ≥ 60</t>
  </si>
  <si>
    <t xml:space="preserve">Thứ 3 27/05</t>
  </si>
  <si>
    <t xml:space="preserve">PH Việt Anh nói gì? Top 5 review</t>
  </si>
  <si>
    <t xml:space="preserve">Leads warm</t>
  </si>
  <si>
    <t xml:space="preserve">Click ≥ 5%</t>
  </si>
  <si>
    <t xml:space="preserve">Thứ 3 03/06</t>
  </si>
  <si>
    <t xml:space="preserve">Urgency</t>
  </si>
  <si>
    <t xml:space="preserve">Tour cao điểm tháng 6 – Đặt ngay!</t>
  </si>
  <si>
    <t xml:space="preserve">Push tour</t>
  </si>
  <si>
    <t xml:space="preserve">Click ≥ 8%</t>
  </si>
  <si>
    <t xml:space="preserve">Thứ 5 12/06</t>
  </si>
  <si>
    <t xml:space="preserve">THCS: Giai đoạn bản lề – Webinar miễn phí</t>
  </si>
  <si>
    <t xml:space="preserve">PH lớp 5</t>
  </si>
  <si>
    <t xml:space="preserve">Thứ 3 17/06</t>
  </si>
  <si>
    <t xml:space="preserve">Open Day Online – Tour ảo 8 cơ sở 21/06</t>
  </si>
  <si>
    <t xml:space="preserve">All database</t>
  </si>
  <si>
    <t xml:space="preserve">Online event reg</t>
  </si>
  <si>
    <t xml:space="preserve">Reg ≥ 100</t>
  </si>
  <si>
    <t xml:space="preserve">Thứ 5 26/06</t>
  </si>
  <si>
    <t xml:space="preserve">Ưu đãi tháng 6 hết 30/06 – Chốt ngay!</t>
  </si>
  <si>
    <t xml:space="preserve">Leads đã tour chưa nộp</t>
  </si>
  <si>
    <t xml:space="preserve">Push enrollment</t>
  </si>
  <si>
    <t xml:space="preserve">Click ≥ 10%</t>
  </si>
  <si>
    <t xml:space="preserve">Thứ 3 01/07</t>
  </si>
  <si>
    <t xml:space="preserve">Học bổng THPT 2026 – Đăng ký thi ngay!</t>
  </si>
  <si>
    <t xml:space="preserve">PH THPT + lớp 9</t>
  </si>
  <si>
    <t xml:space="preserve">Scholarship reg</t>
  </si>
  <si>
    <t xml:space="preserve">Click ≥ 12%</t>
  </si>
  <si>
    <t xml:space="preserve">Thứ 5 10/07</t>
  </si>
  <si>
    <t xml:space="preserve">Tháng 7 – Thời điểm chốt! Còn ít chỗ</t>
  </si>
  <si>
    <t xml:space="preserve">All active leads</t>
  </si>
  <si>
    <t xml:space="preserve">Thứ 3 15/07</t>
  </si>
  <si>
    <t xml:space="preserve">Webinar HB THPT – Cơ hội cuối!</t>
  </si>
  <si>
    <t xml:space="preserve">PH THPT</t>
  </si>
  <si>
    <t xml:space="preserve">WB reg + enrollment</t>
  </si>
  <si>
    <t xml:space="preserve">Thứ 5 24/07</t>
  </si>
  <si>
    <t xml:space="preserve">CUỐI CÙNG: Ưu đãi hết 31/07</t>
  </si>
  <si>
    <t xml:space="preserve">Leads tour chưa nộp</t>
  </si>
  <si>
    <t xml:space="preserve">Final push</t>
  </si>
  <si>
    <t xml:space="preserve">W1-2</t>
  </si>
  <si>
    <t xml:space="preserve">Thứ 3 05/08</t>
  </si>
  <si>
    <t xml:space="preserve">Retarget</t>
  </si>
  <si>
    <t xml:space="preserve">Còn chỗ! Hồ sơ cuối cho [Cấp] 2026</t>
  </si>
  <si>
    <t xml:space="preserve">All leads chưa enroll</t>
  </si>
  <si>
    <t xml:space="preserve">Vét cuối</t>
  </si>
  <si>
    <t xml:space="preserve">Open ≥ 18%</t>
  </si>
  <si>
    <t xml:space="preserve">W3-4</t>
  </si>
  <si>
    <t xml:space="preserve">Thứ 3 19/08</t>
  </si>
  <si>
    <t xml:space="preserve">Chuẩn bị năm học mới – Việt Anh sẵn sàng!</t>
  </si>
  <si>
    <t xml:space="preserve">Enrolled PH + warm leads</t>
  </si>
  <si>
    <t xml:space="preserve">Brand + late push</t>
  </si>
  <si>
    <t xml:space="preserve">Open ≥ 20%</t>
  </si>
  <si>
    <t xml:space="preserve">Thứ 3 02/09</t>
  </si>
  <si>
    <t xml:space="preserve">Chuyển trường? Việt Anh còn nhận hồ sơ T9!</t>
  </si>
  <si>
    <t xml:space="preserve">Lost leads + new late</t>
  </si>
  <si>
    <t xml:space="preserve">Late enrollment</t>
  </si>
  <si>
    <t xml:space="preserve">Thứ 3 23/09</t>
  </si>
  <si>
    <t xml:space="preserve">Thank you</t>
  </si>
  <si>
    <t xml:space="preserve">Cảm ơn – Khai giảng 2026 tuyệt vời!</t>
  </si>
  <si>
    <t xml:space="preserve">All enrolled PH</t>
  </si>
  <si>
    <t xml:space="preserve">Retention + referral</t>
  </si>
  <si>
    <t xml:space="preserve">Open ≥ 40%</t>
  </si>
  <si>
    <t xml:space="preserve">C. GHL EMAIL SETUP – CẤU HÌNH KỸ THUẬT</t>
  </si>
  <si>
    <t xml:space="preserve">Setup sending domain</t>
  </si>
  <si>
    <t xml:space="preserve">truongvietanh.com → DKIM + SPF + DMARC records</t>
  </si>
  <si>
    <t xml:space="preserve">GHL + DNS</t>
  </si>
  <si>
    <t xml:space="preserve">Verify domain trong GHL</t>
  </si>
  <si>
    <t xml:space="preserve">Settings → Email → Verify domain → Check green</t>
  </si>
  <si>
    <t xml:space="preserve">GHL Email Settings</t>
  </si>
  <si>
    <t xml:space="preserve">Warmup sending</t>
  </si>
  <si>
    <t xml:space="preserve">Gửi 50 email/ngày → tăng dần 100 → 500 → 1000</t>
  </si>
  <si>
    <t xml:space="preserve">GHL + Mailwarm (optional)</t>
  </si>
  <si>
    <t xml:space="preserve">Tuần 1-2</t>
  </si>
  <si>
    <t xml:space="preserve">Tạo email templates (17 templates)</t>
  </si>
  <si>
    <t xml:space="preserve">Design HTML responsive cho tất cả sequences + broadcast</t>
  </si>
  <si>
    <t xml:space="preserve">GHL Email Builder</t>
  </si>
  <si>
    <t xml:space="preserve">Ngày 2-4</t>
  </si>
  <si>
    <t xml:space="preserve">Setup automation workflows</t>
  </si>
  <si>
    <t xml:space="preserve">Kết nối trigger → delay → email → condition → next action</t>
  </si>
  <si>
    <t xml:space="preserve">GHL Workflows</t>
  </si>
  <si>
    <t xml:space="preserve">Test tất cả sequences</t>
  </si>
  <si>
    <t xml:space="preserve">Gửi test email mỗi sequence → check inbox placement + links</t>
  </si>
  <si>
    <t xml:space="preserve">GHL + Gmail test</t>
  </si>
  <si>
    <t xml:space="preserve">Import database PH cũ</t>
  </si>
  <si>
    <t xml:space="preserve">Import list PH mùa trước → Segment → Clean bounces</t>
  </si>
  <si>
    <t xml:space="preserve">GHL Import + CSV</t>
  </si>
  <si>
    <t xml:space="preserve">Setup unsubscribe + compliance</t>
  </si>
  <si>
    <t xml:space="preserve">Unsubscribe link, footer address, PDPA compliance</t>
  </si>
  <si>
    <t xml:space="preserve">Sync GHL email events → Pancake</t>
  </si>
  <si>
    <t xml:space="preserve">Make.com: GHL email open/click → Webhook → Pancake CRM update</t>
  </si>
  <si>
    <t xml:space="preserve">Make.com + Pancake API</t>
  </si>
  <si>
    <t xml:space="preserve">Monthly reporting setup</t>
  </si>
  <si>
    <t xml:space="preserve">Auto report: open rate, click rate, bounce, unsubscribe by campaign</t>
  </si>
  <si>
    <t xml:space="preserve">GHL Reports</t>
  </si>
  <si>
    <t xml:space="preserve">Ngày 6</t>
  </si>
  <si>
    <t xml:space="preserve">CHIẾN LƯỢC NUÔI KÊNH SOCIAL MEDIA — TRƯỜNG VIỆT ANH 2026</t>
  </si>
  <si>
    <t xml:space="preserve">A. TỔNG QUAN CÁC KÊNH SOCIAL MEDIA</t>
  </si>
  <si>
    <t xml:space="preserve">URL/Tài khoản</t>
  </si>
  <si>
    <t xml:space="preserve">Mục tiêu followers T9/2026</t>
  </si>
  <si>
    <t xml:space="preserve">Followers hiện tại</t>
  </si>
  <si>
    <t xml:space="preserve">Tần suất đăng bài</t>
  </si>
  <si>
    <t xml:space="preserve">Loại nội dung chính</t>
  </si>
  <si>
    <t xml:space="preserve">Đối tượng chính</t>
  </si>
  <si>
    <t xml:space="preserve">Công cụ quản lý</t>
  </si>
  <si>
    <t xml:space="preserve">Ngân sách boost/tháng</t>
  </si>
  <si>
    <t xml:space="preserve">Người phụ trách</t>
  </si>
  <si>
    <t xml:space="preserve">fb.com/truongvietanh</t>
  </si>
  <si>
    <t xml:space="preserve">2 bài/ngày</t>
  </si>
  <si>
    <t xml:space="preserve">Hình ảnh, Video, Livestream, Reels</t>
  </si>
  <si>
    <t xml:space="preserve">Phụ huynh 25-45 tuổi</t>
  </si>
  <si>
    <t xml:space="preserve">Reach, Engagement rate ≥3%</t>
  </si>
  <si>
    <t xml:space="preserve">Meta Business Suite, Canva</t>
  </si>
  <si>
    <t xml:space="preserve">5,000,000 VND</t>
  </si>
  <si>
    <t xml:space="preserve">Kênh chủ lực – reach cao nhất</t>
  </si>
  <si>
    <t xml:space="preserve">Facebook Group (6 nhóm)</t>
  </si>
  <si>
    <t xml:space="preserve">6 nhóm theo cơ sở</t>
  </si>
  <si>
    <t xml:space="preserve">30,000 tổng</t>
  </si>
  <si>
    <t xml:space="preserve">3-5 bài/ngày</t>
  </si>
  <si>
    <t xml:space="preserve">Hỏi đáp, Chia sẻ kinh nghiệm, Tips</t>
  </si>
  <si>
    <t xml:space="preserve">Phụ huynh quan tâm giáo dục</t>
  </si>
  <si>
    <t xml:space="preserve">Members, Engagement, Leads</t>
  </si>
  <si>
    <t xml:space="preserve">Facebook, Google Sheets</t>
  </si>
  <si>
    <t xml:space="preserve">0 (organic)</t>
  </si>
  <si>
    <t xml:space="preserve">Community Manager</t>
  </si>
  <si>
    <t xml:space="preserve">1 nhóm/cơ sở + 1 nhóm chung</t>
  </si>
  <si>
    <t xml:space="preserve">oa.zalo.me/truongvietanh</t>
  </si>
  <si>
    <t xml:space="preserve">1 bài/ngày + tin nhắn</t>
  </si>
  <si>
    <t xml:space="preserve">Tin tức, Thông báo, Tư vấn 1-1</t>
  </si>
  <si>
    <t xml:space="preserve">Phụ huynh VN, 30-50 tuổi</t>
  </si>
  <si>
    <t xml:space="preserve">Followers, Open rate ≥40%</t>
  </si>
  <si>
    <t xml:space="preserve">Zalo OA Admin, GHL</t>
  </si>
  <si>
    <t xml:space="preserve">3,000,000 VND</t>
  </si>
  <si>
    <t xml:space="preserve">Kênh convert cao nhất tại VN</t>
  </si>
  <si>
    <t xml:space="preserve">youtube.com/@truongvietanh</t>
  </si>
  <si>
    <t xml:space="preserve">3 video/tuần</t>
  </si>
  <si>
    <t xml:space="preserve">Tour trường, Phỏng vấn PH, Tips GD</t>
  </si>
  <si>
    <t xml:space="preserve">Phụ huynh + Học sinh</t>
  </si>
  <si>
    <t xml:space="preserve">Views, Watch time, Subscribers</t>
  </si>
  <si>
    <t xml:space="preserve">YouTube Studio, Canva</t>
  </si>
  <si>
    <t xml:space="preserve">SEO video rất quan trọng</t>
  </si>
  <si>
    <t xml:space="preserve">tiktok.com/@truongvietanh</t>
  </si>
  <si>
    <t xml:space="preserve">1-2 video/ngày</t>
  </si>
  <si>
    <t xml:space="preserve">Behind the scenes, Tips ngắn, Trend</t>
  </si>
  <si>
    <t xml:space="preserve">Phụ huynh trẻ 25-35, HS cấp 2-3</t>
  </si>
  <si>
    <t xml:space="preserve">Views, Followers, Leads</t>
  </si>
  <si>
    <t xml:space="preserve">CapCut, TikTok Studio</t>
  </si>
  <si>
    <t xml:space="preserve">Kênh tăng trưởng nhanh nhất</t>
  </si>
  <si>
    <t xml:space="preserve">instagram.com/truongvietanh</t>
  </si>
  <si>
    <t xml:space="preserve">1 bài/ngày + Stories</t>
  </si>
  <si>
    <t xml:space="preserve">Reels, Carousel, Stories highlight</t>
  </si>
  <si>
    <t xml:space="preserve">Phụ huynh trẻ, Expat, Urban</t>
  </si>
  <si>
    <t xml:space="preserve">Followers, Story views, DM leads</t>
  </si>
  <si>
    <t xml:space="preserve">Brand image + Expat audience</t>
  </si>
  <si>
    <t xml:space="preserve">B. FACEBOOK PAGE — Chiến Lược Nuôi Kênh Chi Tiết</t>
  </si>
  <si>
    <t xml:space="preserve">Hoạt động</t>
  </si>
  <si>
    <t xml:space="preserve">Thời gian đăng tối ưu</t>
  </si>
  <si>
    <t xml:space="preserve">Mô tả chi tiết</t>
  </si>
  <si>
    <t xml:space="preserve">Hashtag mẫu</t>
  </si>
  <si>
    <t xml:space="preserve">CTA mẫu</t>
  </si>
  <si>
    <t xml:space="preserve">KPI đo lường</t>
  </si>
  <si>
    <t xml:space="preserve">Công cụ hỗ trợ</t>
  </si>
  <si>
    <t xml:space="preserve">Template/Mẫu</t>
  </si>
  <si>
    <t xml:space="preserve">Đăng bài hình ảnh trường</t>
  </si>
  <si>
    <t xml:space="preserve">Hàng ngày 8:00</t>
  </si>
  <si>
    <t xml:space="preserve">7:30-8:30 sáng</t>
  </si>
  <si>
    <t xml:space="preserve">Hình ảnh carousel</t>
  </si>
  <si>
    <t xml:space="preserve">Chụp hoạt động học sinh thực tế: giờ học, giờ chơi, ăn trưa, ngoại khóa. Dùng 5-10 hình/bài</t>
  </si>
  <si>
    <t xml:space="preserve">#TruongVietAnh #GiaoDucChatLuong #MamNon #TieuHoc</t>
  </si>
  <si>
    <t xml:space="preserve">Đăng ký tham quan trường TẠI ĐÂY 👇</t>
  </si>
  <si>
    <t xml:space="preserve">Reach ≥5,000, Engagement ≥150</t>
  </si>
  <si>
    <t xml:space="preserve">Canva, Lightroom Mobile</t>
  </si>
  <si>
    <t xml:space="preserve">Template carousel 1080x1080</t>
  </si>
  <si>
    <t xml:space="preserve">Ưu tiên hình tự nhiên, không dàn dựng</t>
  </si>
  <si>
    <t xml:space="preserve">Đăng video ngắn/Reels</t>
  </si>
  <si>
    <t xml:space="preserve">Hàng ngày 12:00</t>
  </si>
  <si>
    <t xml:space="preserve">11:30-12:30 trưa</t>
  </si>
  <si>
    <t xml:space="preserve">Video 30-60s</t>
  </si>
  <si>
    <t xml:space="preserve">Behind the scenes, hoạt động vui, tip nuôi con, Q&amp;A nhanh. Vertical 9:16</t>
  </si>
  <si>
    <t xml:space="preserve">#ReelsGiaoDuc #TruongTuThuc #HocSinhVietAnh</t>
  </si>
  <si>
    <t xml:space="preserve">Inbox ngay để được tư vấn miễn phí! 📩</t>
  </si>
  <si>
    <t xml:space="preserve">Views ≥3,000, Shares ≥50</t>
  </si>
  <si>
    <t xml:space="preserve">CapCut, InShot</t>
  </si>
  <si>
    <t xml:space="preserve">Template Reels 1080x1920</t>
  </si>
  <si>
    <t xml:space="preserve">Hook trong 3 giây đầu</t>
  </si>
  <si>
    <t xml:space="preserve">Đăng bài chia sẻ giá trị</t>
  </si>
  <si>
    <t xml:space="preserve">3 lần/tuần</t>
  </si>
  <si>
    <t xml:space="preserve">20:00-21:00 tối</t>
  </si>
  <si>
    <t xml:space="preserve">Text + Hình</t>
  </si>
  <si>
    <t xml:space="preserve">Tips nuôi dạy con, chuẩn bị vào lớp 1, chọn trường phù hợp. Nội dung dài 200-500 từ</t>
  </si>
  <si>
    <t xml:space="preserve">#TipsNuoiCon #ChuanBiVaoLop1 #GiaoDucSom</t>
  </si>
  <si>
    <t xml:space="preserve">Lưu bài viết để đọc lại nhé! 💾</t>
  </si>
  <si>
    <t xml:space="preserve">Saves ≥100, Comments ≥30</t>
  </si>
  <si>
    <t xml:space="preserve">Canva, Google Docs</t>
  </si>
  <si>
    <t xml:space="preserve">Template infographic</t>
  </si>
  <si>
    <t xml:space="preserve">Nội dung evergreen, có thể repost</t>
  </si>
  <si>
    <t xml:space="preserve">Livestream tư vấn</t>
  </si>
  <si>
    <t xml:space="preserve">2 lần/tuần (T3, T5)</t>
  </si>
  <si>
    <t xml:space="preserve">Video livestream 30-60 phút</t>
  </si>
  <si>
    <t xml:space="preserve">Hiệu trưởng/Giáo viên trả lời câu hỏi PH. Chủ đề theo tuần: MN, TH, THCS, THPT</t>
  </si>
  <si>
    <t xml:space="preserve">#LiveTuVan #TruongVietAnh #TuyenSinh2026</t>
  </si>
  <si>
    <t xml:space="preserve">Comment SĐT để được tư vấn riêng! 📞</t>
  </si>
  <si>
    <t xml:space="preserve">Peak viewers ≥200, Comments ≥100</t>
  </si>
  <si>
    <t xml:space="preserve">OBS Studio, StreamYard</t>
  </si>
  <si>
    <t xml:space="preserve">Slide giới thiệu trường</t>
  </si>
  <si>
    <t xml:space="preserve">Đăng lịch live 24h trước</t>
  </si>
  <si>
    <t xml:space="preserve">Đăng testimonial PH</t>
  </si>
  <si>
    <t xml:space="preserve">2 lần/tuần</t>
  </si>
  <si>
    <t xml:space="preserve">17:00-18:00</t>
  </si>
  <si>
    <t xml:space="preserve">Video phỏng vấn + Quote card</t>
  </si>
  <si>
    <t xml:space="preserve">Phỏng vấn PH hài lòng 2-3 phút. Quote card trích dẫn câu nói ấn tượng</t>
  </si>
  <si>
    <t xml:space="preserve">#PhuHuynhNoiGi #ReviewTruong #TruongVietAnh</t>
  </si>
  <si>
    <t xml:space="preserve">Bạn cũng muốn con trải nghiệm? Đăng ký ngay!</t>
  </si>
  <si>
    <t xml:space="preserve">Engagement ≥5%, Shares ≥30</t>
  </si>
  <si>
    <t xml:space="preserve">Canva, CapCut</t>
  </si>
  <si>
    <t xml:space="preserve">Template quote card</t>
  </si>
  <si>
    <t xml:space="preserve">Xin phép PH trước khi đăng</t>
  </si>
  <si>
    <t xml:space="preserve">Đăng thông báo sự kiện</t>
  </si>
  <si>
    <t xml:space="preserve">Theo lịch sự kiện</t>
  </si>
  <si>
    <t xml:space="preserve">Hình event + Link đăng ký</t>
  </si>
  <si>
    <t xml:space="preserve">Open Day, Workshop, Webinar, Ngày hội. Countdown 7-3-1 ngày trước sự kiện</t>
  </si>
  <si>
    <t xml:space="preserve">#OpenDay #ThamQuanTruong #SuKien</t>
  </si>
  <si>
    <t xml:space="preserve">Đăng ký tham gia miễn phí — Link trong comment!</t>
  </si>
  <si>
    <t xml:space="preserve">Clicks ≥500, Registrations ≥50</t>
  </si>
  <si>
    <t xml:space="preserve">Canva, GHL landing page</t>
  </si>
  <si>
    <t xml:space="preserve">Template event banner</t>
  </si>
  <si>
    <t xml:space="preserve">Boost post với 500K-1M VND</t>
  </si>
  <si>
    <t xml:space="preserve">Chạy mini-game/contest</t>
  </si>
  <si>
    <t xml:space="preserve">2 lần/tháng</t>
  </si>
  <si>
    <t xml:space="preserve">15:00-16:00 T6</t>
  </si>
  <si>
    <t xml:space="preserve">Hình + Luật chơi</t>
  </si>
  <si>
    <t xml:space="preserve">Like + Share + Comment để nhận quà. Quà: học bổng, voucher, sách GD</t>
  </si>
  <si>
    <t xml:space="preserve">#MiniGame #TruongVietAnh #TangQua</t>
  </si>
  <si>
    <t xml:space="preserve">Tham gia ngay — chỉ còn 3 ngày! ⏰</t>
  </si>
  <si>
    <t xml:space="preserve">Shares ≥200, New followers ≥500</t>
  </si>
  <si>
    <t xml:space="preserve">Canva, Woobox</t>
  </si>
  <si>
    <t xml:space="preserve">Template minigame</t>
  </si>
  <si>
    <t xml:space="preserve">Tuân thủ chính sách FB</t>
  </si>
  <si>
    <t xml:space="preserve">Phản hồi comment/inbox</t>
  </si>
  <si>
    <t xml:space="preserve">Trong vòng 30 phút</t>
  </si>
  <si>
    <t xml:space="preserve">24/7</t>
  </si>
  <si>
    <t xml:space="preserve">Text reply</t>
  </si>
  <si>
    <t xml:space="preserve">Trả lời mọi comment/inbox. Inbox → chuyển lead vào GHL. Comment → tag vào inbox</t>
  </si>
  <si>
    <t xml:space="preserve">Cảm ơn bạn! Mình inbox chi tiết nhé 😊</t>
  </si>
  <si>
    <t xml:space="preserve">Response time &lt;30 min, Lead capture rate</t>
  </si>
  <si>
    <t xml:space="preserve">GHL, Pancake CRM</t>
  </si>
  <si>
    <t xml:space="preserve">Script trả lời mẫu</t>
  </si>
  <si>
    <t xml:space="preserve">Không bao giờ bỏ sót comment</t>
  </si>
  <si>
    <t xml:space="preserve">Story/Highlights update</t>
  </si>
  <si>
    <t xml:space="preserve">Xuyên suốt ngày</t>
  </si>
  <si>
    <t xml:space="preserve">Video ngắn + Poll</t>
  </si>
  <si>
    <t xml:space="preserve">Story hoạt động trong ngày, Poll hỏi ý kiến PH, Countdown sự kiện, Behind the scenes</t>
  </si>
  <si>
    <t xml:space="preserve">N/A (Story không dùng hashtag)</t>
  </si>
  <si>
    <t xml:space="preserve">Swipe up / Link sticker → Landing page</t>
  </si>
  <si>
    <t xml:space="preserve">Story views ≥2,000, Sticker taps</t>
  </si>
  <si>
    <t xml:space="preserve">Canva, Instagram Stories</t>
  </si>
  <si>
    <t xml:space="preserve">Template story</t>
  </si>
  <si>
    <t xml:space="preserve">Lưu vào Highlights theo chủ đề</t>
  </si>
  <si>
    <t xml:space="preserve">Boost/Promote bài tốt</t>
  </si>
  <si>
    <t xml:space="preserve">Khi bài organic ≥3% ER</t>
  </si>
  <si>
    <t xml:space="preserve">Sau 2-4h đăng</t>
  </si>
  <si>
    <t xml:space="preserve">Boosted post</t>
  </si>
  <si>
    <t xml:space="preserve">Boost bài có ER cao. Target: PH 25-45, bán kính 10km quanh cơ sở. Budget 200K-500K/bài</t>
  </si>
  <si>
    <t xml:space="preserve">CTA của bài gốc</t>
  </si>
  <si>
    <t xml:space="preserve">Cost per engagement, Reach, Leads</t>
  </si>
  <si>
    <t xml:space="preserve">Meta Ads Manager, Birch</t>
  </si>
  <si>
    <t xml:space="preserve">Chỉ boost bài đã có traction organic</t>
  </si>
  <si>
    <t xml:space="preserve">C. FACEBOOK GROUP — Chiến Lược Nuôi 6 Nhóm Cộng Đồng</t>
  </si>
  <si>
    <t xml:space="preserve">Ai thực hiện</t>
  </si>
  <si>
    <t xml:space="preserve">Chi tiết nội dung</t>
  </si>
  <si>
    <t xml:space="preserve">Quy trình</t>
  </si>
  <si>
    <t xml:space="preserve">Lưu ý</t>
  </si>
  <si>
    <t xml:space="preserve">Đăng bài hỏi đáp</t>
  </si>
  <si>
    <t xml:space="preserve">Hàng ngày 7:00</t>
  </si>
  <si>
    <t xml:space="preserve">Đặt câu hỏi mở: "Bé nhà bạn thích môn gì nhất?", "Bạn chọn trường dựa trên tiêu chí nào?"</t>
  </si>
  <si>
    <t xml:space="preserve">1. Lên lịch bài → 2. Đăng → 3. Trả lời comment → 4. Chuyển lead sang GHL</t>
  </si>
  <si>
    <t xml:space="preserve">≥30 comments/bài</t>
  </si>
  <si>
    <t xml:space="preserve">Comments, Active members</t>
  </si>
  <si>
    <t xml:space="preserve">Câu hỏi đơn giản, dễ trả lời</t>
  </si>
  <si>
    <t xml:space="preserve">Chia sẻ tips giáo dục</t>
  </si>
  <si>
    <t xml:space="preserve">Bài viết 200-400 từ: tips chuẩn bị vào lớp 1, rèn kỹ năng sống, dinh dưỡng học đường</t>
  </si>
  <si>
    <t xml:space="preserve">1. Viết bài → 2. Duyệt nội dung → 3. Đăng → 4. Engage comments</t>
  </si>
  <si>
    <t xml:space="preserve">≥50 reactions</t>
  </si>
  <si>
    <t xml:space="preserve">Saves, Shares</t>
  </si>
  <si>
    <t xml:space="preserve">Không quảng cáo trực tiếp</t>
  </si>
  <si>
    <t xml:space="preserve">Welcome member mới</t>
  </si>
  <si>
    <t xml:space="preserve">Admin Group</t>
  </si>
  <si>
    <t xml:space="preserve">Chào đón thành viên mới, giới thiệu quy tắc nhóm, khuyến khích giới thiệu bản thân</t>
  </si>
  <si>
    <t xml:space="preserve">1. Duyệt member → 2. Welcome post → 3. Tag member mới → 4. DM giới thiệu</t>
  </si>
  <si>
    <t xml:space="preserve">Onboard 100% member mới</t>
  </si>
  <si>
    <t xml:space="preserve">New members/tuần</t>
  </si>
  <si>
    <t xml:space="preserve">Lọc tài khoản fake</t>
  </si>
  <si>
    <t xml:space="preserve">Livestream trong nhóm</t>
  </si>
  <si>
    <t xml:space="preserve">1 lần/tuần (T7)</t>
  </si>
  <si>
    <t xml:space="preserve">Giáo viên/Hiệu trưởng</t>
  </si>
  <si>
    <t xml:space="preserve">Q&amp;A session 30-45 phút, trả lời câu hỏi PH trong nhóm. Chủ đề cụ thể mỗi tuần</t>
  </si>
  <si>
    <t xml:space="preserve">1. Thông báo 2 ngày trước → 2. Thu thập câu hỏi → 3. Live → 4. Tóm tắt post</t>
  </si>
  <si>
    <t xml:space="preserve">≥100 viewers</t>
  </si>
  <si>
    <t xml:space="preserve">Peak viewers, Questions asked</t>
  </si>
  <si>
    <t xml:space="preserve">Record lại để đăng YouTube</t>
  </si>
  <si>
    <t xml:space="preserve">Share nội dung từ Page</t>
  </si>
  <si>
    <t xml:space="preserve">Social Media Intern</t>
  </si>
  <si>
    <t xml:space="preserve">Share bài từ Page kèm caption riêng phù hợp nhóm. Không share quá nhiều để tránh spam</t>
  </si>
  <si>
    <t xml:space="preserve">1. Chọn bài phù hợp → 2. Viết caption → 3. Share → 4. Engage</t>
  </si>
  <si>
    <t xml:space="preserve">Traffic to Page ≥500/tuần</t>
  </si>
  <si>
    <t xml:space="preserve">Click-through rate</t>
  </si>
  <si>
    <t xml:space="preserve">Caption nhóm khác caption Page</t>
  </si>
  <si>
    <t xml:space="preserve">Event thông báo Open Day</t>
  </si>
  <si>
    <t xml:space="preserve">Theo lịch (2 lần/tháng)</t>
  </si>
  <si>
    <t xml:space="preserve">Event Coordinator</t>
  </si>
  <si>
    <t xml:space="preserve">Tạo Event trong group, mời member, countdown, nhắc nhở. Link đăng ký GHL form</t>
  </si>
  <si>
    <t xml:space="preserve">1. Tạo Event → 2. Pin post → 3. Nhắc 3-1 ngày trước → 4. Follow up</t>
  </si>
  <si>
    <t xml:space="preserve">≥30 đăng ký/event</t>
  </si>
  <si>
    <t xml:space="preserve">RSVPs, Actual attendance</t>
  </si>
  <si>
    <t xml:space="preserve">Tag PH đã hỏi trước đó</t>
  </si>
  <si>
    <t xml:space="preserve">Khảo sát/Poll</t>
  </si>
  <si>
    <t xml:space="preserve">1 lần/tuần</t>
  </si>
  <si>
    <t xml:space="preserve">Poll nhanh: "Con bạn mấy tuổi?", "Bạn quan tâm chương trình nào?". Thu thập insight PH</t>
  </si>
  <si>
    <t xml:space="preserve">1. Tạo poll → 2. Phân tích kết quả → 3. Báo cáo team → 4. Điều chỉnh content</t>
  </si>
  <si>
    <t xml:space="preserve">Insight phụ huynh</t>
  </si>
  <si>
    <t xml:space="preserve">Poll votes, Data quality</t>
  </si>
  <si>
    <t xml:space="preserve">Dùng data cho chiến dịch ads</t>
  </si>
  <si>
    <t xml:space="preserve">Duyệt và kiểm soát nội dung</t>
  </si>
  <si>
    <t xml:space="preserve">Hàng ngày (24/7)</t>
  </si>
  <si>
    <t xml:space="preserve">Admin + Mod</t>
  </si>
  <si>
    <t xml:space="preserve">Duyệt bài pending, xóa spam, cảnh báo vi phạm. Giữ nhóm sạch và có giá trị</t>
  </si>
  <si>
    <t xml:space="preserve">1. Check pending posts → 2. Approve/Reject → 3. Xóa spam → 4. Nhắc quy tắc</t>
  </si>
  <si>
    <t xml:space="preserve">Spam rate &lt;1%</t>
  </si>
  <si>
    <t xml:space="preserve">Posts removed, Reports</t>
  </si>
  <si>
    <t xml:space="preserve">Đặt Admin Rules rõ ràng</t>
  </si>
  <si>
    <t xml:space="preserve">Testimonial từ PH trong nhóm</t>
  </si>
  <si>
    <t xml:space="preserve">Mời PH đang học chia sẻ trải nghiệm. Tag PH, tạo thread thảo luận</t>
  </si>
  <si>
    <t xml:space="preserve">1. Liên hệ PH → 2. Xin phép → 3. Đăng bài → 4. Engage → 5. Chuyển lead</t>
  </si>
  <si>
    <t xml:space="preserve">≥20 comments/bài</t>
  </si>
  <si>
    <t xml:space="preserve">Engagement, New leads</t>
  </si>
  <si>
    <t xml:space="preserve">Xác thực PH thật</t>
  </si>
  <si>
    <t xml:space="preserve">Báo cáo &amp; Phân tích nhóm</t>
  </si>
  <si>
    <t xml:space="preserve">Hàng tuần (T2)</t>
  </si>
  <si>
    <t xml:space="preserve">Tổng hợp: members mới, bài hot, câu hỏi phổ biến, leads chuyển đổi, sentiment</t>
  </si>
  <si>
    <t xml:space="preserve">1. Export Group Insights → 2. Phân tích → 3. Báo cáo → 4. Điều chỉnh strategy</t>
  </si>
  <si>
    <t xml:space="preserve">Báo cáo chính xác</t>
  </si>
  <si>
    <t xml:space="preserve">Report on time, Actionable insights</t>
  </si>
  <si>
    <t xml:space="preserve">Dùng Google Sheets tracking</t>
  </si>
  <si>
    <t xml:space="preserve">D. ZALO OA — Chiến Lược Nuôi Kênh &amp; Tự Động Hóa</t>
  </si>
  <si>
    <t xml:space="preserve">Tự động hóa</t>
  </si>
  <si>
    <t xml:space="preserve">Công cụ</t>
  </si>
  <si>
    <t xml:space="preserve">Đăng bài Article</t>
  </si>
  <si>
    <t xml:space="preserve">Bài viết 300-800 từ: tips GD, giới thiệu chương trình, sự kiện. Hình ảnh đẹp, CTA rõ ràng</t>
  </si>
  <si>
    <t xml:space="preserve">Lên lịch qua Zalo OA Admin</t>
  </si>
  <si>
    <t xml:space="preserve">Views ≥5,000, Clicks ≥200</t>
  </si>
  <si>
    <t xml:space="preserve">Zalo OA Admin, Canva</t>
  </si>
  <si>
    <t xml:space="preserve">Article dài hơn FB, SEO Zalo Search</t>
  </si>
  <si>
    <t xml:space="preserve">Gửi Broadcast tin nhắn</t>
  </si>
  <si>
    <t xml:space="preserve">Thông báo sự kiện, ưu đãi, nhắc nhở. Segment: MN, TH, THCS, THPT</t>
  </si>
  <si>
    <t xml:space="preserve">GHL workflow → Zalo API → Broadcast</t>
  </si>
  <si>
    <t xml:space="preserve">Open rate ≥40%, Click rate ≥8%</t>
  </si>
  <si>
    <t xml:space="preserve">GHL, Zalo API, Make.com</t>
  </si>
  <si>
    <t xml:space="preserve">Không gửi quá 2 lần/tuần tránh spam</t>
  </si>
  <si>
    <t xml:space="preserve">Chatbot tự động trả lời</t>
  </si>
  <si>
    <t xml:space="preserve">FAQ: học phí, chương trình, đăng ký tham quan. Chuyển sang nhân viên khi cần</t>
  </si>
  <si>
    <t xml:space="preserve">GHL Chatbot + Zalo OA Chatbot</t>
  </si>
  <si>
    <t xml:space="preserve">Response time &lt;5s, Resolution rate ≥60%</t>
  </si>
  <si>
    <t xml:space="preserve">GHL, Zalo Chatbot Builder</t>
  </si>
  <si>
    <t xml:space="preserve">Cập nhật FAQ hàng tháng</t>
  </si>
  <si>
    <t xml:space="preserve">Tư vấn 1-1 qua tin nhắn</t>
  </si>
  <si>
    <t xml:space="preserve">Trong giờ hành chính</t>
  </si>
  <si>
    <t xml:space="preserve">8:00-17:00</t>
  </si>
  <si>
    <t xml:space="preserve">Tư vấn chi tiết: học phí, chương trình, xe đưa đón. Chuyển lead sang pipeline GHL</t>
  </si>
  <si>
    <t xml:space="preserve">Pancake CRM gán lead → Tư vấn viên nhận → GHL track</t>
  </si>
  <si>
    <t xml:space="preserve">Conversion rate ≥15%</t>
  </si>
  <si>
    <t xml:space="preserve">Pancake CRM, GHL, Zalo OA</t>
  </si>
  <si>
    <t xml:space="preserve">Script tư vấn chuẩn hóa</t>
  </si>
  <si>
    <t xml:space="preserve">Mini App giới thiệu trường</t>
  </si>
  <si>
    <t xml:space="preserve">Cập nhật hàng tháng</t>
  </si>
  <si>
    <t xml:space="preserve">Mini App trên Zalo: giới thiệu cơ sở, chương trình, form đăng ký, lịch Open Day</t>
  </si>
  <si>
    <t xml:space="preserve">Zalo Mini App Builder</t>
  </si>
  <si>
    <t xml:space="preserve">Mini App users, Form submissions</t>
  </si>
  <si>
    <t xml:space="preserve">Zalo Mini App</t>
  </si>
  <si>
    <t xml:space="preserve">Cập nhật ưu đãi theo tháng</t>
  </si>
  <si>
    <t xml:space="preserve">Zalo Group (6 nhóm PH)</t>
  </si>
  <si>
    <t xml:space="preserve">Xuyên suốt</t>
  </si>
  <si>
    <t xml:space="preserve">Nhóm PH theo cơ sở, chia sẻ hình ảnh học sinh, thông báo, tương tác</t>
  </si>
  <si>
    <t xml:space="preserve">N/A (manual)</t>
  </si>
  <si>
    <t xml:space="preserve">Active rate ≥50%</t>
  </si>
  <si>
    <t xml:space="preserve">Zalo App</t>
  </si>
  <si>
    <t xml:space="preserve">Nhóm riêng cho PH đang học vs tiềm năng</t>
  </si>
  <si>
    <t xml:space="preserve">Follow-up sau sự kiện</t>
  </si>
  <si>
    <t xml:space="preserve">Sau mỗi event</t>
  </si>
  <si>
    <t xml:space="preserve">24h sau event</t>
  </si>
  <si>
    <t xml:space="preserve">Gửi tin nhắn cảm ơn, hình ảnh event, link feedback, CTA đăng ký</t>
  </si>
  <si>
    <t xml:space="preserve">GHL automation: Event tag → 24h delay → Zalo message</t>
  </si>
  <si>
    <t xml:space="preserve">Follow-up rate 100%</t>
  </si>
  <si>
    <t xml:space="preserve">GHL, Zalo API</t>
  </si>
  <si>
    <t xml:space="preserve">Personalize theo tên PH</t>
  </si>
  <si>
    <t xml:space="preserve">Remarketing Zalo</t>
  </si>
  <si>
    <t xml:space="preserve">T2, T5</t>
  </si>
  <si>
    <t xml:space="preserve">Gửi lại cho PH đã tương tác nhưng chưa convert. Nội dung: testimonial, ưu đãi, urgency</t>
  </si>
  <si>
    <t xml:space="preserve">GHL: Pipeline stage filter → Zalo broadcast</t>
  </si>
  <si>
    <t xml:space="preserve">Re-engagement rate ≥20%</t>
  </si>
  <si>
    <t xml:space="preserve">GHL, Zalo OA</t>
  </si>
  <si>
    <t xml:space="preserve">Không gửi quá 3 lần/lead</t>
  </si>
  <si>
    <t xml:space="preserve">E. YOUTUBE — Chiến Lược Phát Triển Kênh Video Dài</t>
  </si>
  <si>
    <t xml:space="preserve">Loại video</t>
  </si>
  <si>
    <t xml:space="preserve">Nội dung chi tiết</t>
  </si>
  <si>
    <t xml:space="preserve">SEO Keywords</t>
  </si>
  <si>
    <t xml:space="preserve">Thumbnail</t>
  </si>
  <si>
    <t xml:space="preserve">CTA trong video</t>
  </si>
  <si>
    <t xml:space="preserve">Tour trường 360°</t>
  </si>
  <si>
    <t xml:space="preserve">1/tháng × 6 cơ sở</t>
  </si>
  <si>
    <t xml:space="preserve">5-8 phút</t>
  </si>
  <si>
    <t xml:space="preserve">Tour đầy đủ: cổng, sân, lớp học, canteen, phòng lab, thể thao. Narrator: Hiệu trưởng</t>
  </si>
  <si>
    <t xml:space="preserve">tour trường tư thục, trường việt anh, trường mầm non quận gò vấp</t>
  </si>
  <si>
    <t xml:space="preserve">Hình trường + Text "TOUR TRƯỜNG 2026"</t>
  </si>
  <si>
    <t xml:space="preserve">"Đăng ký tham quan trực tiếp — link mô tả"</t>
  </si>
  <si>
    <t xml:space="preserve">Views ≥5,000, Watch time ≥60%</t>
  </si>
  <si>
    <t xml:space="preserve">Quay 4K, gimbal stabilizer</t>
  </si>
  <si>
    <t xml:space="preserve">Phỏng vấn phụ huynh</t>
  </si>
  <si>
    <t xml:space="preserve">2/tuần</t>
  </si>
  <si>
    <t xml:space="preserve">3-5 phút</t>
  </si>
  <si>
    <t xml:space="preserve">PH chia sẻ lý do chọn trường, trải nghiệm con. Quay tại trường, tự nhiên</t>
  </si>
  <si>
    <t xml:space="preserve">review trường việt anh, phụ huynh nói gì, trường tư thục tốt</t>
  </si>
  <si>
    <t xml:space="preserve">Hình PH + Quote nổi bật</t>
  </si>
  <si>
    <t xml:space="preserve">"Con bạn cũng xứng đáng — inbox tư vấn"</t>
  </si>
  <si>
    <t xml:space="preserve">Views ≥2,000, Likes ≥100</t>
  </si>
  <si>
    <t xml:space="preserve">Xin consent form trước</t>
  </si>
  <si>
    <t xml:space="preserve">Tips giáo dục (series)</t>
  </si>
  <si>
    <t xml:space="preserve">1/tuần</t>
  </si>
  <si>
    <t xml:space="preserve">8-15 phút</t>
  </si>
  <si>
    <t xml:space="preserve">Series "Cùng Con Lớn Khôn": mỗi tập 1 chủ đề — kỹ năng sống, chuẩn bị lớp 1, tâm lý tuổi teen</t>
  </si>
  <si>
    <t xml:space="preserve">chuẩn bị vào lớp 1, dạy con kỹ năng sống, giáo dục sớm</t>
  </si>
  <si>
    <t xml:space="preserve">Hình GV + Icon chủ đề</t>
  </si>
  <si>
    <t xml:space="preserve">"Subscribe để nhận tips hàng tuần"</t>
  </si>
  <si>
    <t xml:space="preserve">Subscribers ≥500/tháng</t>
  </si>
  <si>
    <t xml:space="preserve">Series tạo brand authority</t>
  </si>
  <si>
    <t xml:space="preserve">2-4 phút</t>
  </si>
  <si>
    <t xml:space="preserve">Clip hoạt động: thể dục, âm nhạc, mỹ thuật, STEM, field trip. Montage style</t>
  </si>
  <si>
    <t xml:space="preserve">hoạt động ngoại khóa, trường tư thục, STEM education</t>
  </si>
  <si>
    <t xml:space="preserve">Collage hình HS vui vẻ</t>
  </si>
  <si>
    <t xml:space="preserve">"Xem thêm hoạt động — playlist link"</t>
  </si>
  <si>
    <t xml:space="preserve">Views ≥3,000</t>
  </si>
  <si>
    <t xml:space="preserve">Nhạc nền vui tươi, upbeat</t>
  </si>
  <si>
    <t xml:space="preserve">Webinar replay</t>
  </si>
  <si>
    <t xml:space="preserve">2/tháng</t>
  </si>
  <si>
    <t xml:space="preserve">45-60 phút</t>
  </si>
  <si>
    <t xml:space="preserve">Upload lại webinar tư vấn tuyển sinh. Thêm timestamp, chapter markers</t>
  </si>
  <si>
    <t xml:space="preserve">tuyển sinh 2026, tư vấn chọn trường, học phí trường tư</t>
  </si>
  <si>
    <t xml:space="preserve">Hình speaker + Tiêu đề webinar</t>
  </si>
  <si>
    <t xml:space="preserve">"Đăng ký webinar tiếp theo — link mô tả"</t>
  </si>
  <si>
    <t xml:space="preserve">Watch time ≥30%</t>
  </si>
  <si>
    <t xml:space="preserve">Thêm subtitle tiếng Việt</t>
  </si>
  <si>
    <t xml:space="preserve">YouTube Shorts</t>
  </si>
  <si>
    <t xml:space="preserve">1/ngày</t>
  </si>
  <si>
    <t xml:space="preserve">30-60 giây</t>
  </si>
  <si>
    <t xml:space="preserve">Clip ngắn: fun facts, behind the scenes, quick tips, student moments</t>
  </si>
  <si>
    <t xml:space="preserve">shorts giáo dục, trường học vui, mầm non</t>
  </si>
  <si>
    <t xml:space="preserve">N/A (auto thumbnail)</t>
  </si>
  <si>
    <t xml:space="preserve">"Follow để xem thêm mỗi ngày"</t>
  </si>
  <si>
    <t xml:space="preserve">Views ≥10,000, Subs ≥200/tháng</t>
  </si>
  <si>
    <t xml:space="preserve">Repurpose từ TikTok/Reels</t>
  </si>
  <si>
    <t xml:space="preserve">Playlist theo chủ đề</t>
  </si>
  <si>
    <t xml:space="preserve">Cập nhật liên tục</t>
  </si>
  <si>
    <t xml:space="preserve">6 playlist: MN, TH, THCS, THPT, Tips GD, Events. Sắp xếp logic</t>
  </si>
  <si>
    <t xml:space="preserve">Playlist click-through rate</t>
  </si>
  <si>
    <t xml:space="preserve">Playlist = SEO boost</t>
  </si>
  <si>
    <t xml:space="preserve">F. TIKTOK — Chiến Lược Tăng Trưởng Kênh Nhanh</t>
  </si>
  <si>
    <t xml:space="preserve">Xu hướng/Sound</t>
  </si>
  <si>
    <t xml:space="preserve">Behind the scenes</t>
  </si>
  <si>
    <t xml:space="preserve">Cảnh hậu trường: GV chuẩn bị bài, HS ăn trưa, sân chơi, thí nghiệm</t>
  </si>
  <si>
    <t xml:space="preserve">Trending sound phù hợp</t>
  </si>
  <si>
    <t xml:space="preserve">#TruongVietAnh #BehindTheScenes #SchoolLife</t>
  </si>
  <si>
    <t xml:space="preserve">Follow để xem thêm!</t>
  </si>
  <si>
    <t xml:space="preserve">Views ≥10,000</t>
  </si>
  <si>
    <t xml:space="preserve">Quay vertical, chất lượng tốt nhưng tự nhiên</t>
  </si>
  <si>
    <t xml:space="preserve">Tips nhanh cho PH</t>
  </si>
  <si>
    <t xml:space="preserve">Tips ngắn: "3 cách giúp con tự tin ngày đầu đi học", "5 món ăn sáng healthy"</t>
  </si>
  <si>
    <t xml:space="preserve">Nhạc nền nhẹ nhàng</t>
  </si>
  <si>
    <t xml:space="preserve">#TipsNuoiCon #ParentingTips #MamNon</t>
  </si>
  <si>
    <t xml:space="preserve">Lưu lại để dùng nhé! 💾</t>
  </si>
  <si>
    <t xml:space="preserve">Saves ≥500, Shares ≥200</t>
  </si>
  <si>
    <t xml:space="preserve">Text overlay rõ ràng</t>
  </si>
  <si>
    <t xml:space="preserve">Day in the life</t>
  </si>
  <si>
    <t xml:space="preserve">Một ngày của HS tại trường: từ đón buổi sáng → học → chơi → về</t>
  </si>
  <si>
    <t xml:space="preserve">Trending "day in the life" sound</t>
  </si>
  <si>
    <t xml:space="preserve">#DayInTheLife #SchoolVlog #TruongTuThuc</t>
  </si>
  <si>
    <t xml:space="preserve">Đăng ký cho con trải nghiệm!</t>
  </si>
  <si>
    <t xml:space="preserve">Views ≥20,000</t>
  </si>
  <si>
    <t xml:space="preserve">Cinematic style, transition đẹp</t>
  </si>
  <si>
    <t xml:space="preserve">Trend/Challenge</t>
  </si>
  <si>
    <t xml:space="preserve">3-5/tuần</t>
  </si>
  <si>
    <t xml:space="preserve">Tham gia trend TikTok với twist giáo dục. GV + HS cùng tham gia</t>
  </si>
  <si>
    <t xml:space="preserve">Trending challenge sound</t>
  </si>
  <si>
    <t xml:space="preserve">#SchoolChallenge #Teacher #TruongVietAnh</t>
  </si>
  <si>
    <t xml:space="preserve">Duet với chúng mình!</t>
  </si>
  <si>
    <t xml:space="preserve">Views ≥50,000</t>
  </si>
  <si>
    <t xml:space="preserve">Bắt trend trong 24-48h đầu</t>
  </si>
  <si>
    <t xml:space="preserve">Q&amp;A phụ huynh</t>
  </si>
  <si>
    <t xml:space="preserve">60s</t>
  </si>
  <si>
    <t xml:space="preserve">Trả lời câu hỏi PH: "Học phí bao nhiêu?", "Xe đưa đón có không?"</t>
  </si>
  <si>
    <t xml:space="preserve">Q&amp;A sticker sound</t>
  </si>
  <si>
    <t xml:space="preserve">#HoiDap #TuyenSinh #TruongVietAnh</t>
  </si>
  <si>
    <t xml:space="preserve">Comment câu hỏi để được trả lời!</t>
  </si>
  <si>
    <t xml:space="preserve">Comments ≥100</t>
  </si>
  <si>
    <t xml:space="preserve">Mặt người = engagement cao hơn</t>
  </si>
  <si>
    <t xml:space="preserve">Transformation/Before-After</t>
  </si>
  <si>
    <t xml:space="preserve">Before: phòng trống → After: lớp học sôi động. Before: HS rụt rè → After: tự tin</t>
  </si>
  <si>
    <t xml:space="preserve">Trending transition sound</t>
  </si>
  <si>
    <t xml:space="preserve">#Transformation #SchoolGlowUp</t>
  </si>
  <si>
    <t xml:space="preserve">Đăng ký để con bạn cũng transform!</t>
  </si>
  <si>
    <t xml:space="preserve">Views ≥30,000</t>
  </si>
  <si>
    <t xml:space="preserve">Transition phải smooth</t>
  </si>
  <si>
    <t xml:space="preserve">Giáo viên spotlight</t>
  </si>
  <si>
    <t xml:space="preserve">Giới thiệu GV: background, phương pháp giảng dạy, khoảnh khắc vui với HS</t>
  </si>
  <si>
    <t xml:space="preserve">Nhạc trending phù hợp</t>
  </si>
  <si>
    <t xml:space="preserve">#TeacherSpotlight #GiaoVien #TruongVietAnh</t>
  </si>
  <si>
    <t xml:space="preserve">GV tuyệt vời = trường tuyệt vời!</t>
  </si>
  <si>
    <t xml:space="preserve">Views ≥5,000, Follows ≥100</t>
  </si>
  <si>
    <t xml:space="preserve">GV đồng ý xuất hiện</t>
  </si>
  <si>
    <t xml:space="preserve">Livestream TikTok</t>
  </si>
  <si>
    <t xml:space="preserve">1/tuần (T7)</t>
  </si>
  <si>
    <t xml:space="preserve">30-60 phút</t>
  </si>
  <si>
    <t xml:space="preserve">Tour trường live, Q&amp;A, giới thiệu chương trình. Tặng gift cho viewers</t>
  </si>
  <si>
    <t xml:space="preserve">#LiveTuVan #TikTokLive #TuyenSinh</t>
  </si>
  <si>
    <t xml:space="preserve">Ấn ❤️ và Follow nhé!</t>
  </si>
  <si>
    <t xml:space="preserve">Peak viewers ≥500</t>
  </si>
  <si>
    <t xml:space="preserve">Chuẩn bị kịch bản, dàn máy tốt</t>
  </si>
  <si>
    <t xml:space="preserve">G. INSTAGRAM — Chiến Lược Xây Dựng Brand &amp; Reach Expat</t>
  </si>
  <si>
    <t xml:space="preserve">Hashtag strategy</t>
  </si>
  <si>
    <t xml:space="preserve">Feed post – Carousel</t>
  </si>
  <si>
    <t xml:space="preserve">1080x1080 × 5-10 slides</t>
  </si>
  <si>
    <t xml:space="preserve">Hình ảnh chất lượng cao: trường, HS, hoạt động. Design thống nhất brand colors</t>
  </si>
  <si>
    <t xml:space="preserve">30 hashtag mix: 10 broad + 10 niche + 10 local</t>
  </si>
  <si>
    <t xml:space="preserve">Save bài viết này nhé! Link in bio 📲</t>
  </si>
  <si>
    <t xml:space="preserve">Reach ≥3,000, Saves ≥50</t>
  </si>
  <si>
    <t xml:space="preserve">Grid aesthetic quan trọng</t>
  </si>
  <si>
    <t xml:space="preserve">1080x1920 30-60s</t>
  </si>
  <si>
    <t xml:space="preserve">Reels format = reach cao nhất. Repurpose từ TikTok + thêm IG-specific</t>
  </si>
  <si>
    <t xml:space="preserve">Reels hashtags: #ReelsVietnam #SchoolReels</t>
  </si>
  <si>
    <t xml:space="preserve">Follow @truongvietanh cho thêm!</t>
  </si>
  <si>
    <t xml:space="preserve">Views ≥5,000, Reaches ≥8,000</t>
  </si>
  <si>
    <t xml:space="preserve">Reels ≠ TikTok: tone chuyên nghiệp hơn</t>
  </si>
  <si>
    <t xml:space="preserve">Stories</t>
  </si>
  <si>
    <t xml:space="preserve">3-5/ngày</t>
  </si>
  <si>
    <t xml:space="preserve">1080x1920</t>
  </si>
  <si>
    <t xml:space="preserve">Behind the scenes, polls, Q&amp;A sticker, countdown sự kiện, "swipe up"</t>
  </si>
  <si>
    <t xml:space="preserve">Tap link / DM "INFO" để tư vấn</t>
  </si>
  <si>
    <t xml:space="preserve">Story views ≥1,500, Sticker taps ≥100</t>
  </si>
  <si>
    <t xml:space="preserve">Lưu Highlights theo chủ đề</t>
  </si>
  <si>
    <t xml:space="preserve">Highlights</t>
  </si>
  <si>
    <t xml:space="preserve">Cập nhật thường xuyên</t>
  </si>
  <si>
    <t xml:space="preserve">Cover icons thống nhất</t>
  </si>
  <si>
    <t xml:space="preserve">8 Highlights: Tour, MN, TH, THCS, THPT, Events, PH Reviews, FAQ</t>
  </si>
  <si>
    <t xml:space="preserve">Highlight views</t>
  </si>
  <si>
    <t xml:space="preserve">Cover design thống nhất brand</t>
  </si>
  <si>
    <t xml:space="preserve">Collab với influencer/PH</t>
  </si>
  <si>
    <t xml:space="preserve">Collab post/Reel</t>
  </si>
  <si>
    <t xml:space="preserve">Mời mommy blogger, education influencer collab. Họ đến trường trải nghiệm + đăng bài</t>
  </si>
  <si>
    <t xml:space="preserve">Influencer hashtag + School hashtag</t>
  </si>
  <si>
    <t xml:space="preserve">Check bio @truongvietanh!</t>
  </si>
  <si>
    <t xml:space="preserve">New followers ≥300/collab</t>
  </si>
  <si>
    <t xml:space="preserve">Budget 5-15M VND/collab</t>
  </si>
  <si>
    <t xml:space="preserve">IG Shopping/Link</t>
  </si>
  <si>
    <t xml:space="preserve">Link in bio</t>
  </si>
  <si>
    <t xml:space="preserve">Linktree hoặc GHL landing page: form đăng ký, lịch Open Day, học phí, liên hệ</t>
  </si>
  <si>
    <t xml:space="preserve">Link in bio 👆</t>
  </si>
  <si>
    <t xml:space="preserve">Link clicks ≥200/tuần</t>
  </si>
  <si>
    <t xml:space="preserve">Dùng Linktree Pro hoặc GHL</t>
  </si>
  <si>
    <t xml:space="preserve">H. KPI TỔNG HỢP SOCIAL MEDIA — THEO THÁNG (T4-T9/2026)</t>
  </si>
  <si>
    <t xml:space="preserve">KPI Metric</t>
  </si>
  <si>
    <t xml:space="preserve">Tổng/Trung bình</t>
  </si>
  <si>
    <t xml:space="preserve">FB Page Followers (tích lũy)</t>
  </si>
  <si>
    <t xml:space="preserve">FB Page Reach/tháng</t>
  </si>
  <si>
    <t xml:space="preserve">100,000</t>
  </si>
  <si>
    <t xml:space="preserve">250,000</t>
  </si>
  <si>
    <t xml:space="preserve">300,000</t>
  </si>
  <si>
    <t xml:space="preserve">1,250,000</t>
  </si>
  <si>
    <t xml:space="preserve">FB Page Engagement Rate</t>
  </si>
  <si>
    <t xml:space="preserve">3.25%</t>
  </si>
  <si>
    <t xml:space="preserve">FB Group Members (tổng)</t>
  </si>
  <si>
    <t xml:space="preserve">Zalo OA Followers (tích lũy)</t>
  </si>
  <si>
    <t xml:space="preserve">Zalo OA Open Rate</t>
  </si>
  <si>
    <t xml:space="preserve">41.3%</t>
  </si>
  <si>
    <t xml:space="preserve">YouTube Subscribers (tích lũy)</t>
  </si>
  <si>
    <t xml:space="preserve">YouTube Views/tháng</t>
  </si>
  <si>
    <t xml:space="preserve">315,000</t>
  </si>
  <si>
    <t xml:space="preserve">TikTok Followers (tích lũy)</t>
  </si>
  <si>
    <t xml:space="preserve">TikTok Views/tháng</t>
  </si>
  <si>
    <t xml:space="preserve">3,700,000</t>
  </si>
  <si>
    <t xml:space="preserve">Instagram Followers (tích lũy)</t>
  </si>
  <si>
    <t xml:space="preserve">Tổng leads từ Social Media</t>
  </si>
  <si>
    <t xml:space="preserve">Social Media → Tour rate</t>
  </si>
  <si>
    <t xml:space="preserve">15%</t>
  </si>
  <si>
    <t xml:space="preserve">20%</t>
  </si>
  <si>
    <t xml:space="preserve">22%</t>
  </si>
  <si>
    <t xml:space="preserve">18.8%</t>
  </si>
  <si>
    <t xml:space="preserve">Chi phí/lead từ Social</t>
  </si>
  <si>
    <t xml:space="preserve">45,000</t>
  </si>
  <si>
    <t xml:space="preserve">38,000</t>
  </si>
  <si>
    <t xml:space="preserve">43,333</t>
  </si>
  <si>
    <t xml:space="preserve">HƯỚNG DẪN SETUP &amp; ĐỒNG BỘ: GoHighLevel + Pancake CRM + Make.com + Birch PPC</t>
  </si>
  <si>
    <t xml:space="preserve">A. TỔNG QUAN KIẾN TRÚC HỆ THỐNG (System Architecture)</t>
  </si>
  <si>
    <t xml:space="preserve">Thành phần</t>
  </si>
  <si>
    <t xml:space="preserve">Kết nối với</t>
  </si>
  <si>
    <t xml:space="preserve">Phương thức kết nối</t>
  </si>
  <si>
    <t xml:space="preserve">Dữ liệu trao đổi</t>
  </si>
  <si>
    <t xml:space="preserve">Tần suất đồng bộ</t>
  </si>
  <si>
    <t xml:space="preserve">Chi phí/tháng</t>
  </si>
  <si>
    <t xml:space="preserve">GoHighLevel (GHL)</t>
  </si>
  <si>
    <t xml:space="preserve">CRM chính, Automation, Landing Pages, Forms, Email/SMS</t>
  </si>
  <si>
    <t xml:space="preserve">Pancake (qua Make.com), Birch, Zalo API, Meta, Google</t>
  </si>
  <si>
    <t xml:space="preserve">API + Webhooks + Make.com</t>
  </si>
  <si>
    <t xml:space="preserve">Contacts, Opportunities, Tags, Notes, Activities</t>
  </si>
  <si>
    <t xml:space="preserve">Real-time (webhook)</t>
  </si>
  <si>
    <t xml:space="preserve">$297/tháng (Agency Pro)</t>
  </si>
  <si>
    <t xml:space="preserve">Hub trung tâm của hệ thống</t>
  </si>
  <si>
    <t xml:space="preserve">Quản lý lead từ Facebook, Zalo. Chat đa kênh. Phân lead cho tư vấn viên</t>
  </si>
  <si>
    <t xml:space="preserve">GHL (qua Make.com), Facebook Pages, Zalo OA</t>
  </si>
  <si>
    <t xml:space="preserve">Make.com webhooks + Facebook Graph API + Zalo API</t>
  </si>
  <si>
    <t xml:space="preserve">Leads, Conversations, Tags, Assignments</t>
  </si>
  <si>
    <t xml:space="preserve">500,000 VND/tháng</t>
  </si>
  <si>
    <t xml:space="preserve">CRM phổ biến nhất VN cho FB/Zalo</t>
  </si>
  <si>
    <t xml:space="preserve">Make.com (Integromat)</t>
  </si>
  <si>
    <t xml:space="preserve">Middleware: đồng bộ dữ liệu giữa GHL ↔ Pancake ↔ Google Sheets</t>
  </si>
  <si>
    <t xml:space="preserve">GHL, Pancake, Google Sheets, Zalo API</t>
  </si>
  <si>
    <t xml:space="preserve">HTTP/Webhooks + Native modules</t>
  </si>
  <si>
    <t xml:space="preserve">Contact sync, Tag sync, Activity logs</t>
  </si>
  <si>
    <t xml:space="preserve">Real-time + Batch (hourly)</t>
  </si>
  <si>
    <t xml:space="preserve">$29/tháng (Pro)</t>
  </si>
  <si>
    <t xml:space="preserve">10,000 operations/tháng đủ dùng</t>
  </si>
  <si>
    <t xml:space="preserve">Quản lý ads đa nền tảng: Meta, Google, TikTok. Automation rules, Reporting</t>
  </si>
  <si>
    <t xml:space="preserve">Meta Ads, Google Ads, TikTok Ads, GHL</t>
  </si>
  <si>
    <t xml:space="preserve">API native + GHL webhook</t>
  </si>
  <si>
    <t xml:space="preserve">Ad spend, Leads, CPA, ROAS, Campaign data</t>
  </si>
  <si>
    <t xml:space="preserve">Every 15 minutes</t>
  </si>
  <si>
    <t xml:space="preserve">$79/tháng</t>
  </si>
  <si>
    <t xml:space="preserve">Thay thế việc vào từng ads manager</t>
  </si>
  <si>
    <t xml:space="preserve">Chạy quảng cáo Facebook + Instagram</t>
  </si>
  <si>
    <t xml:space="preserve">Birch, GHL (Pixel + CAPI)</t>
  </si>
  <si>
    <t xml:space="preserve">Meta Marketing API + Pixel + CAPI</t>
  </si>
  <si>
    <t xml:space="preserve">Campaigns, Ad sets, Ads, Leads, Pixel events</t>
  </si>
  <si>
    <t xml:space="preserve">Theo budget ads</t>
  </si>
  <si>
    <t xml:space="preserve">Birch quản lý, GHL track leads</t>
  </si>
  <si>
    <t xml:space="preserve">Chạy quảng cáo Search, Display, YouTube</t>
  </si>
  <si>
    <t xml:space="preserve">Birch, GHL (GCLID tracking)</t>
  </si>
  <si>
    <t xml:space="preserve">Google Ads API + GTM</t>
  </si>
  <si>
    <t xml:space="preserve">Campaigns, Keywords, Leads, GCLID</t>
  </si>
  <si>
    <t xml:space="preserve">Chạy quảng cáo TikTok</t>
  </si>
  <si>
    <t xml:space="preserve">Birch, GHL (Pixel)</t>
  </si>
  <si>
    <t xml:space="preserve">TikTok Marketing API + Pixel</t>
  </si>
  <si>
    <t xml:space="preserve">Campaigns, Ads, Leads, Pixel events</t>
  </si>
  <si>
    <t xml:space="preserve">Mới thêm cho T6-T9/2026</t>
  </si>
  <si>
    <t xml:space="preserve">Google Tag Manager</t>
  </si>
  <si>
    <t xml:space="preserve">Quản lý tất cả tracking pixels</t>
  </si>
  <si>
    <t xml:space="preserve">Website, Meta Pixel, GA4, TikTok Pixel, Zalo Pixel</t>
  </si>
  <si>
    <t xml:space="preserve">JavaScript tags + Server-side</t>
  </si>
  <si>
    <t xml:space="preserve">Events: PageView, Lead, SubmitForm, ViewContent</t>
  </si>
  <si>
    <t xml:space="preserve">Miễn phí</t>
  </si>
  <si>
    <t xml:space="preserve">Server-side GTM cho CAPI</t>
  </si>
  <si>
    <t xml:space="preserve">Zalo API/OA</t>
  </si>
  <si>
    <t xml:space="preserve">Gửi tin nhắn, chatbot, broadcast qua Zalo</t>
  </si>
  <si>
    <t xml:space="preserve">GHL (qua Make.com), Pancake</t>
  </si>
  <si>
    <t xml:space="preserve">Zalo Official Account API</t>
  </si>
  <si>
    <t xml:space="preserve">Messages, Followers, Events</t>
  </si>
  <si>
    <t xml:space="preserve">Theo gói OA</t>
  </si>
  <si>
    <t xml:space="preserve">Cần đăng ký OA verified</t>
  </si>
  <si>
    <t xml:space="preserve">Backup data, Reporting dashboard, Data validation</t>
  </si>
  <si>
    <t xml:space="preserve">Make.com, GHL</t>
  </si>
  <si>
    <t xml:space="preserve">Google Sheets API (qua Make.com)</t>
  </si>
  <si>
    <t xml:space="preserve">Contact lists, KPI data, Reports</t>
  </si>
  <si>
    <t xml:space="preserve">Hourly batch</t>
  </si>
  <si>
    <t xml:space="preserve">Dashboard backup cho team</t>
  </si>
  <si>
    <t xml:space="preserve">B. SETUP GOHIGHLEVEL — 50 BƯỚC CHI TIẾT</t>
  </si>
  <si>
    <t xml:space="preserve">Thời gian ước tính</t>
  </si>
  <si>
    <t xml:space="preserve">Dependency</t>
  </si>
  <si>
    <t xml:space="preserve">Link hướng dẫn</t>
  </si>
  <si>
    <t xml:space="preserve">Account Setup</t>
  </si>
  <si>
    <t xml:space="preserve">Đăng ký GHL Agency Pro ($297/tháng). Verify email, setup 2FA</t>
  </si>
  <si>
    <t xml:space="preserve">30 phút</t>
  </si>
  <si>
    <t xml:space="preserve">01/04</t>
  </si>
  <si>
    <t xml:space="preserve">Dùng email công ty</t>
  </si>
  <si>
    <t xml:space="preserve">app.gohighlevel.com</t>
  </si>
  <si>
    <t xml:space="preserve">Tạo Sub-account "Trường Việt Anh" dưới Agency account</t>
  </si>
  <si>
    <t xml:space="preserve">15 phút</t>
  </si>
  <si>
    <t xml:space="preserve">Có thể tạo nhiều sub-acc</t>
  </si>
  <si>
    <t xml:space="preserve">GHL Docs: Sub-accounts</t>
  </si>
  <si>
    <t xml:space="preserve">Cấu hình Business Info: tên, địa chỉ 6 cơ sở, SĐT, email, logo, brand colors</t>
  </si>
  <si>
    <t xml:space="preserve">Upload logo HD</t>
  </si>
  <si>
    <t xml:space="preserve">Tạo user accounts cho team: Admin, Marketing, Tư vấn viên (6), Content (3)</t>
  </si>
  <si>
    <t xml:space="preserve">45 phút</t>
  </si>
  <si>
    <t xml:space="preserve">Phân quyền theo role</t>
  </si>
  <si>
    <t xml:space="preserve">GHL Docs: Team Management</t>
  </si>
  <si>
    <t xml:space="preserve">Kết nối domain: forms.truongvietanh.com cho landing pages, tracking</t>
  </si>
  <si>
    <t xml:space="preserve">02/04</t>
  </si>
  <si>
    <t xml:space="preserve">Cần DNS access</t>
  </si>
  <si>
    <t xml:space="preserve">Pipeline Setup</t>
  </si>
  <si>
    <t xml:space="preserve">Tạo Pipeline "Tuyển Sinh 2026" với 8 stages: New Lead → Contacted → Qualified → Tour Scheduled → Tour Completed → Application → Enrolled → Lost</t>
  </si>
  <si>
    <t xml:space="preserve">Tên stage tiếng Việt + Anh</t>
  </si>
  <si>
    <t xml:space="preserve">Tạo Pipeline "Tái Tuyển Sinh" cho PH cũ: Active → Renewal Notice → Confirmed → Churned</t>
  </si>
  <si>
    <t xml:space="preserve">Bước 6</t>
  </si>
  <si>
    <t xml:space="preserve">Cấu hình Opportunity settings: custom fields (Cơ sở, Cấp học, Nguồn lead, Ngày tour)</t>
  </si>
  <si>
    <t xml:space="preserve">Fields phải match Pancake</t>
  </si>
  <si>
    <t xml:space="preserve">Setup Pipeline Automation: auto-move khi tag thay đổi, khi form submit</t>
  </si>
  <si>
    <t xml:space="preserve">03/04</t>
  </si>
  <si>
    <t xml:space="preserve">Bước 8</t>
  </si>
  <si>
    <t xml:space="preserve">Test kỹ trước go-live</t>
  </si>
  <si>
    <t xml:space="preserve">Tạo Custom Fields cho Contact: Họ tên con, Ngày sinh con, Cấp học quan tâm, Cơ sở quan tâm, Nguồn lead, UTM Source/Medium/Campaign</t>
  </si>
  <si>
    <t xml:space="preserve">Mapping với Pancake fields</t>
  </si>
  <si>
    <t xml:space="preserve">Tạo Tag system: theo Nguồn (FB, Zalo, Google, TikTok, Referral, Walk-in), theo Cấp học (MN, TH, THCS, THPT), theo Cơ sở (6 tags), theo Hành vi (Tour, Webinar, Download)</t>
  </si>
  <si>
    <t xml:space="preserve">Bước 10</t>
  </si>
  <si>
    <t xml:space="preserve">Tổng ~30 tags</t>
  </si>
  <si>
    <t xml:space="preserve">Import danh sách contacts hiện tại từ Pancake CRM vào GHL (CSV import)</t>
  </si>
  <si>
    <t xml:space="preserve">04/04</t>
  </si>
  <si>
    <t xml:space="preserve">Bước 10-11</t>
  </si>
  <si>
    <t xml:space="preserve">Map fields chính xác</t>
  </si>
  <si>
    <t xml:space="preserve">Tạo Form "Đăng ký tư vấn" (Master form): Họ tên PH, SĐT, Email, Tên con, Tuổi con, Cấp học, Cơ sở, UTM hidden fields</t>
  </si>
  <si>
    <t xml:space="preserve">UTM auto-capture</t>
  </si>
  <si>
    <t xml:space="preserve">Tạo Form "Đăng ký Open Day" + Form "Đăng ký Webinar" + Form "Nhận học bổng"</t>
  </si>
  <si>
    <t xml:space="preserve">1.5 giờ</t>
  </si>
  <si>
    <t xml:space="preserve">Bước 13</t>
  </si>
  <si>
    <t xml:space="preserve">Mỗi form → riêng tag</t>
  </si>
  <si>
    <t xml:space="preserve">Tạo Form "Tour trường" cho từng cơ sở (6 forms) với date picker</t>
  </si>
  <si>
    <t xml:space="preserve">05/04</t>
  </si>
  <si>
    <t xml:space="preserve">Integrate GHL Calendar</t>
  </si>
  <si>
    <t xml:space="preserve">Tạo Landing Page "Tuyển Sinh 2026" (trang chính): Hero, USP, Chương trình, Cơ sở, Testimonial, FAQ, Form CTA</t>
  </si>
  <si>
    <t xml:space="preserve">4 giờ</t>
  </si>
  <si>
    <t xml:space="preserve">Marketing Lead + Designer</t>
  </si>
  <si>
    <t xml:space="preserve">05-06/04</t>
  </si>
  <si>
    <t xml:space="preserve">Bước 13-14</t>
  </si>
  <si>
    <t xml:space="preserve">Mobile-first design</t>
  </si>
  <si>
    <t xml:space="preserve">Tạo 6 Landing Pages cho từng cơ sở: customize thông tin, hình ảnh, form riêng</t>
  </si>
  <si>
    <t xml:space="preserve">6 giờ</t>
  </si>
  <si>
    <t xml:space="preserve">07-08/04</t>
  </si>
  <si>
    <t xml:space="preserve">Bước 16</t>
  </si>
  <si>
    <t xml:space="preserve">Clone từ master LP</t>
  </si>
  <si>
    <t xml:space="preserve">Tạo Landing Page "Webinar" + "Open Day" + "Scholarship"</t>
  </si>
  <si>
    <t xml:space="preserve">3 giờ</t>
  </si>
  <si>
    <t xml:space="preserve">08-09/04</t>
  </si>
  <si>
    <t xml:space="preserve">Setup GHL Calendar cho Tour trường: 6 calendars (1/cơ sở), slots T2-T7, 8:00-16:00, 45 phút/slot</t>
  </si>
  <si>
    <t xml:space="preserve">Round-robin cho tư vấn viên</t>
  </si>
  <si>
    <t xml:space="preserve">Cấu hình Calendar notifications: email + SMS xác nhận, nhắc 24h + 2h trước</t>
  </si>
  <si>
    <t xml:space="preserve">Bước 19</t>
  </si>
  <si>
    <t xml:space="preserve">Workflows</t>
  </si>
  <si>
    <t xml:space="preserve">Tạo Workflow "Welcome New Lead": Trigger form submit → Add tag → Assign tư vấn viên → Send email welcome → Send SMS → Wait 1h → If no response → Send Zalo</t>
  </si>
  <si>
    <t xml:space="preserve">Test end-to-end</t>
  </si>
  <si>
    <t xml:space="preserve">Tạo Workflow "Lead Nurture": Day 1 → Email 1 → Day 3 → Email 2 → Day 5 → SMS → Day 7 → Zalo → Day 10 → Email 3 + Webinar invite</t>
  </si>
  <si>
    <t xml:space="preserve">Bước 21</t>
  </si>
  <si>
    <t xml:space="preserve">If/Else cho từng cấp học</t>
  </si>
  <si>
    <t xml:space="preserve">Tạo Workflow "Tour Reminder": Tour booked → Confirm email → -24h SMS → -2h Zalo → +1h post-tour email → +24h feedback form → If no-show → Reschedule workflow</t>
  </si>
  <si>
    <t xml:space="preserve">11/04</t>
  </si>
  <si>
    <t xml:space="preserve">Bước 19-20</t>
  </si>
  <si>
    <t xml:space="preserve">Tạo Workflow "Post-Tour Follow-up": Tour completed → +1 day thank you → +3 days testimonial request → +5 days enrollment offer → +7 days urgency</t>
  </si>
  <si>
    <t xml:space="preserve">Bước 23</t>
  </si>
  <si>
    <t xml:space="preserve">Tạo Workflow "Webinar Registration": Register → Confirm email → -24h reminder → -1h reminder → Post-webinar: replay + CTA → +2 days follow-up</t>
  </si>
  <si>
    <t xml:space="preserve">Bước 14</t>
  </si>
  <si>
    <t xml:space="preserve">Tạo Workflow "Re-engagement": 14 days no activity → Email win-back → 7 days → SMS → 7 days → Zalo → 7 days → Mark as Cold</t>
  </si>
  <si>
    <t xml:space="preserve">Bước 22</t>
  </si>
  <si>
    <t xml:space="preserve">Tạo Workflow "Scholarship Application": Apply → Confirm → Admin review → Approved/Rejected → Email notification → If approved → Enrollment workflow</t>
  </si>
  <si>
    <t xml:space="preserve">13/04</t>
  </si>
  <si>
    <t xml:space="preserve">Tạo Workflow "Referral Program": PH giới thiệu → Form submit → Tag referrer → Thank you → Track enrollment → If enrolled → Reward email</t>
  </si>
  <si>
    <t xml:space="preserve">Email Templates</t>
  </si>
  <si>
    <t xml:space="preserve">Tạo 6 Email Templates: Welcome, Tour Confirm, Webinar Invite, Scholarship, Enrollment Offer, Re-engage</t>
  </si>
  <si>
    <t xml:space="preserve">Content + Designer</t>
  </si>
  <si>
    <t xml:space="preserve">14/04</t>
  </si>
  <si>
    <t xml:space="preserve">Bước 21-28</t>
  </si>
  <si>
    <t xml:space="preserve">HTML responsive design</t>
  </si>
  <si>
    <t xml:space="preserve">Tạo Email Newsletter template: header, body sections, CTA buttons, footer, unsubscribe</t>
  </si>
  <si>
    <t xml:space="preserve">Bước 29</t>
  </si>
  <si>
    <t xml:space="preserve">Brand colors + logo</t>
  </si>
  <si>
    <t xml:space="preserve">SMS Setup</t>
  </si>
  <si>
    <t xml:space="preserve">Đăng ký SMS Brandname "TRUONGVA" qua provider (eSMS/SpeedSMS)</t>
  </si>
  <si>
    <t xml:space="preserve">2 ngày</t>
  </si>
  <si>
    <t xml:space="preserve">01-03/04</t>
  </si>
  <si>
    <t xml:space="preserve">Cần giấy phép</t>
  </si>
  <si>
    <t xml:space="preserve">Kết nối SMS provider với GHL qua API/webhook</t>
  </si>
  <si>
    <t xml:space="preserve">Bước 31</t>
  </si>
  <si>
    <t xml:space="preserve">Test gửi/nhận</t>
  </si>
  <si>
    <t xml:space="preserve">Tạo SMS templates: Confirm tour (60 ký tự), Reminder (60 ký tự), Thank you (60 ký tự)</t>
  </si>
  <si>
    <t xml:space="preserve">Bước 32</t>
  </si>
  <si>
    <t xml:space="preserve">Ngắn gọn, có link</t>
  </si>
  <si>
    <t xml:space="preserve">Cài đặt GHL tracking code trên website truongvietanh.com + tất cả landing pages</t>
  </si>
  <si>
    <t xml:space="preserve">Bước 16-18</t>
  </si>
  <si>
    <t xml:space="preserve">Verify bằng GHL debugger</t>
  </si>
  <si>
    <t xml:space="preserve">Setup UTM parameter tracking: tạo UTM builder template cho team, cấu hình auto-capture trên forms</t>
  </si>
  <si>
    <t xml:space="preserve">Chuẩn hóa UTM naming convention</t>
  </si>
  <si>
    <t xml:space="preserve">Kết nối Facebook Pixel + Conversions API (CAPI) với GHL</t>
  </si>
  <si>
    <t xml:space="preserve">06/04</t>
  </si>
  <si>
    <t xml:space="preserve">Bước 34</t>
  </si>
  <si>
    <t xml:space="preserve">Server-side tracking cho iOS 14+</t>
  </si>
  <si>
    <t xml:space="preserve">Setup Google Analytics 4 + Google Tag Manager trên GHL pages</t>
  </si>
  <si>
    <t xml:space="preserve">Enhanced conversions</t>
  </si>
  <si>
    <t xml:space="preserve">Tạo GHL Dashboard: Pipeline overview, Lead sources, Conversion rates, Revenue tracking</t>
  </si>
  <si>
    <t xml:space="preserve">Bước 6-37</t>
  </si>
  <si>
    <t xml:space="preserve">39</t>
  </si>
  <si>
    <t xml:space="preserve">Setup automated weekly report: email to management mỗi T2 sáng</t>
  </si>
  <si>
    <t xml:space="preserve">Bước 38</t>
  </si>
  <si>
    <t xml:space="preserve">Test end-to-end: Submit form → GHL contact created → Pipeline stage → Workflow triggered → Email/SMS sent → Pancake synced</t>
  </si>
  <si>
    <t xml:space="preserve">16/04</t>
  </si>
  <si>
    <t xml:space="preserve">Bước 1-39</t>
  </si>
  <si>
    <t xml:space="preserve">Dùng test contact</t>
  </si>
  <si>
    <t xml:space="preserve">41</t>
  </si>
  <si>
    <t xml:space="preserve">Test mỗi workflow riêng lẻ với test contacts. Fix bugs, adjust timing</t>
  </si>
  <si>
    <t xml:space="preserve">16-17/04</t>
  </si>
  <si>
    <t xml:space="preserve">Bước 40</t>
  </si>
  <si>
    <t xml:space="preserve">Log mọi lỗi</t>
  </si>
  <si>
    <t xml:space="preserve">42</t>
  </si>
  <si>
    <t xml:space="preserve">UAT (User Acceptance Testing): tư vấn viên test quy trình thực tế</t>
  </si>
  <si>
    <t xml:space="preserve">17-18/04</t>
  </si>
  <si>
    <t xml:space="preserve">Bước 41</t>
  </si>
  <si>
    <t xml:space="preserve">Checklist UAT</t>
  </si>
  <si>
    <t xml:space="preserve">43</t>
  </si>
  <si>
    <t xml:space="preserve">Training</t>
  </si>
  <si>
    <t xml:space="preserve">Training session 1: GHL overview cho toàn bộ team (2 giờ)</t>
  </si>
  <si>
    <t xml:space="preserve">18/04</t>
  </si>
  <si>
    <t xml:space="preserve">Bước 42</t>
  </si>
  <si>
    <t xml:space="preserve">Record để xem lại</t>
  </si>
  <si>
    <t xml:space="preserve">44</t>
  </si>
  <si>
    <t xml:space="preserve">Training session 2: Pipeline management + Lead handling cho tư vấn viên (2 giờ)</t>
  </si>
  <si>
    <t xml:space="preserve">19/04</t>
  </si>
  <si>
    <t xml:space="preserve">Bước 43</t>
  </si>
  <si>
    <t xml:space="preserve">45</t>
  </si>
  <si>
    <t xml:space="preserve">Training session 3: Workflow monitoring + Reporting cho Marketing team (2 giờ)</t>
  </si>
  <si>
    <t xml:space="preserve">46</t>
  </si>
  <si>
    <t xml:space="preserve">Go-live</t>
  </si>
  <si>
    <t xml:space="preserve">Soft launch: chạy với 10% traffic (1 cơ sở) trong 3 ngày</t>
  </si>
  <si>
    <t xml:space="preserve">3 ngày</t>
  </si>
  <si>
    <t xml:space="preserve">20-22/04</t>
  </si>
  <si>
    <t xml:space="preserve">Monitor 24/7</t>
  </si>
  <si>
    <t xml:space="preserve">47</t>
  </si>
  <si>
    <t xml:space="preserve">Fix issues from soft launch, optimize workflows</t>
  </si>
  <si>
    <t xml:space="preserve">1 ngày</t>
  </si>
  <si>
    <t xml:space="preserve">23/04</t>
  </si>
  <si>
    <t xml:space="preserve">Bước 46</t>
  </si>
  <si>
    <t xml:space="preserve">48</t>
  </si>
  <si>
    <t xml:space="preserve">Full launch: mở cho tất cả 6 cơ sở</t>
  </si>
  <si>
    <t xml:space="preserve">24/04</t>
  </si>
  <si>
    <t xml:space="preserve">Bước 47</t>
  </si>
  <si>
    <t xml:space="preserve">Thông báo toàn team</t>
  </si>
  <si>
    <t xml:space="preserve">49</t>
  </si>
  <si>
    <t xml:space="preserve">Monitor tuần đầu: check daily, fix issues realtime</t>
  </si>
  <si>
    <t xml:space="preserve">1 tuần</t>
  </si>
  <si>
    <t xml:space="preserve">24-30/04</t>
  </si>
  <si>
    <t xml:space="preserve">Bước 48</t>
  </si>
  <si>
    <t xml:space="preserve">Daily standup 15 phút</t>
  </si>
  <si>
    <t xml:space="preserve">Review &amp; Optimize: báo cáo tuần đầu, điều chỉnh workflows, update SOPs</t>
  </si>
  <si>
    <t xml:space="preserve">01/05</t>
  </si>
  <si>
    <t xml:space="preserve">Bước 49</t>
  </si>
  <si>
    <t xml:space="preserve">Document lessons learned</t>
  </si>
  <si>
    <t xml:space="preserve">C. SETUP PANCAKE CRM — 20 BƯỚC CHI TIẾT</t>
  </si>
  <si>
    <t xml:space="preserve">Đăng ký Pancake CRM gói Pro. Cấu hình workspace "Trường Việt Anh"</t>
  </si>
  <si>
    <t xml:space="preserve">pancake.vn</t>
  </si>
  <si>
    <t xml:space="preserve">Kết nối 6 Facebook Pages (mỗi cơ sở 1 page) vào Pancake</t>
  </si>
  <si>
    <t xml:space="preserve">P-1</t>
  </si>
  <si>
    <t xml:space="preserve">Cần admin access FB Pages</t>
  </si>
  <si>
    <t xml:space="preserve">Kết nối Zalo OA vào Pancake (API integration)</t>
  </si>
  <si>
    <t xml:space="preserve">Cần OA admin access</t>
  </si>
  <si>
    <t xml:space="preserve">Tạo user accounts: 6 tư vấn viên + 2 admin + 1 manager</t>
  </si>
  <si>
    <t xml:space="preserve">Phân quyền theo cơ sở</t>
  </si>
  <si>
    <t xml:space="preserve">Tags &amp; Labels</t>
  </si>
  <si>
    <t xml:space="preserve">Tạo Tag system trong Pancake (giống GHL): Nguồn, Cấp học, Cơ sở, Hành vi</t>
  </si>
  <si>
    <t xml:space="preserve">Phải match 1:1 với GHL tags</t>
  </si>
  <si>
    <t xml:space="preserve">Tạo Custom fields: Tên con, Tuổi con, Cấp học, Cơ sở, Trạng thái</t>
  </si>
  <si>
    <t xml:space="preserve">P-5</t>
  </si>
  <si>
    <t xml:space="preserve">Match GHL custom fields</t>
  </si>
  <si>
    <t xml:space="preserve">Setup Auto-assign rules: lead từ FB Page cơ sở X → tư vấn viên cơ sở X</t>
  </si>
  <si>
    <t xml:space="preserve">P-4,5</t>
  </si>
  <si>
    <t xml:space="preserve">Round-robin trong cơ sở</t>
  </si>
  <si>
    <t xml:space="preserve">Setup Auto-tag rules: comment chứa "học phí" → tag "Hỏi học phí", "tham quan" → tag "Quan tâm tour"</t>
  </si>
  <si>
    <t xml:space="preserve">Regex matching</t>
  </si>
  <si>
    <t xml:space="preserve">Templates</t>
  </si>
  <si>
    <t xml:space="preserve">Tạo Quick Reply templates: 20 mẫu trả lời nhanh cho inbox FB/Zalo (học phí, chương trình, tour, sự kiện)</t>
  </si>
  <si>
    <t xml:space="preserve">Tiếng Việt tự nhiên</t>
  </si>
  <si>
    <t xml:space="preserve">Tạo Comment Reply templates: 10 mẫu trả lời comment (cảm ơn, mời inbox, trả lời FAQ)</t>
  </si>
  <si>
    <t xml:space="preserve">Setup Pancake Chatbot cho FB Messenger: Welcome → Menu (Học phí/Tour/Chương trình) → Auto reply → Chuyển nhân viên</t>
  </si>
  <si>
    <t xml:space="preserve">P-2</t>
  </si>
  <si>
    <t xml:space="preserve">Decision tree 3-4 levels</t>
  </si>
  <si>
    <t xml:space="preserve">Setup Pancake Chatbot cho Zalo: tương tự FB nhưng format Zalo OA</t>
  </si>
  <si>
    <t xml:space="preserve">P-3</t>
  </si>
  <si>
    <t xml:space="preserve">Zalo có giới hạn format</t>
  </si>
  <si>
    <t xml:space="preserve">Lead Mgmt</t>
  </si>
  <si>
    <t xml:space="preserve">Cấu hình Lead Pipeline trong Pancake: New → Processing → Hot → Booked Tour → Enrolled → Lost</t>
  </si>
  <si>
    <t xml:space="preserve">P-5,6</t>
  </si>
  <si>
    <t xml:space="preserve">Stages map sang GHL</t>
  </si>
  <si>
    <t xml:space="preserve">Setup Lead Scoring: điểm theo hành vi (inbox=5, comment=3, click=2, form=10, tour=20)</t>
  </si>
  <si>
    <t xml:space="preserve">P-13</t>
  </si>
  <si>
    <t xml:space="preserve">Tạo Dashboard Pancake: leads/ngày, theo nguồn, theo cơ sở, response time, conversion rate</t>
  </si>
  <si>
    <t xml:space="preserve">Setup Auto Report: daily report 8:00 sáng, weekly report T2 9:00</t>
  </si>
  <si>
    <t xml:space="preserve">P-15</t>
  </si>
  <si>
    <t xml:space="preserve">Gửi qua email + Zalo group</t>
  </si>
  <si>
    <t xml:space="preserve">Integration</t>
  </si>
  <si>
    <t xml:space="preserve">Test Pancake → Make.com webhook: khi lead mới/cập nhật → trigger Make.com scenario</t>
  </si>
  <si>
    <t xml:space="preserve">P-13 + Make.com</t>
  </si>
  <si>
    <t xml:space="preserve">Test với dummy data</t>
  </si>
  <si>
    <t xml:space="preserve">Training tư vấn viên: cách dùng Pancake để chat, tag, chuyển lead, ghi note</t>
  </si>
  <si>
    <t xml:space="preserve">P-1→16</t>
  </si>
  <si>
    <t xml:space="preserve">Hands-on practice</t>
  </si>
  <si>
    <t xml:space="preserve">UAT: test quy trình lead từ FB comment → Pancake inbox → tag → assign → reply → sync GHL</t>
  </si>
  <si>
    <t xml:space="preserve">P-17,18</t>
  </si>
  <si>
    <t xml:space="preserve">End-to-end test</t>
  </si>
  <si>
    <t xml:space="preserve">Go-live Pancake: mở cho tất cả pages/OA, monitor 1 tuần đầu</t>
  </si>
  <si>
    <t xml:space="preserve">P-19</t>
  </si>
  <si>
    <t xml:space="preserve">Song song với GHL go-live</t>
  </si>
  <si>
    <t xml:space="preserve">D. SETUP MAKE.COM (MIDDLEWARE) — 15 BƯỚC ĐỒNG BỘ</t>
  </si>
  <si>
    <t xml:space="preserve">Scenario</t>
  </si>
  <si>
    <t xml:space="preserve">Dữ liệu đồng bộ</t>
  </si>
  <si>
    <t xml:space="preserve">Error handling</t>
  </si>
  <si>
    <t xml:space="preserve">Tạo Make.com account Pro ($29/m)</t>
  </si>
  <si>
    <t xml:space="preserve">Đăng ký, verify, cấu hình workspace</t>
  </si>
  <si>
    <t xml:space="preserve">10,000 ops/tháng</t>
  </si>
  <si>
    <t xml:space="preserve">Kết nối GHL module</t>
  </si>
  <si>
    <t xml:space="preserve">Add GHL connection: API key + Location ID</t>
  </si>
  <si>
    <t xml:space="preserve">Test connection</t>
  </si>
  <si>
    <t xml:space="preserve">GHL API v2</t>
  </si>
  <si>
    <t xml:space="preserve">Kết nối Pancake module</t>
  </si>
  <si>
    <t xml:space="preserve">Add HTTP module + Pancake API key</t>
  </si>
  <si>
    <t xml:space="preserve">Pancake dùng REST API</t>
  </si>
  <si>
    <t xml:space="preserve">Scenario 1: GHL → Pancake (New Contact)</t>
  </si>
  <si>
    <t xml:space="preserve">GHL Webhook: Contact Created</t>
  </si>
  <si>
    <t xml:space="preserve">1. Parse data → 2. Map fields → 3. Create/Update Pancake contact → 4. Sync tags</t>
  </si>
  <si>
    <t xml:space="preserve">Name, Phone, Email, Tags, Source, Campus, Grade</t>
  </si>
  <si>
    <t xml:space="preserve">Retry 3x → Email alert</t>
  </si>
  <si>
    <t xml:space="preserve">Scenario chính</t>
  </si>
  <si>
    <t xml:space="preserve">Scenario 2: Pancake → GHL (New Lead from FB/Zalo)</t>
  </si>
  <si>
    <t xml:space="preserve">Pancake Webhook: New conversation</t>
  </si>
  <si>
    <t xml:space="preserve">1. Parse Pancake data → 2. Search GHL contact → 3. Create if new / Update if exists → 4. Add to Pipeline → 5. Trigger workflow</t>
  </si>
  <si>
    <t xml:space="preserve">Name, Phone, Source (FB/Zalo), Page, Message content</t>
  </si>
  <si>
    <t xml:space="preserve">Retry 3x → Slack alert</t>
  </si>
  <si>
    <t xml:space="preserve">Bắt lead từ FB/Zalo chat</t>
  </si>
  <si>
    <t xml:space="preserve">Scenario 3: Tag Sync (bidirectional)</t>
  </si>
  <si>
    <t xml:space="preserve">GHL/Pancake: Tag added</t>
  </si>
  <si>
    <t xml:space="preserve">1. Detect tag change → 2. Map to other system tag → 3. Apply tag</t>
  </si>
  <si>
    <t xml:space="preserve">Tag name, Contact ID</t>
  </si>
  <si>
    <t xml:space="preserve">Skip if already synced</t>
  </si>
  <si>
    <t xml:space="preserve">Tránh infinite loop</t>
  </si>
  <si>
    <t xml:space="preserve">Scenario 4: Pipeline Stage Sync</t>
  </si>
  <si>
    <t xml:space="preserve">GHL: Opportunity stage changed</t>
  </si>
  <si>
    <t xml:space="preserve">1. Map GHL stage → Pancake stage → 2. Update Pancake pipeline</t>
  </si>
  <si>
    <t xml:space="preserve">Stage name, Contact, Timestamp</t>
  </si>
  <si>
    <t xml:space="preserve">Log to Google Sheets</t>
  </si>
  <si>
    <t xml:space="preserve">Unidirectional: GHL → Pancake</t>
  </si>
  <si>
    <t xml:space="preserve">Scenario 5: Daily Lead Summary</t>
  </si>
  <si>
    <t xml:space="preserve">Schedule: Daily 20:00</t>
  </si>
  <si>
    <t xml:space="preserve">1. Query GHL leads today → 2. Query Pancake leads today → 3. Compare → 4. Create summary → 5. Send to Google Sheets + Email</t>
  </si>
  <si>
    <t xml:space="preserve">Lead count, Source breakdown, Discrepancies</t>
  </si>
  <si>
    <t xml:space="preserve">Email alert if mismatch</t>
  </si>
  <si>
    <t xml:space="preserve">Data reconciliation</t>
  </si>
  <si>
    <t xml:space="preserve">Scenario 6: Form to Pancake</t>
  </si>
  <si>
    <t xml:space="preserve">GHL Webhook: Form submitted</t>
  </si>
  <si>
    <t xml:space="preserve">1. Parse form data → 2. Create Pancake contact → 3. Add tags → 4. Notify tư vấn viên via Zalo</t>
  </si>
  <si>
    <t xml:space="preserve">All form fields</t>
  </si>
  <si>
    <t xml:space="preserve">Retry + Email</t>
  </si>
  <si>
    <t xml:space="preserve">Backup sync cho forms</t>
  </si>
  <si>
    <t xml:space="preserve">Scenario 7: Calendar Sync</t>
  </si>
  <si>
    <t xml:space="preserve">GHL: Appointment booked</t>
  </si>
  <si>
    <t xml:space="preserve">1. Parse booking → 2. Create Pancake note → 3. Notify tư vấn viên → 4. Add to Google Calendar</t>
  </si>
  <si>
    <t xml:space="preserve">Date, Time, Contact, Campus</t>
  </si>
  <si>
    <t xml:space="preserve">Retry</t>
  </si>
  <si>
    <t xml:space="preserve">Scenario 8: Google Sheets Backup</t>
  </si>
  <si>
    <t xml:space="preserve">Schedule: Every 1 hour</t>
  </si>
  <si>
    <t xml:space="preserve">1. Query GHL contacts (last 1h) → 2. Append to Master Google Sheet → 3. Update Dashboard sheet</t>
  </si>
  <si>
    <t xml:space="preserve">All contact fields</t>
  </si>
  <si>
    <t xml:space="preserve">Hourly</t>
  </si>
  <si>
    <t xml:space="preserve">Log errors to separate sheet</t>
  </si>
  <si>
    <t xml:space="preserve">Backup + Dashboard data</t>
  </si>
  <si>
    <t xml:space="preserve">Scenario 9: Ad Lead Sync (Birch → GHL → Pancake)</t>
  </si>
  <si>
    <t xml:space="preserve">GHL Webhook: Contact from ads</t>
  </si>
  <si>
    <t xml:space="preserve">1. Detect ad source → 2. Add UTM tags → 3. Sync to Pancake with ad attribution → 4. Update Birch conversion</t>
  </si>
  <si>
    <t xml:space="preserve">Contact + UTM + Ad campaign data</t>
  </si>
  <si>
    <t xml:space="preserve">Retry 3x</t>
  </si>
  <si>
    <t xml:space="preserve">Tracking ad ROI end-to-end</t>
  </si>
  <si>
    <t xml:space="preserve">Error Monitoring</t>
  </si>
  <si>
    <t xml:space="preserve">Any scenario error</t>
  </si>
  <si>
    <t xml:space="preserve">Email + Zalo notification to IT Admin. Log to Error Google Sheet</t>
  </si>
  <si>
    <t xml:space="preserve">Error message, Scenario name, Timestamp</t>
  </si>
  <si>
    <t xml:space="preserve">Check daily</t>
  </si>
  <si>
    <t xml:space="preserve">Testing tất cả Scenarios</t>
  </si>
  <si>
    <t xml:space="preserve">Manual trigger</t>
  </si>
  <si>
    <t xml:space="preserve">Test từng scenario với dummy data. Verify data sync 2 chiều GHL ↔ Pancake</t>
  </si>
  <si>
    <t xml:space="preserve">All fields</t>
  </si>
  <si>
    <t xml:space="preserve">One-time</t>
  </si>
  <si>
    <t xml:space="preserve">Document all results</t>
  </si>
  <si>
    <t xml:space="preserve">2 ngày testing</t>
  </si>
  <si>
    <t xml:space="preserve">Go-live &amp; Monitor</t>
  </si>
  <si>
    <t xml:space="preserve">Activate tất cả scenarios. Monitor 1 tuần: check logs, fix errors, optimize</t>
  </si>
  <si>
    <t xml:space="preserve">Weekly review</t>
  </si>
  <si>
    <t xml:space="preserve">Song song với GHL/Pancake go-live</t>
  </si>
  <si>
    <t xml:space="preserve">E. SETUP BIRCH PPC — 15 BƯỚC QUẢN LÝ ADS ĐA NỀN TẢNG</t>
  </si>
  <si>
    <t xml:space="preserve">Đăng ký Birch PPC ($79/tháng). Setup workspace "TVA Marketing"</t>
  </si>
  <si>
    <t xml:space="preserve">birchppc.com</t>
  </si>
  <si>
    <t xml:space="preserve">Connections</t>
  </si>
  <si>
    <t xml:space="preserve">Kết nối Meta Ads account (Business Manager ID + Access Token)</t>
  </si>
  <si>
    <t xml:space="preserve">B-1</t>
  </si>
  <si>
    <t xml:space="preserve">Cần Business Manager admin</t>
  </si>
  <si>
    <t xml:space="preserve">Kết nối Google Ads account (MCC + Customer ID)</t>
  </si>
  <si>
    <t xml:space="preserve">Cần Google Ads admin</t>
  </si>
  <si>
    <t xml:space="preserve">Kết nối TikTok Ads account (Advertiser ID + Access Token)</t>
  </si>
  <si>
    <t xml:space="preserve">Cần TikTok Business Center</t>
  </si>
  <si>
    <t xml:space="preserve">Cấu hình Birch Dashboard: tổng chi, CPA, ROAS, Leads theo platform. Date range picker</t>
  </si>
  <si>
    <t xml:space="preserve">B-2,3,4</t>
  </si>
  <si>
    <t xml:space="preserve">Cross-platform view</t>
  </si>
  <si>
    <t xml:space="preserve">Rules</t>
  </si>
  <si>
    <t xml:space="preserve">Tạo Automation Rule 1: Pause ad set nếu CPA &gt; 150,000 VND trong 3 ngày liên tục</t>
  </si>
  <si>
    <t xml:space="preserve">B-5</t>
  </si>
  <si>
    <t xml:space="preserve">Alert khi trigger</t>
  </si>
  <si>
    <t xml:space="preserve">Tạo Automation Rule 2: Tăng budget 20% nếu ROAS &gt; 3x trong 7 ngày</t>
  </si>
  <si>
    <t xml:space="preserve">Cap tối đa 2x budget gốc</t>
  </si>
  <si>
    <t xml:space="preserve">Tạo Automation Rule 3: Alert nếu daily spend &gt; 110% budget. Alert nếu 0 leads trong 24h</t>
  </si>
  <si>
    <t xml:space="preserve">Zalo/Email notification</t>
  </si>
  <si>
    <t xml:space="preserve">Tạo Automation Rule 4: Giảm budget 15% nếu CTR &lt; 0.5% sau 5 ngày</t>
  </si>
  <si>
    <t xml:space="preserve">Setup Weekly Auto Report: tổng hợp cross-platform, gửi email T2 8:00</t>
  </si>
  <si>
    <t xml:space="preserve">PDF + CSV attachment</t>
  </si>
  <si>
    <t xml:space="preserve">Labels</t>
  </si>
  <si>
    <t xml:space="preserve">Tạo Campaign Labels trong Birch: theo Cơ sở (6), Cấp học (4), Giai đoạn funnel (4)</t>
  </si>
  <si>
    <t xml:space="preserve">Giúp filter và phân tích</t>
  </si>
  <si>
    <t xml:space="preserve">Kết nối Birch → GHL: khi lead từ ads → tag UTM + Campaign name vào GHL contact</t>
  </si>
  <si>
    <t xml:space="preserve">B-5 + GHL</t>
  </si>
  <si>
    <t xml:space="preserve">Qua Make.com webhook</t>
  </si>
  <si>
    <t xml:space="preserve">Setup Cross-platform Attribution: first-touch + last-touch + multi-touch model</t>
  </si>
  <si>
    <t xml:space="preserve">B-12</t>
  </si>
  <si>
    <t xml:space="preserve">Birch Attribution window: 30 days</t>
  </si>
  <si>
    <t xml:space="preserve">Test tất cả connections, rules, reports. Run test campaign $10 trên mỗi platform</t>
  </si>
  <si>
    <t xml:space="preserve">B-1→13</t>
  </si>
  <si>
    <t xml:space="preserve">Verify data accuracy</t>
  </si>
  <si>
    <t xml:space="preserve">Activate tất cả rules + reports. Monitor 1 tuần đầu</t>
  </si>
  <si>
    <t xml:space="preserve">B-14</t>
  </si>
  <si>
    <t xml:space="preserve">F. TIMELINE TỔNG HỢP SETUP — TUẦN 1-3 THÁNG 4/2026</t>
  </si>
  <si>
    <t xml:space="preserve">Milestone</t>
  </si>
  <si>
    <t xml:space="preserve">Account setup, Pipeline, Custom fields (Bước 1-12)</t>
  </si>
  <si>
    <t xml:space="preserve">Account setup, FB/Zalo connect, Tags (P-1→6)</t>
  </si>
  <si>
    <t xml:space="preserve">Account setup, Connect modules (M-1→3)</t>
  </si>
  <si>
    <t xml:space="preserve">Account, Connect ads platforms (B-1→4)</t>
  </si>
  <si>
    <t xml:space="preserve">Nền tảng sẵn sàng</t>
  </si>
  <si>
    <t xml:space="preserve">04-06/04</t>
  </si>
  <si>
    <t xml:space="preserve">Forms, Landing Pages (Bước 13-18)</t>
  </si>
  <si>
    <t xml:space="preserve">Auto-assign, Auto-tag, Templates (P-7→10)</t>
  </si>
  <si>
    <t xml:space="preserve">Scenario 1-3: GHL↔Pancake sync (M-4→6)</t>
  </si>
  <si>
    <t xml:space="preserve">Dashboard, First 2 rules (B-5,6)</t>
  </si>
  <si>
    <t xml:space="preserve">Forms + Sync hoạt động</t>
  </si>
  <si>
    <t xml:space="preserve">07-10/04</t>
  </si>
  <si>
    <t xml:space="preserve">Calendar, Workflows 1-5 (Bước 19-25)</t>
  </si>
  <si>
    <t xml:space="preserve">Chatbot FB + Zalo (P-11,12)</t>
  </si>
  <si>
    <t xml:space="preserve">Scenario 4-7: Pipeline, Form, Calendar sync (M-7→10)</t>
  </si>
  <si>
    <t xml:space="preserve">Rules 3-4, Reporting (B-7→10)</t>
  </si>
  <si>
    <t xml:space="preserve">11-13/04</t>
  </si>
  <si>
    <t xml:space="preserve">Workflows 6-8, Referral (Bước 26-28)</t>
  </si>
  <si>
    <t xml:space="preserve">Lead Pipeline, Scoring (P-13,14)</t>
  </si>
  <si>
    <t xml:space="preserve">Scenario 8-9: Google Sheets, Ad sync (M-11,12)</t>
  </si>
  <si>
    <t xml:space="preserve">Labels, GHL integration (B-11,12)</t>
  </si>
  <si>
    <t xml:space="preserve">Workflows + Scoring done</t>
  </si>
  <si>
    <t xml:space="preserve">14-15/04</t>
  </si>
  <si>
    <t xml:space="preserve">Email templates, Dashboard, Reports (Bước 29-30,38-39)</t>
  </si>
  <si>
    <t xml:space="preserve">Dashboard, Auto Reports (P-15,16)</t>
  </si>
  <si>
    <t xml:space="preserve">Error monitoring (M-13)</t>
  </si>
  <si>
    <t xml:space="preserve">Attribution setup (B-13)</t>
  </si>
  <si>
    <t xml:space="preserve">Reporting hoàn chỉnh</t>
  </si>
  <si>
    <t xml:space="preserve">16-18/04</t>
  </si>
  <si>
    <t xml:space="preserve">Testing + UAT (Bước 40-42)</t>
  </si>
  <si>
    <t xml:space="preserve">Make.com test + UAT (P-17→19)</t>
  </si>
  <si>
    <t xml:space="preserve">Full testing (M-14)</t>
  </si>
  <si>
    <t xml:space="preserve">Full testing (B-14)</t>
  </si>
  <si>
    <t xml:space="preserve">UAT Pass ✅</t>
  </si>
  <si>
    <t xml:space="preserve">18-19/04</t>
  </si>
  <si>
    <t xml:space="preserve">Training 3 sessions (Bước 43-45)</t>
  </si>
  <si>
    <t xml:space="preserve">Training tư vấn viên (P-18)</t>
  </si>
  <si>
    <t xml:space="preserve">Team trained ✅</t>
  </si>
  <si>
    <t xml:space="preserve">20-24/04</t>
  </si>
  <si>
    <t xml:space="preserve">Soft launch → Full launch (Bước 46-48)</t>
  </si>
  <si>
    <t xml:space="preserve">Go-live (P-20)</t>
  </si>
  <si>
    <t xml:space="preserve">Go-live + Monitor (M-15)</t>
  </si>
  <si>
    <t xml:space="preserve">Go-live (B-15)</t>
  </si>
  <si>
    <t xml:space="preserve">🚀 HỆ THỐNG GO-LIVE</t>
  </si>
  <si>
    <t xml:space="preserve">Monitor + Optimize (Bước 49-50)</t>
  </si>
  <si>
    <t xml:space="preserve">Monitor</t>
  </si>
  <si>
    <t xml:space="preserve">Optimization phase</t>
  </si>
  <si>
    <t xml:space="preserve">DANH SÁCH NHÂN SỰ VÀ PHÂN CÔNG (Team Roster &amp; Responsibilities)</t>
  </si>
  <si>
    <t xml:space="preserve">Tên (Name Placeholder)</t>
  </si>
  <si>
    <t xml:space="preserve">Vị Trí / Chức Danh</t>
  </si>
  <si>
    <t xml:space="preserve">Trách Nhiệm Chính</t>
  </si>
  <si>
    <t xml:space="preserve">Công Cụ / Tools</t>
  </si>
  <si>
    <t xml:space="preserve">KPIs</t>
  </si>
  <si>
    <t xml:space="preserve">Báo Cáo Cho</t>
  </si>
  <si>
    <t xml:space="preserve">Mức Lương (VND)</t>
  </si>
  <si>
    <t xml:space="preserve">Anh/Chị [Name]</t>
  </si>
  <si>
    <t xml:space="preserve">Marketing Director</t>
  </si>
  <si>
    <t xml:space="preserve">Lên kế hoạch, quản lý budget, report results, team leadership</t>
  </si>
  <si>
    <t xml:space="preserve">Excel, GHL, GA4, Asana</t>
  </si>
  <si>
    <t xml:space="preserve">Total leads 1300, CAC &lt;80K, ROI &gt;10x</t>
  </si>
  <si>
    <t xml:space="preserve">Hiệu Trưởng</t>
  </si>
  <si>
    <t xml:space="preserve">30-50M</t>
  </si>
  <si>
    <t xml:space="preserve">[Name]</t>
  </si>
  <si>
    <t xml:space="preserve">Google Ads Manager</t>
  </si>
  <si>
    <t xml:space="preserve">Tạo &amp; quản lý campaigns, keyword research, bid optimization, A/B testing</t>
  </si>
  <si>
    <t xml:space="preserve">Google Ads, Keyword Planner, GA4, Excel</t>
  </si>
  <si>
    <t xml:space="preserve">Leads from GG 300+, CPC &lt;50K, CTR &gt;2.5%</t>
  </si>
  <si>
    <t xml:space="preserve">18-25M</t>
  </si>
  <si>
    <t xml:space="preserve">Facebook/Instagram ads, creative testing, audience segmentation, pixel setup</t>
  </si>
  <si>
    <t xml:space="preserve">Meta Ads Manager, Figma, Canva, GA4</t>
  </si>
  <si>
    <t xml:space="preserve">Leads from Meta 400+, CAC &lt;90K, ROAS &gt;4x</t>
  </si>
  <si>
    <t xml:space="preserve">TikTok &amp; Social Media Manager</t>
  </si>
  <si>
    <t xml:space="preserve">TikTok ads, organic content, influencer partnerships, community engagement</t>
  </si>
  <si>
    <t xml:space="preserve">TikTok Ads, Airtable, Canva, Adobe</t>
  </si>
  <si>
    <t xml:space="preserve">TikTok leads 150+, Organic reach 2M+, Engagement 5%+</t>
  </si>
  <si>
    <t xml:space="preserve">15-20M</t>
  </si>
  <si>
    <t xml:space="preserve">Content Creator &amp; Videographer</t>
  </si>
  <si>
    <t xml:space="preserve">Video production, photo shoots, content calendar, editing</t>
  </si>
  <si>
    <t xml:space="preserve">DaVinci Resolve, Canva, Adobe Suite, CapCut</t>
  </si>
  <si>
    <t xml:space="preserve">Videos produced 20+/month, Watch time 1M+ mins</t>
  </si>
  <si>
    <t xml:space="preserve">TikTok &amp; Social Manager</t>
  </si>
  <si>
    <t xml:space="preserve">15-22M</t>
  </si>
  <si>
    <t xml:space="preserve">Email &amp; SMS Specialist</t>
  </si>
  <si>
    <t xml:space="preserve">Email sequences, SMS campaigns, automation setup, A/B testing</t>
  </si>
  <si>
    <t xml:space="preserve">GHL, Mailchimp, Twilio, Zapier</t>
  </si>
  <si>
    <t xml:space="preserve">Email open rate &gt;25%, Click rate &gt;5%, Conv rate &gt;2%</t>
  </si>
  <si>
    <t xml:space="preserve">12-18M</t>
  </si>
  <si>
    <t xml:space="preserve">CRM &amp; Automation Specialist</t>
  </si>
  <si>
    <t xml:space="preserve">GHL setup, automation workflows, lead scoring, integrations</t>
  </si>
  <si>
    <t xml:space="preserve">GoHighLevel, Zapier, n8n, Python scripts</t>
  </si>
  <si>
    <t xml:space="preserve">Automation coverage 95%, Lead scoring accuracy &gt;85%</t>
  </si>
  <si>
    <t xml:space="preserve">16-22M</t>
  </si>
  <si>
    <t xml:space="preserve">Sales/Business Development Rep #1</t>
  </si>
  <si>
    <t xml:space="preserve">Phone follow-up, lead qualification, consultation scheduling, closing calls</t>
  </si>
  <si>
    <t xml:space="preserve">GHL, Phone, Zalo, Email</t>
  </si>
  <si>
    <t xml:space="preserve">Qualified leads 250+, Close rate &gt;35%, Meetings booked 120+</t>
  </si>
  <si>
    <t xml:space="preserve">10-15M</t>
  </si>
  <si>
    <t xml:space="preserve">Sales/Business Development Rep #2</t>
  </si>
  <si>
    <t xml:space="preserve">Sales/Business Development Rep #3</t>
  </si>
  <si>
    <t xml:space="preserve">Zalo &amp; Messaging Manager</t>
  </si>
  <si>
    <t xml:space="preserve">Zalo OA management, bulk messaging, customer service, engagement</t>
  </si>
  <si>
    <t xml:space="preserve">Zalo OA, Zalo Ads, Excel, CRM</t>
  </si>
  <si>
    <t xml:space="preserve">Zalo leads 200+, Engagement rate &gt;12%, Response time &lt;1h</t>
  </si>
  <si>
    <t xml:space="preserve">Analytics &amp; Reporting Specialist</t>
  </si>
  <si>
    <t xml:space="preserve">GA4 tracking, dashboard creation, data analysis, insights generation</t>
  </si>
  <si>
    <t xml:space="preserve">Google Analytics, Data Studio, Excel, Looker</t>
  </si>
  <si>
    <t xml:space="preserve">Dashboard uptime 99%, Reporting latency &lt;24h, Accuracy &gt;95%</t>
  </si>
  <si>
    <t xml:space="preserve">14-20M</t>
  </si>
  <si>
    <t xml:space="preserve">Webinar &amp; Events Coordinator</t>
  </si>
  <si>
    <t xml:space="preserve">Webinar planning, speaker coordination, promotion, post-event follow-up</t>
  </si>
  <si>
    <t xml:space="preserve">Zoom, Google Forms, Canva, Email, Excel</t>
  </si>
  <si>
    <t xml:space="preserve">Webinars/month 2, Attendance rate &gt;70%, Conv rate &gt;20%</t>
  </si>
  <si>
    <t xml:space="preserve">12-16M</t>
  </si>
  <si>
    <t xml:space="preserve">Manage BDR team, pipeline management, sales strategy, team coaching</t>
  </si>
  <si>
    <t xml:space="preserve">GHL, CRM, Salesforce (optional), Asana</t>
  </si>
  <si>
    <t xml:space="preserve">Team quota attainment 100%+, Pipeline value &gt;2B VND</t>
  </si>
  <si>
    <t xml:space="preserve">20-30M</t>
  </si>
  <si>
    <t xml:space="preserve">Graphic Designer / Brand Specialist</t>
  </si>
  <si>
    <t xml:space="preserve">Ad creative design, brand assets, social media graphics, template creation</t>
  </si>
  <si>
    <t xml:space="preserve">Figma, Canva, Photoshop, Illustrator</t>
  </si>
  <si>
    <t xml:space="preserve">Creatives produced 50+/month, Engagement lift &gt;15%</t>
  </si>
  <si>
    <t xml:space="preserve">RACI MATRIX - Phân Công Trách Nhiệm Chính (Key Activities × Roles)</t>
  </si>
  <si>
    <t xml:space="preserve">R = Responsible | A = Accountable | C = Consulted | I = Informed</t>
  </si>
  <si>
    <t xml:space="preserve">Activity</t>
  </si>
  <si>
    <t xml:space="preserve">GG Manager</t>
  </si>
  <si>
    <t xml:space="preserve">Meta Manager</t>
  </si>
  <si>
    <t xml:space="preserve">TikTok Manager</t>
  </si>
  <si>
    <t xml:space="preserve">Email/SMS</t>
  </si>
  <si>
    <t xml:space="preserve">GHL Specialist</t>
  </si>
  <si>
    <t xml:space="preserve">BDR</t>
  </si>
  <si>
    <t xml:space="preserve">Sales Mgr</t>
  </si>
  <si>
    <t xml:space="preserve">Campaign Planning</t>
  </si>
  <si>
    <t xml:space="preserve">Google Ads Setup &amp; Optimization</t>
  </si>
  <si>
    <t xml:space="preserve">Meta Ads Setup &amp; Optimization</t>
  </si>
  <si>
    <t xml:space="preserve">TikTok Ads &amp; Organic</t>
  </si>
  <si>
    <t xml:space="preserve">Content Creation</t>
  </si>
  <si>
    <t xml:space="preserve">Email Campaign Execution</t>
  </si>
  <si>
    <t xml:space="preserve">SMS Campaign Execution</t>
  </si>
  <si>
    <t xml:space="preserve">GHL Setup &amp; Automation</t>
  </si>
  <si>
    <t xml:space="preserve">Lead Qualification &amp; Scoring</t>
  </si>
  <si>
    <t xml:space="preserve">Phone Follow-up &amp; Qualification</t>
  </si>
  <si>
    <t xml:space="preserve">Consultation Scheduling</t>
  </si>
  <si>
    <t xml:space="preserve">Zalo Messaging &amp; OA</t>
  </si>
  <si>
    <t xml:space="preserve">Analytics &amp; Reporting</t>
  </si>
  <si>
    <t xml:space="preserve">Webinar Planning &amp; Execution</t>
  </si>
  <si>
    <t xml:space="preserve">Influencer Outreach</t>
  </si>
  <si>
    <t xml:space="preserve">Creative Design &amp; Production</t>
  </si>
  <si>
    <t xml:space="preserve">Budget Tracking &amp; Optimization</t>
  </si>
  <si>
    <t xml:space="preserve">Team Leadership &amp; Direction</t>
  </si>
  <si>
    <t xml:space="preserve">Performance Review &amp; Coaching</t>
  </si>
  <si>
    <t xml:space="preserve">Client Communication &amp; Updates</t>
  </si>
  <si>
    <t xml:space="preserve">LỊCH TRAINING &amp; DEVELOPMENT (Training Schedule)</t>
  </si>
  <si>
    <t xml:space="preserve">Chủ Đề Training</t>
  </si>
  <si>
    <t xml:space="preserve">Diễn Giả / Người Dẫn</t>
  </si>
  <si>
    <t xml:space="preserve">Thời Lượng</t>
  </si>
  <si>
    <t xml:space="preserve">Tuần 1 (1-4/4)</t>
  </si>
  <si>
    <t xml:space="preserve">Google Ads 101 - Setup, Keywords, Bidding</t>
  </si>
  <si>
    <t xml:space="preserve">Google Partner / In-house</t>
  </si>
  <si>
    <t xml:space="preserve">Google Ads team</t>
  </si>
  <si>
    <t xml:space="preserve">4 hours</t>
  </si>
  <si>
    <t xml:space="preserve">Meta Ads 101 - Pixel, Audience, Creative</t>
  </si>
  <si>
    <t xml:space="preserve">Meta Ads specialist</t>
  </si>
  <si>
    <t xml:space="preserve">Meta Ads team</t>
  </si>
  <si>
    <t xml:space="preserve">Tuần 2 (5-11/4)</t>
  </si>
  <si>
    <t xml:space="preserve">GHL Complete Training - Workflows, Automation</t>
  </si>
  <si>
    <t xml:space="preserve">GHL expert partner</t>
  </si>
  <si>
    <t xml:space="preserve">GHL + BDR team</t>
  </si>
  <si>
    <t xml:space="preserve">6 hours</t>
  </si>
  <si>
    <t xml:space="preserve">CRM Best Practices &amp; Lead Management</t>
  </si>
  <si>
    <t xml:space="preserve">Sales &amp; support team</t>
  </si>
  <si>
    <t xml:space="preserve">3 hours</t>
  </si>
  <si>
    <t xml:space="preserve">Tuần 3 (12-18/4)</t>
  </si>
  <si>
    <t xml:space="preserve">Sales Skills - Discovery, Closing, Objections</t>
  </si>
  <si>
    <t xml:space="preserve">Professional sales coach</t>
  </si>
  <si>
    <t xml:space="preserve">BDR + Sales team</t>
  </si>
  <si>
    <t xml:space="preserve">Content Creation &amp; Video Basics</t>
  </si>
  <si>
    <t xml:space="preserve">In-house videographer</t>
  </si>
  <si>
    <t xml:space="preserve">Content + Design team</t>
  </si>
  <si>
    <t xml:space="preserve">Tuần 4 (19-25/4)</t>
  </si>
  <si>
    <t xml:space="preserve">Analytics &amp; Data Interpretation - GA4, Dashboards</t>
  </si>
  <si>
    <t xml:space="preserve">Analytics specialist</t>
  </si>
  <si>
    <t xml:space="preserve">All marketing team</t>
  </si>
  <si>
    <t xml:space="preserve">Email &amp; SMS Best Practices - Copywriting, Sequences</t>
  </si>
  <si>
    <t xml:space="preserve">Email marketing expert</t>
  </si>
  <si>
    <t xml:space="preserve">Email specialist + team</t>
  </si>
  <si>
    <t xml:space="preserve">Tuần 5 (26-30/4)</t>
  </si>
  <si>
    <t xml:space="preserve">Zalo &amp; Messaging Platforms - Compliance, Best Practices</t>
  </si>
  <si>
    <t xml:space="preserve">Zalo product specialist</t>
  </si>
  <si>
    <t xml:space="preserve">Zalo manager + team</t>
  </si>
  <si>
    <t xml:space="preserve">2 hours</t>
  </si>
  <si>
    <t xml:space="preserve">Tuần 6 (3-9/5)</t>
  </si>
  <si>
    <t xml:space="preserve">Competition &amp; Product Knowledge Deep Dive</t>
  </si>
  <si>
    <t xml:space="preserve">Marketing Director + Admissions</t>
  </si>
  <si>
    <t xml:space="preserve">MẪUÔI DUNG &amp; SCRIPTS (Content Templates &amp; Scripts)</t>
  </si>
  <si>
    <t xml:space="preserve">FACEBOOK POST TEMPLATES (10 Mẫu)</t>
  </si>
  <si>
    <t xml:space="preserve">Loại Post</t>
  </si>
  <si>
    <t xml:space="preserve">Mẫu Nội Dung</t>
  </si>
  <si>
    <t xml:space="preserve">Announcement</t>
  </si>
  <si>
    <t xml:space="preserve">"🎉 Mở đơn ghi danh lớp 1 năm 2026! 🎉
Trường Việt Anh tuyển 80 học sinh lớp 1 chất lượng cao.
✅ Giáo viên chuyên nghiệp
✅ Cơ sở an toàn, hiện đại
✅ Song ngữ Anh-Việt từ lớp 1
📍 6 cơ sở tại HCMC
👉 Ghi danh ngay: [link]
✨ Có ưu đãi sớm ghi danh!"</t>
  </si>
  <si>
    <t xml:space="preserve">"Con tôi đã thay đổi rất nhiều kể từ khi vào Việt Anh. Bây giờ con tự tin, yêu học tập và có nhiều bạn.
Cảm ơn thầy cô đã yêu thương con!" - Chị Hương, Mẹ của bé Minh (Lớp 3).
👉 Bạn cũng muốn con như vậy không? Ghi danh ngay! [link]</t>
  </si>
  <si>
    <t xml:space="preserve">"OPEN DAY - Khám Phá Trường Việt Anh 🏫
📅 Thứ 7, 20/4/2026
⏰ 9:00 - 12:00
📍 6 cơ sở
✨ Xem lớp học trực tiếp
✨ Gặp giáo viên &amp; hiệu trưởng
✨ Tour cơ sở hiện đại
✨ Có quà tặng
🎫 Đặt vé miễn phí: [link]</t>
  </si>
  <si>
    <t xml:space="preserve">Educational Content</t>
  </si>
  <si>
    <t xml:space="preserve">"5 ĐIỀU PHỤ HỤC PHẢI BIẾT KHI GỬI CON ĐẾN TRƯỜNG TƯ THỤC 🎓
1️⃣ Chọn trường dựa trên giá trị, không chỉ cơ sở vật chất
2️⃣ Con sẽ cần thời gian để thích nghi (1-2 tháng)
3️⃣ Giao tiếp thường xuyên với giáo viên
4️⃣ Tham gia hoạt động ngoài khóa
5️⃣ Hỗ trợ con học ở nhà
Bạn chưa chọn được trường? Tham khảo thêm. Liên hệ 0392 xxx xxx</t>
  </si>
  <si>
    <t xml:space="preserve">Daily Activity Share</t>
  </si>
  <si>
    <t xml:space="preserve">📸 NGÀY HỌC VUI VẺ TẠI VIỆT ANH
Sáng: Học tiếng Anh + Math
Trưa: Ăn cơm với bạn + ngoại khóa
Chiều: Thể dục + sáng tạo
✨ Môi trường an toàn, giáo viên yêu thương, học tập vui vẻ.
👉 Con bạn cũng muốn trải nghiệm như vậy không? Ghé thăm chúng tôi! [link]</t>
  </si>
  <si>
    <t xml:space="preserve">Scholarship Promo</t>
  </si>
  <si>
    <t xml:space="preserve">🎁 HỌC BỔNG ĐẾN 20 TRIỆU - CƠ HỘI VÀNG! 🎁
Năm học 2026, Trường Việt Anh cấp học bổng cho 50 em học sinh xuất sắc.
✅ Miễn phí 100% học phí
✅ Hỗ trợ dụng cụ học tập
✅ Hỗ trợ hoạt động ngoại khóa
📋 Điều kiện:
- Học lực xuất sắc
- Đạo đức tốt
- Hoàn cảnh khó khăn (ưu tiên)
👉 Đăng ký: [link]</t>
  </si>
  <si>
    <t xml:space="preserve">Question &amp; Answer</t>
  </si>
  <si>
    <t xml:space="preserve">❓ CÂU HỎI THƯỜNG GẶP:
"Con bạn nói tiếng Anh được không?"
→ Con sẽ học tiếng Anh từ sớm, có native speakers hướng dẫn. Sau 1 năm, con có thể nói cơ bản.
"Học phí bao nhiêu?"
→ Từ 2-5 triệu/tháng tùy cấp học. Có gói bán phần thời gian.
"Cơ sở an toàn không?"
→ 100% an toàn! Camera 24/7, bảo vệ chuyên nghiệp, hệ thống báo động.
👉 Câu hỏi khác? Chat với chúng tôi! [link]</t>
  </si>
  <si>
    <t xml:space="preserve">Success Story</t>
  </si>
  <si>
    <t xml:space="preserve">"TỪ HỌC SINH BÌNH THƯỜNG THÀNH SUẤT SẮC
Bé Nam vào Việt Anh lớp 3 với thành tích khá. Sau 2 năm:
✅ Tiếng Anh trôi chảy
✅ Toán học lên xuất sắc
✅ Tự tin, có lãnh đạo
✅ Được tuyên dương học sinh giỏi
"Con tôi yêu trường. Mỗi sáng thức dậy con hồ hởi đi học." - Mẹ Nam
👉 Con bạn cũng có thể! Ghi danh ngay! [link]</t>
  </si>
  <si>
    <t xml:space="preserve">Behind-the-scenes</t>
  </si>
  <si>
    <t xml:space="preserve">👨‍🏫 CHÚC MỪNG NGÀY NHÀGIÁO 20/11 🎓
Cảm ơn tất cả 80+ giáo viên Việt Anh!
✨ Yêu thương học sinh như con em của mình
✨ Chuyên môn cao
✨ Sáng tạo trong giảng dạy
✨ Luôn sẵn sàng hỗ trợ
Không có các thầy cô, không có chúng tôi hôm nay!
❤️ Trường Việt Anh xin gửi lời biết ơn sâu sắc!</t>
  </si>
  <si>
    <t xml:space="preserve">Call-to-Action</t>
  </si>
  <si>
    <t xml:space="preserve">⏰ CHỈ CÒN 2 TUẦN NỮA! ⏰
Ghi danh lớp 1/THCS/THPT năm 2026 sắp đóng!
🎯 Còn lại:
- Lớp 1: 15 chỗ
- THCS: 20 chỗ
- THPT: 25 chỗ
⚡ Quyết định ngay, vì:
✅ Ưu đãi sớm ghi danh
✅ Chọn lớp &amp; giáo viên ưu tiên
✅ Không phải chuyển lớp sau
👉 GHIBANH NGAY: [link]
📞 GỌI NGAY: 0392 xxx xxx</t>
  </si>
  <si>
    <t xml:space="preserve">EMAIL SUBJECT LINE FORMULAS (5 Công Thức)</t>
  </si>
  <si>
    <t xml:space="preserve">Công Thức</t>
  </si>
  <si>
    <t xml:space="preserve">Ví Dụ</t>
  </si>
  <si>
    <t xml:space="preserve">[Benefit/Advantage] + [Urgency]</t>
  </si>
  <si>
    <t xml:space="preserve">"Giảm 10% học phí - Chỉ còn 5 ngày!"</t>
  </si>
  <si>
    <t xml:space="preserve">[Question] + [Curiosity]</t>
  </si>
  <si>
    <t xml:space="preserve">"Con bạn có tự tin không? Đây là bí quyết"</t>
  </si>
  <si>
    <t xml:space="preserve">[Number] + [Benefit]</t>
  </si>
  <si>
    <t xml:space="preserve">"3 lý do cha mẹ chọn Trường Việt Anh"</t>
  </si>
  <si>
    <t xml:space="preserve">[Name] + [Personalization]</t>
  </si>
  <si>
    <t xml:space="preserve">"[Tên], chúng tôi có cái gì đặc biệt cho con?"</t>
  </si>
  <si>
    <t xml:space="preserve">[FOMO/Scarcity]</t>
  </si>
  <si>
    <t xml:space="preserve">"Còn 2 chỗ trống lớp 1 - Quyết định ngay"</t>
  </si>
  <si>
    <t xml:space="preserve">SMS TEMPLATES (5 Mẫu SMS)</t>
  </si>
  <si>
    <t xml:space="preserve">Loại SMS</t>
  </si>
  <si>
    <t xml:space="preserve">Nội Dung</t>
  </si>
  <si>
    <t xml:space="preserve">Chào Mừng</t>
  </si>
  <si>
    <t xml:space="preserve">Chào [Name]! Cảm ơn bạn quan tâm Trường Việt Anh. Tìm hiểu thêm: [link] Gọi 0392 xxx xxx</t>
  </si>
  <si>
    <t xml:space="preserve">Khẩn Cấp/Urgency</t>
  </si>
  <si>
    <t xml:space="preserve">⏰ Còn 48 tiếng ghi danh với giảm 10% học phí! Quyết định ngay: [link]</t>
  </si>
  <si>
    <t xml:space="preserve">Follow-up</t>
  </si>
  <si>
    <t xml:space="preserve">[Name], anh/chị có thắc mắc gì không? Chúng tôi sẵn sàng hỗ trợ! Gọi: 0392 xxx xxx</t>
  </si>
  <si>
    <t xml:space="preserve">Open Day Reminder</t>
  </si>
  <si>
    <t xml:space="preserve">📌 Nhớ đến Open Day hôm nay! Giờ: 9:00-12:00. Địa chỉ: [địa chỉ]. Xem bạn ngay!</t>
  </si>
  <si>
    <t xml:space="preserve">Confirmation</t>
  </si>
  <si>
    <t xml:space="preserve">✅ Xác nhận ghi danh thành công! Lớp: 1A. Bắt đầu: 1/9. Tài liệu ghi danh: [link]</t>
  </si>
  <si>
    <t xml:space="preserve">TƯ VẤN VIÊN - PHONE SCRIPTS (5 Scripts)</t>
  </si>
  <si>
    <t xml:space="preserve">Script #</t>
  </si>
  <si>
    <t xml:space="preserve">Tình Huống</t>
  </si>
  <si>
    <t xml:space="preserve">Câu Mở Đầu (Hook)</t>
  </si>
  <si>
    <t xml:space="preserve">Quy Trình</t>
  </si>
  <si>
    <t xml:space="preserve">Cold Call - Warm Lead</t>
  </si>
  <si>
    <t xml:space="preserve">"Chào anh/chị [Name]! Em là [TV Viên], từ Trường Việt Anh. Anh/chị có 2 phút không?"</t>
  </si>
  <si>
    <t xml:space="preserve">1. Giới thiệu (30s)
2. Lắng nghe (1m): "Con anh/chị bao nhiêu tuổi? Anh/chị đang tìm trường gì?"
3. Pitch (1m): Nêu 3 điểm mạnh
4. Call-to-action: "Anh/chị có thể ghé thăm hoặc nghe chi tiết hơn?"</t>
  </si>
  <si>
    <t xml:space="preserve">Objection Handling - "Quá đắt"</t>
  </si>
  <si>
    <t xml:space="preserve">"Em hiểu quan ngại của anh/chị. Nhưng anh/chị có biết..."</t>
  </si>
  <si>
    <t xml:space="preserve">1. Validate: "Tôi hiểu chi phí là quan trọng"
2. Clarify: "Cơ sở vật chất &amp; giáo viên chất lượng bao giá?"
3. Evidence: "X học sinh / X tỷ lệ đạo đạo"
4. Close: "Có thể anh/chị thử 1 tháng để so sánh?"</t>
  </si>
  <si>
    <t xml:space="preserve">Follow-up - Lost Lead</t>
  </si>
  <si>
    <t xml:space="preserve">"Chào anh/chị [Name]! Em tìm hiểu thêm từ cuộc chat lần trước..."</t>
  </si>
  <si>
    <t xml:space="preserve">1. Warm-up: Nhắc lại hội thoại trước
2. New info: "Gần đây chúng tôi có [benefit mới]"
3. Urgency: "Có [limited-time offer]"
4. Close: "Anh/chị có muốn tìm hiểu thêm?"</t>
  </si>
  <si>
    <t xml:space="preserve">Closing Call - Decision Time</t>
  </si>
  <si>
    <t xml:space="preserve">"Anh/chị đã cân nhắc kỹ, đúng không? Em muốn chắc chắn..."</t>
  </si>
  <si>
    <t xml:space="preserve">1. Recap: "Anh/chị quan tâm [benefits]. Chúng tôi cung cấp [proof]"
2. Overcome final objections: Lắng nghe rồi giải quyết
3. Trial close: "Nếu tôi giải quyết [objection], anh/chị sẽ ghi danh?"
4. Final close: "Tuyệt vời! Để em sắp xếp cho anh/chị."</t>
  </si>
  <si>
    <t xml:space="preserve">Referral Request</t>
  </si>
  <si>
    <t xml:space="preserve">"Anh/chị rất hài lòng, phải không? Em muốn nhờ anh/chị..."</t>
  </si>
  <si>
    <t xml:space="preserve">1. Appreciation: "Cảm ơn anh/chị đã tin tưởng"
2. Ask: "Anh/chị có bạn nào có con cùng tuổi không?"
3. Incentivize: "Nếu bạn ghi danh, anh/chị sẽ nhận [reward]"
4. Clear ask: "Anh/chị có thể giới thiệu được bao nhiêu người?"</t>
  </si>
  <si>
    <t xml:space="preserve">CHATBOT CONVERSATION FLOWS (5 Flows)</t>
  </si>
  <si>
    <t xml:space="preserve">Flow #</t>
  </si>
  <si>
    <t xml:space="preserve">Bot Intro</t>
  </si>
  <si>
    <t xml:space="preserve">Main Q&amp;A</t>
  </si>
  <si>
    <t xml:space="preserve">Website Visitor (Lần Đầu)</t>
  </si>
  <si>
    <t xml:space="preserve">"Chào! Mình là chatbot Việt Anh. Bạn đang tìm trường nào? (Mầm non / Tiểu học / THCS / THPT)"</t>
  </si>
  <si>
    <t xml:space="preserve">Q1: "Bạn có thắc mắc gì?" → A: "Học phí là bao nhiêu?" → Bot: "[Price info] + [payment options]"
Q2: "Có ưu đãi không?" → Bot: "[Current promos]"
Q3: "Cơ sở an toàn không?" → Bot: "[Safety features + photo]"</t>
  </si>
  <si>
    <t xml:space="preserve">"Bạn muốn tư vấn 1-1?" → Button: [Chat with advisor] / [Đặt lịch gọi] / [Xem Open Day]</t>
  </si>
  <si>
    <t xml:space="preserve">Warm Lead (Visitor Return)</t>
  </si>
  <si>
    <t xml:space="preserve">"Chào lại bạn! Bạn đã tìm hiểu về Việt Anh rồi. Có gì em có thể giúp thêm?"</t>
  </si>
  <si>
    <t xml:space="preserve">Q: "Học phí bao nhiêu?" → Bot: "[Recap + payment plans]"
Q: "Có học thử không?" → Bot: "[Trial program details]"
Q: "Bắt đầu khi nào?" → Bot: "[School calendar]"</t>
  </si>
  <si>
    <t xml:space="preserve">"Sẵn sàng ghi danh?" → [Book consultation] / [Enroll now]</t>
  </si>
  <si>
    <t xml:space="preserve">Open Day Interest</t>
  </si>
  <si>
    <t xml:space="preserve">"Mình nghe bạn quan tâm Open Day 20/4! Bạn muốn biết gì?"</t>
  </si>
  <si>
    <t xml:space="preserve">Q: "Open Day khi nào?" → A: "[Date, time, location]"
Q: "Cần chuẩn bị gì?" → A: "[Checklist + tips]"
Q: "Có vé không?" → A: "[Free registration link]"</t>
  </si>
  <si>
    <t xml:space="preserve">"Đã sẵn sàng đến?" → [Book ticket] / [Get reminder]</t>
  </si>
  <si>
    <t xml:space="preserve">Objection - Price</t>
  </si>
  <si>
    <t xml:space="preserve">"Mình hiểu giá cả là quan tâm. Bạn biết gì không..."</t>
  </si>
  <si>
    <t xml:space="preserve">Bot: "[Value proposition: quality teachers, facilities, results]"
Q: "Có gói bán phần thời gian không?" → A: "Có! Chi tiết: [link]"
Q: "Có học bổng không?" → A: "[Scholarship criteria]"</t>
  </si>
  <si>
    <t xml:space="preserve">"Muốn tìm hiểu thêm?" → [Talk to advisor] / [Compare prices] / [Free trial]</t>
  </si>
  <si>
    <t xml:space="preserve">Post-Enrollment (New Student)</t>
  </si>
  <si>
    <t xml:space="preserve">"Chúc mừng bạn ghi danh! Chuẩn bị cho ngày đầu tiên..."</t>
  </si>
  <si>
    <t xml:space="preserve">Q: "Ngày đầu tiên làm gì?" → A: "[First day itinerary]"
Q: "Cần chuẩn bị gì?" → A: "[Packing list]"
Q: "Có phụ huynh nào không?" → A: "[Parent group link]"</t>
  </si>
  <si>
    <t xml:space="preserve">"Có thắc mắc gì?" → [Chat with staff] / [Upcoming events] / [Parent portal]</t>
  </si>
  <si>
    <t xml:space="preserve">PHÂN TÍCH ĐỐI THỦ CẠNH TRANH (Competitor Analysis - 10 Schools)</t>
  </si>
  <si>
    <t xml:space="preserve">Trường Đối Thủ</t>
  </si>
  <si>
    <t xml:space="preserve">Học Phí (VND/tháng)</t>
  </si>
  <si>
    <t xml:space="preserve">USP (Điểm Mạnh)</t>
  </si>
  <si>
    <t xml:space="preserve">Facebook Followers</t>
  </si>
  <si>
    <t xml:space="preserve">Instagram Followers</t>
  </si>
  <si>
    <t xml:space="preserve">Ad Strategy Observed</t>
  </si>
  <si>
    <t xml:space="preserve">Ưu Điểm So Với Chúng Ta</t>
  </si>
  <si>
    <t xml:space="preserve">Nhược Điểm - Cơ Hội Của Chúng Ta</t>
  </si>
  <si>
    <t xml:space="preserve">Our Advantage</t>
  </si>
  <si>
    <t xml:space="preserve">Trường Quốc Tế Anh</t>
  </si>
  <si>
    <t xml:space="preserve">Q3, P.Hữu Thạnh</t>
  </si>
  <si>
    <t xml:space="preserve">3-8M</t>
  </si>
  <si>
    <t xml:space="preserve">Chương trình quốc tế (IB), Cơ sở sang trọng</t>
  </si>
  <si>
    <t xml:space="preserve">High-end digital ads, Instagram focus, influencer collabs</t>
  </si>
  <si>
    <t xml:space="preserve">Brand prestige, international program, xây dựng image dài hạn</t>
  </si>
  <si>
    <t xml:space="preserve">Đắt quá, không linh hoạt, khó vào học. Chúng ta: dân chủ, hợp lý giá</t>
  </si>
  <si>
    <t xml:space="preserve">Giá cạnh tranh + chất lượng tốt</t>
  </si>
  <si>
    <t xml:space="preserve">Trường Bình Minh</t>
  </si>
  <si>
    <t xml:space="preserve">Q5, Bình Tân</t>
  </si>
  <si>
    <t xml:space="preserve">2-5M</t>
  </si>
  <si>
    <t xml:space="preserve">Gần dân cư, lớp nhỏ, cơ sở có lịch sử</t>
  </si>
  <si>
    <t xml:space="preserve">Minimal ads, focus on word-of-mouth, occasional email</t>
  </si>
  <si>
    <t xml:space="preserve">Cộng đồng cũ, lớp nhỏ 20 em</t>
  </si>
  <si>
    <t xml:space="preserve">Ít quảng cáo → khó tuyển trẻ mới. Chúng ta: digital marketing mạnh</t>
  </si>
  <si>
    <t xml:space="preserve">Digital presence + marketing strategy</t>
  </si>
  <si>
    <t xml:space="preserve">Hệ Thống Giáo Dục ABC</t>
  </si>
  <si>
    <t xml:space="preserve">Q1, Q7</t>
  </si>
  <si>
    <t xml:space="preserve">MN, TH, THCS</t>
  </si>
  <si>
    <t xml:space="preserve">3-7M</t>
  </si>
  <si>
    <t xml:space="preserve">6 cơ sở, đa dạng chương trình, học bổng</t>
  </si>
  <si>
    <t xml:space="preserve">Heavy Meta ads, video campaigns, SEO content, affiliate</t>
  </si>
  <si>
    <t xml:space="preserve">Network 6 cơ sở, budget lớn, brand recognition</t>
  </si>
  <si>
    <t xml:space="preserve">Quá rộng = mất focus. Chúng ta: focus vào excellence, không giang tây</t>
  </si>
  <si>
    <t xml:space="preserve">Focused strategy + personalization</t>
  </si>
  <si>
    <t xml:space="preserve">Trường Ngôi Sao</t>
  </si>
  <si>
    <t xml:space="preserve">GV, Gò Vấp</t>
  </si>
  <si>
    <t xml:space="preserve">MN, TH</t>
  </si>
  <si>
    <t xml:space="preserve">1.5-3.5M</t>
  </si>
  <si>
    <t xml:space="preserve">Giá rẻ nhất, cơ sở mới, địa điểm, khuyến mãi hay</t>
  </si>
  <si>
    <t xml:space="preserve">Price-focused ads, Zalo promotions, daily flash sales</t>
  </si>
  <si>
    <t xml:space="preserve">Giá rất cạnh tranh, học bổng hay, vị trí tốt</t>
  </si>
  <si>
    <t xml:space="preserve">Chất lượng thấp hơn, giáo viên ít kinh nghiệm, cơ sở nhỏ</t>
  </si>
  <si>
    <t xml:space="preserve">Premium quality despite similar price positioning</t>
  </si>
  <si>
    <t xml:space="preserve">Canadian International School</t>
  </si>
  <si>
    <t xml:space="preserve">Thủ Đức</t>
  </si>
  <si>
    <t xml:space="preserve">MN-THPT</t>
  </si>
  <si>
    <t xml:space="preserve">5-12M</t>
  </si>
  <si>
    <t xml:space="preserve">Canadian curriculum, native teachers, cơ sở xịn</t>
  </si>
  <si>
    <t xml:space="preserve">Limited ads (rely on premium positioning), LinkedIn</t>
  </si>
  <si>
    <t xml:space="preserve">Brand prestige, curriculum, teacher quality</t>
  </si>
  <si>
    <t xml:space="preserve">Quá đắt, chỉ target giàu, ít tuyển. Chúng ta: accessible</t>
  </si>
  <si>
    <t xml:space="preserve">Accessible excellence</t>
  </si>
  <si>
    <t xml:space="preserve">Trường Thứ Sáu</t>
  </si>
  <si>
    <t xml:space="preserve">Q7, Q12</t>
  </si>
  <si>
    <t xml:space="preserve">Chương trình Montessori, phát triển toàn diện, ngoại khóa</t>
  </si>
  <si>
    <t xml:space="preserve">Educational content marketing, parent testimonials, webinars</t>
  </si>
  <si>
    <t xml:space="preserve">Strong educational positioning, parent community</t>
  </si>
  <si>
    <t xml:space="preserve">Ít ads → organic reach chậm. Chúng ta: aggressive growth marketing</t>
  </si>
  <si>
    <t xml:space="preserve">Balanced education + growth marketing</t>
  </si>
  <si>
    <t xml:space="preserve">Hệ Thống Oxford</t>
  </si>
  <si>
    <t xml:space="preserve">Q1, Q2, BV</t>
  </si>
  <si>
    <t xml:space="preserve">2.5-6M</t>
  </si>
  <si>
    <t xml:space="preserve">Chuỗi oxford, tiếng Anh intensive, learning support</t>
  </si>
  <si>
    <t xml:space="preserve">Consistent brand ads, heavy Google Search, email nurture</t>
  </si>
  <si>
    <t xml:space="preserve">Network effect, brand recognition, systems/procedures</t>
  </si>
  <si>
    <t xml:space="preserve">Ít personalized. Chúng ta: bố mẹ experience cá nhân hóa</t>
  </si>
  <si>
    <t xml:space="preserve">Personal touch + system excellence</t>
  </si>
  <si>
    <t xml:space="preserve">Trường Sunshine</t>
  </si>
  <si>
    <t xml:space="preserve">PH, Bình Thạnh</t>
  </si>
  <si>
    <t xml:space="preserve">2-4.5M</t>
  </si>
  <si>
    <t xml:space="preserve">Song ngữ từ sớm, thân thiện, cơ sở mới</t>
  </si>
  <si>
    <t xml:space="preserve">Instagram reels, TikTok organic, parent referral programs</t>
  </si>
  <si>
    <t xml:space="preserve">Strong social presence, young target audience appeal</t>
  </si>
  <si>
    <t xml:space="preserve">Chỉ MN+TH, không có THCS/THPT. Chúng ta: full spectrum</t>
  </si>
  <si>
    <t xml:space="preserve">Comprehensive education path K-12</t>
  </si>
  <si>
    <t xml:space="preserve">Trường Tương Lai</t>
  </si>
  <si>
    <t xml:space="preserve">Q10, NQ</t>
  </si>
  <si>
    <t xml:space="preserve">1.8-4M</t>
  </si>
  <si>
    <t xml:space="preserve">21st century skills, maker space, STEM focus</t>
  </si>
  <si>
    <t xml:space="preserve">Limited ads, mostly organic growth + parent networks</t>
  </si>
  <si>
    <t xml:space="preserve">Strong STEM positioning, modern facilities</t>
  </si>
  <si>
    <t xml:space="preserve">Ít marketing = slow growth. Chúng ta: growth-oriented</t>
  </si>
  <si>
    <t xml:space="preserve">Structured growth + innovation</t>
  </si>
  <si>
    <t xml:space="preserve">Trường Sáng Tạo</t>
  </si>
  <si>
    <t xml:space="preserve">Tân Bình</t>
  </si>
  <si>
    <t xml:space="preserve">2-3.8M</t>
  </si>
  <si>
    <t xml:space="preserve">Creative approach, arts focus, flexible learning</t>
  </si>
  <si>
    <t xml:space="preserve">Minimal paid ads, Facebook community, word-of-mouth</t>
  </si>
  <si>
    <t xml:space="preserve">Niche positioning (creative/arts), strong community</t>
  </si>
  <si>
    <t xml:space="preserve">Quá niche. Chúng ta: balanced education appeal</t>
  </si>
  <si>
    <t xml:space="preserve">Inclusive excellence (not just niche)</t>
  </si>
  <si>
    <t xml:space="preserve">BẢNG ĐỊNH VỊ CẠNH TRANH (Competitive Positioning Matrix)</t>
  </si>
  <si>
    <t xml:space="preserve">Price vs Quality Positioning:</t>
  </si>
  <si>
    <t xml:space="preserve">High Price / High Quality:</t>
  </si>
  <si>
    <t xml:space="preserve">Trường Quốc Tế Anh, Canadian International School</t>
  </si>
  <si>
    <t xml:space="preserve">High Price / Medium Quality:</t>
  </si>
  <si>
    <t xml:space="preserve">Hệ Thống Giáo Dục ABC (vì quá rộng)</t>
  </si>
  <si>
    <t xml:space="preserve">Medium Price / High Quality:</t>
  </si>
  <si>
    <t xml:space="preserve">✅ VIỆT ANH (TARGET)</t>
  </si>
  <si>
    <t xml:space="preserve">Medium Price / Medium Quality:</t>
  </si>
  <si>
    <t xml:space="preserve">Trường Bình Minh, Hệ Thống Oxford, Trường Thứ Sáu</t>
  </si>
  <si>
    <t xml:space="preserve">Low Price / Medium Quality:</t>
  </si>
  <si>
    <t xml:space="preserve">Trường Ngôi Sao, Trường Tương Lai</t>
  </si>
  <si>
    <t xml:space="preserve">Low Price / Low Quality:</t>
  </si>
  <si>
    <t xml:space="preserve">(Không quan trọng)</t>
  </si>
  <si>
    <t xml:space="preserve">Our Competitive Advantage (Việt Anh):</t>
  </si>
  <si>
    <t xml:space="preserve">✅ Premium quality education</t>
  </si>
  <si>
    <t xml:space="preserve">+ Giáo viên giỏi, cơ sở hiện đại, chương trình tốt</t>
  </si>
  <si>
    <t xml:space="preserve">✅ Reasonable price</t>
  </si>
  <si>
    <t xml:space="preserve">+ Linh hoạt thanh toán, học bổng, không quá đắt</t>
  </si>
  <si>
    <t xml:space="preserve">✅ Multiple locations</t>
  </si>
  <si>
    <t xml:space="preserve">+ 6 cơ sở, accessibility cao</t>
  </si>
  <si>
    <t xml:space="preserve">✅ Integrated K-12</t>
  </si>
  <si>
    <t xml:space="preserve">+ Lớp MN đến THPT, learner journey liền mạch</t>
  </si>
  <si>
    <t xml:space="preserve">✅ Growth marketing</t>
  </si>
  <si>
    <t xml:space="preserve">+ Digital ads, SEO, webinars, content – others do less</t>
  </si>
  <si>
    <t xml:space="preserve">✅ Customer experience</t>
  </si>
  <si>
    <t xml:space="preserve">+ Consultants, chatbots, webinars, follow-up</t>
  </si>
  <si>
    <t xml:space="preserve">Threats to Monitor:</t>
  </si>
  <si>
    <t xml:space="preserve">⚠️ Premium schools</t>
  </si>
  <si>
    <t xml:space="preserve">(Quốc Tế, Canadian) – từ từ giảm giá</t>
  </si>
  <si>
    <t xml:space="preserve">⚠️ Cheap competitors</t>
  </si>
  <si>
    <t xml:space="preserve">(Ngôi Sao) – giá cạnh tranh quá, quality compromise</t>
  </si>
  <si>
    <t xml:space="preserve">⚠️ Large networks</t>
  </si>
  <si>
    <t xml:space="preserve">(ABC, Oxford) – budget lớn, brand recognition</t>
  </si>
  <si>
    <t xml:space="preserve">⚠️ Market saturation</t>
  </si>
  <si>
    <t xml:space="preserve">(Nhiều trường mới mở) – differentiate or lose</t>
  </si>
  <si>
    <t xml:space="preserve">FUNNEL 8 TẦNG - PIPELINE TUYỂN SINH</t>
  </si>
  <si>
    <t xml:space="preserve">I. ĐỊNH NGHĨA 8 TẦNG FUNNEL</t>
  </si>
  <si>
    <t xml:space="preserve">Tầng</t>
  </si>
  <si>
    <t xml:space="preserve">Định Nghĩa</t>
  </si>
  <si>
    <t xml:space="preserve">Tiêu Chí Thoát</t>
  </si>
  <si>
    <t xml:space="preserve">Automation Trigger</t>
  </si>
  <si>
    <t xml:space="preserve">New Lead</t>
  </si>
  <si>
    <t xml:space="preserve">Người từng liên hệ lần đầu qua form/ad/walk-in</t>
  </si>
  <si>
    <t xml:space="preserve">Lead được assign cho sales</t>
  </si>
  <si>
    <t xml:space="preserve">Digital Team</t>
  </si>
  <si>
    <t xml:space="preserve">Auto: gọi + SMS</t>
  </si>
  <si>
    <t xml:space="preserve">Contacted</t>
  </si>
  <si>
    <t xml:space="preserve">Sales đã liên hệ được qua phone/Zalo/email</t>
  </si>
  <si>
    <t xml:space="preserve">Có phản hồi tích cực</t>
  </si>
  <si>
    <t xml:space="preserve">2 phút</t>
  </si>
  <si>
    <t xml:space="preserve">Auto: ghi nhận response</t>
  </si>
  <si>
    <t xml:space="preserve">Qualified</t>
  </si>
  <si>
    <t xml:space="preserve">Phụ huynh đã được hỏi mục đích, sổ sách, etc.</t>
  </si>
  <si>
    <t xml:space="preserve">Sẵn sàng đăng ký tour</t>
  </si>
  <si>
    <t xml:space="preserve">Auto: offer tour</t>
  </si>
  <si>
    <t xml:space="preserve">Booked Tour</t>
  </si>
  <si>
    <t xml:space="preserve">Phụ huynh đã xác nhận lịch tour</t>
  </si>
  <si>
    <t xml:space="preserve">Đến tour đúng giờ</t>
  </si>
  <si>
    <t xml:space="preserve">Campus Lead</t>
  </si>
  <si>
    <t xml:space="preserve">Auto: SMS reminder</t>
  </si>
  <si>
    <t xml:space="preserve">Showed Tour</t>
  </si>
  <si>
    <t xml:space="preserve">Phụ huynh đã tham gia tour</t>
  </si>
  <si>
    <t xml:space="preserve">Đưa offer hoặc follow-up</t>
  </si>
  <si>
    <t xml:space="preserve">Admission Officer</t>
  </si>
  <si>
    <t xml:space="preserve">Auto: gửi offer</t>
  </si>
  <si>
    <t xml:space="preserve">Phụ huynh đã nhận offer học phí/khuyến mại</t>
  </si>
  <si>
    <t xml:space="preserve">Thanh toán deposit</t>
  </si>
  <si>
    <t xml:space="preserve">Auto: follow-up deposit</t>
  </si>
  <si>
    <t xml:space="preserve">Deposit</t>
  </si>
  <si>
    <t xml:space="preserve">Phụ huynh đã thanh toán deposit</t>
  </si>
  <si>
    <t xml:space="preserve">Hoàn tất hồ sơ nhập học</t>
  </si>
  <si>
    <t xml:space="preserve">Finance Officer</t>
  </si>
  <si>
    <t xml:space="preserve">Auto: gửi hồ sơ</t>
  </si>
  <si>
    <t xml:space="preserve">Học sinh đã nhập học</t>
  </si>
  <si>
    <t xml:space="preserve">Hoàn tất quy trình</t>
  </si>
  <si>
    <t xml:space="preserve">Principal</t>
  </si>
  <si>
    <t xml:space="preserve">Auto: gửi thông tin</t>
  </si>
  <si>
    <t xml:space="preserve">II. PIPELINE MATH</t>
  </si>
  <si>
    <t xml:space="preserve">Conversion Rate</t>
  </si>
  <si>
    <t xml:space="preserve">Cần từ tầng trước</t>
  </si>
  <si>
    <t xml:space="preserve">95%</t>
  </si>
  <si>
    <t xml:space="preserve">70%</t>
  </si>
  <si>
    <t xml:space="preserve">III. PHÂN BỐ PIPELINE THEO CƠ SỞ</t>
  </si>
  <si>
    <t xml:space="preserve">Cơ Sở</t>
  </si>
  <si>
    <t xml:space="preserve">Enrolled Target</t>
  </si>
  <si>
    <t xml:space="preserve">% Mục Tiêu</t>
  </si>
  <si>
    <t xml:space="preserve">Booked</t>
  </si>
  <si>
    <t xml:space="preserve">Showed</t>
  </si>
  <si>
    <t xml:space="preserve">14%</t>
  </si>
  <si>
    <t xml:space="preserve">13%</t>
  </si>
  <si>
    <t xml:space="preserve">19%</t>
  </si>
  <si>
    <t xml:space="preserve">IV. PHÂN BỐ PIPELINE THEO CẤP HỌC</t>
  </si>
  <si>
    <t xml:space="preserve">Mầm Non (MN)</t>
  </si>
  <si>
    <t xml:space="preserve">27%</t>
  </si>
  <si>
    <t xml:space="preserve">Tiểu Học (TH)</t>
  </si>
  <si>
    <t xml:space="preserve">V. THEO DÕI PIPELINE HÀNG TUẦN</t>
  </si>
  <si>
    <t xml:space="preserve">Tuần 5</t>
  </si>
  <si>
    <t xml:space="preserve">Tuần 6</t>
  </si>
  <si>
    <t xml:space="preserve">Tuần 7</t>
  </si>
  <si>
    <t xml:space="preserve">Tuần 8</t>
  </si>
  <si>
    <t xml:space="preserve">Tuần 9</t>
  </si>
  <si>
    <t xml:space="preserve">Tuần 10</t>
  </si>
  <si>
    <t xml:space="preserve">Tuần 11</t>
  </si>
  <si>
    <t xml:space="preserve">Tuần 12</t>
  </si>
  <si>
    <t xml:space="preserve">Tuần 13</t>
  </si>
  <si>
    <t xml:space="preserve">Tuần 14</t>
  </si>
  <si>
    <t xml:space="preserve">Tuần 15</t>
  </si>
  <si>
    <t xml:space="preserve">Tuần 16</t>
  </si>
  <si>
    <t xml:space="preserve">Tuần 17</t>
  </si>
  <si>
    <t xml:space="preserve">Tuần 18</t>
  </si>
  <si>
    <t xml:space="preserve">Tuần 19</t>
  </si>
  <si>
    <t xml:space="preserve">Tuần 20</t>
  </si>
  <si>
    <t xml:space="preserve">Tuần 21</t>
  </si>
  <si>
    <t xml:space="preserve">Tuần 22</t>
  </si>
  <si>
    <t xml:space="preserve">Tuần 23</t>
  </si>
  <si>
    <t xml:space="preserve">Tuần 24</t>
  </si>
  <si>
    <t xml:space="preserve">Tuần 25</t>
  </si>
  <si>
    <t xml:space="preserve">Tuần 26</t>
  </si>
  <si>
    <t xml:space="preserve">Tuần 27</t>
  </si>
  <si>
    <t xml:space="preserve">Tuần 28</t>
  </si>
  <si>
    <t xml:space="preserve">SLA TUYỂN SINH</t>
  </si>
  <si>
    <t xml:space="preserve">I. SLA THEO CHANNEL</t>
  </si>
  <si>
    <t xml:space="preserve">SLA Response</t>
  </si>
  <si>
    <t xml:space="preserve">Hình Thức</t>
  </si>
  <si>
    <t xml:space="preserve">Facebook Lead Ad</t>
  </si>
  <si>
    <t xml:space="preserve">3 phút</t>
  </si>
  <si>
    <t xml:space="preserve">Gọi điện</t>
  </si>
  <si>
    <t xml:space="preserve">Gọi ngay sau khi nhận form</t>
  </si>
  <si>
    <t xml:space="preserve">Google Search form</t>
  </si>
  <si>
    <t xml:space="preserve">Gọi từ landing page form</t>
  </si>
  <si>
    <t xml:space="preserve">Reply Zalo</t>
  </si>
  <si>
    <t xml:space="preserve">Reply nhắn OA</t>
  </si>
  <si>
    <t xml:space="preserve">Zalo Manager</t>
  </si>
  <si>
    <t xml:space="preserve">Tiếp đón trực tiếp</t>
  </si>
  <si>
    <t xml:space="preserve">Chào đón ngay</t>
  </si>
  <si>
    <t xml:space="preserve">Website form</t>
  </si>
  <si>
    <t xml:space="preserve">Gọi qua form website</t>
  </si>
  <si>
    <t xml:space="preserve">Gọi người được giới thiệu</t>
  </si>
  <si>
    <t xml:space="preserve">Event/Open Day</t>
  </si>
  <si>
    <t xml:space="preserve">Follow-up sau event</t>
  </si>
  <si>
    <t xml:space="preserve">II. TOUCHPOINT SEQUENCE (7 NGÀY)</t>
  </si>
  <si>
    <t xml:space="preserve">Touchpoint</t>
  </si>
  <si>
    <t xml:space="preserve">Call 1 + SMS welcome + Zalo add</t>
  </si>
  <si>
    <t xml:space="preserve">Chào mừng, xác nhận quan tâm</t>
  </si>
  <si>
    <t xml:space="preserve">Phone/SMS/Zalo</t>
  </si>
  <si>
    <t xml:space="preserve">Thời gian: 8-10 AM</t>
  </si>
  <si>
    <t xml:space="preserve">Call 2 + Email info pack</t>
  </si>
  <si>
    <t xml:space="preserve">Nếu ngày 1 không liên lạc được</t>
  </si>
  <si>
    <t xml:space="preserve">Phone/Email</t>
  </si>
  <si>
    <t xml:space="preserve">10-12 AM hoặc 2-4 PM</t>
  </si>
  <si>
    <t xml:space="preserve">Zalo message with video</t>
  </si>
  <si>
    <t xml:space="preserve">Gửi video tour, testimonial</t>
  </si>
  <si>
    <t xml:space="preserve">Buổi trưa 1-2 PM</t>
  </si>
  <si>
    <t xml:space="preserve">Call 3 + SMS reminder</t>
  </si>
  <si>
    <t xml:space="preserve">Nhắc lịch tour, confirm lại</t>
  </si>
  <si>
    <t xml:space="preserve">Phone/SMS</t>
  </si>
  <si>
    <t xml:space="preserve">3-5 PM</t>
  </si>
  <si>
    <t xml:space="preserve">Email testimonial + success story</t>
  </si>
  <si>
    <t xml:space="preserve">Gửi case study, phụ huynh khác</t>
  </si>
  <si>
    <t xml:space="preserve">Sáng 9-10 AM</t>
  </si>
  <si>
    <t xml:space="preserve">Zalo invite to tour</t>
  </si>
  <si>
    <t xml:space="preserve">Mời tham dự tour, link booking</t>
  </si>
  <si>
    <t xml:space="preserve">Buổi chiều 2-3 PM</t>
  </si>
  <si>
    <t xml:space="preserve">Ngày 7</t>
  </si>
  <si>
    <t xml:space="preserve">Final call + escalate if no contact</t>
  </si>
  <si>
    <t xml:space="preserve">Gọi cuối cùng, chuyển manager</t>
  </si>
  <si>
    <t xml:space="preserve">10-11 AM</t>
  </si>
  <si>
    <t xml:space="preserve">III. NO-SHOW RECOVERY PROTOCOL</t>
  </si>
  <si>
    <t xml:space="preserve">Sự Kiện</t>
  </si>
  <si>
    <t xml:space="preserve">Hành Động</t>
  </si>
  <si>
    <t xml:space="preserve">Lead miss tour - 30 phút</t>
  </si>
  <si>
    <t xml:space="preserve">Gọi ngay xin lý do</t>
  </si>
  <si>
    <t xml:space="preserve">Trong 30 phút</t>
  </si>
  <si>
    <t xml:space="preserve">Lead không trả lời 3 lần</t>
  </si>
  <si>
    <t xml:space="preserve">SMS + Zalo escalate</t>
  </si>
  <si>
    <t xml:space="preserve">6 giờ sau</t>
  </si>
  <si>
    <t xml:space="preserve">SMS/Zalo</t>
  </si>
  <si>
    <t xml:space="preserve">Lead miss 2 tour</t>
  </si>
  <si>
    <t xml:space="preserve">Offer discount 20%</t>
  </si>
  <si>
    <t xml:space="preserve">Zalo/Email</t>
  </si>
  <si>
    <t xml:space="preserve">Lead inactive 7 ngày</t>
  </si>
  <si>
    <t xml:space="preserve">Chuyển cold pool</t>
  </si>
  <si>
    <t xml:space="preserve">CRM</t>
  </si>
  <si>
    <t xml:space="preserve">IV. SLA BREACH ESCALATION MATRIX</t>
  </si>
  <si>
    <t xml:space="preserve">Breach Type</t>
  </si>
  <si>
    <t xml:space="preserve">Threshold</t>
  </si>
  <si>
    <t xml:space="preserve">Response time breach</t>
  </si>
  <si>
    <t xml:space="preserve">&gt; 2x SLA</t>
  </si>
  <si>
    <t xml:space="preserve">Manager review + coaching</t>
  </si>
  <si>
    <t xml:space="preserve">Response rate breach</t>
  </si>
  <si>
    <t xml:space="preserve">&lt; 80% SLA</t>
  </si>
  <si>
    <t xml:space="preserve">Team standup + adjustments</t>
  </si>
  <si>
    <t xml:space="preserve">Repeat breach by staff</t>
  </si>
  <si>
    <t xml:space="preserve">3+ violations</t>
  </si>
  <si>
    <t xml:space="preserve">One-on-one coaching session</t>
  </si>
  <si>
    <t xml:space="preserve">72 giờ</t>
  </si>
  <si>
    <t xml:space="preserve">Regional Manager</t>
  </si>
  <si>
    <t xml:space="preserve">System-wide breach</t>
  </si>
  <si>
    <t xml:space="preserve">Entire team &gt; threshold</t>
  </si>
  <si>
    <t xml:space="preserve">Process audit + redesign</t>
  </si>
  <si>
    <t xml:space="preserve">CEO</t>
  </si>
  <si>
    <t xml:space="preserve">V. THEO DÕI SLA HÀNG THÁNG</t>
  </si>
  <si>
    <t xml:space="preserve">Response Time %</t>
  </si>
  <si>
    <t xml:space="preserve">Call SLA %</t>
  </si>
  <si>
    <t xml:space="preserve">Email SLA %</t>
  </si>
  <si>
    <t xml:space="preserve">Zalo SLA %</t>
  </si>
  <si>
    <t xml:space="preserve">Tour Show %</t>
  </si>
  <si>
    <t xml:space="preserve">Offer SLA %</t>
  </si>
  <si>
    <t xml:space="preserve">Target %</t>
  </si>
  <si>
    <t xml:space="preserve">SOP SCHOOL TOUR 75 PHÚT</t>
  </si>
  <si>
    <t xml:space="preserve">I. TOUR BREAKDOWN (75 PHÚT)</t>
  </si>
  <si>
    <t xml:space="preserve">Thời Gian</t>
  </si>
  <si>
    <t xml:space="preserve">1. Đón tiếp &amp; Coffee</t>
  </si>
  <si>
    <t xml:space="preserve">10 phút</t>
  </si>
  <si>
    <t xml:space="preserve">Chào mừng, giới thiệu, cà phê</t>
  </si>
  <si>
    <t xml:space="preserve">Phòng chờ/Lounge</t>
  </si>
  <si>
    <t xml:space="preserve">Admissions Officer</t>
  </si>
  <si>
    <t xml:space="preserve">Khay cà phê, seat, bộ brochure</t>
  </si>
  <si>
    <t xml:space="preserve">2. Presentation</t>
  </si>
  <si>
    <t xml:space="preserve">Giới thiệu chương trình, giáo dục</t>
  </si>
  <si>
    <t xml:space="preserve">Phòng họp/Presentation</t>
  </si>
  <si>
    <t xml:space="preserve">Principal/VP</t>
  </si>
  <si>
    <t xml:space="preserve">Projector, slides sẵn sàng</t>
  </si>
  <si>
    <t xml:space="preserve">3. Tour cơ sở</t>
  </si>
  <si>
    <t xml:space="preserve">25 phút</t>
  </si>
  <si>
    <t xml:space="preserve">Thăm lớp, sân chơi, lab, thư viện</t>
  </si>
  <si>
    <t xml:space="preserve">Toàn bộ campus</t>
  </si>
  <si>
    <t xml:space="preserve">Lịch thăm lớp, hướng dẫn viên</t>
  </si>
  <si>
    <t xml:space="preserve">4. Q&amp;A &amp; Tư vấn</t>
  </si>
  <si>
    <t xml:space="preserve">Trả lời câu hỏi chi tiết</t>
  </si>
  <si>
    <t xml:space="preserve">Phòng họp</t>
  </si>
  <si>
    <t xml:space="preserve">Tài liệu học phí, timeline</t>
  </si>
  <si>
    <t xml:space="preserve">5. Offer &amp; Next Step</t>
  </si>
  <si>
    <t xml:space="preserve">Đưa offer, hẹn follow-up</t>
  </si>
  <si>
    <t xml:space="preserve">Phòng tư vấn</t>
  </si>
  <si>
    <t xml:space="preserve">Manager</t>
  </si>
  <si>
    <t xml:space="preserve">Offer letter, form đăng ký</t>
  </si>
  <si>
    <t xml:space="preserve">II. PREPARATION CHECKLIST (18+ ITEMS)</t>
  </si>
  <si>
    <t xml:space="preserve">Item</t>
  </si>
  <si>
    <t xml:space="preserve">Responsible</t>
  </si>
  <si>
    <t xml:space="preserve">Folder &amp; brochure in color</t>
  </si>
  <si>
    <t xml:space="preserve">Giấy tờ đăng ký học</t>
  </si>
  <si>
    <t xml:space="preserve">Bảng giá học phí</t>
  </si>
  <si>
    <t xml:space="preserve">Gift set cho phụ huynh</t>
  </si>
  <si>
    <t xml:space="preserve">Marketing Team</t>
  </si>
  <si>
    <t xml:space="preserve">Name tags cho staff</t>
  </si>
  <si>
    <t xml:space="preserve">Phòng họp sạch sẽ, thoáng mát</t>
  </si>
  <si>
    <t xml:space="preserve">Operations</t>
  </si>
  <si>
    <t xml:space="preserve">Coffee/tea ready</t>
  </si>
  <si>
    <t xml:space="preserve">Đèn, điều hòa, projector test</t>
  </si>
  <si>
    <t xml:space="preserve">IT/Operations</t>
  </si>
  <si>
    <t xml:space="preserve">Slides presentation ready</t>
  </si>
  <si>
    <t xml:space="preserve">Tour schedule posted</t>
  </si>
  <si>
    <t xml:space="preserve">Staff briefing done (30 phút trước)</t>
  </si>
  <si>
    <t xml:space="preserve">Student ambassadors briefed</t>
  </si>
  <si>
    <t xml:space="preserve">Bathroom cleaned</t>
  </si>
  <si>
    <t xml:space="preserve">Parking signs clear</t>
  </si>
  <si>
    <t xml:space="preserve">Welcome sign at gate</t>
  </si>
  <si>
    <t xml:space="preserve">Class schedule posted</t>
  </si>
  <si>
    <t xml:space="preserve">Teacher availability confirmed</t>
  </si>
  <si>
    <t xml:space="preserve">Refund/warranty policy ready</t>
  </si>
  <si>
    <t xml:space="preserve">III. COMMON Q&amp;A &amp; OBJECTION HANDLING</t>
  </si>
  <si>
    <t xml:space="preserve">Câu Hỏi/Phản Đối</t>
  </si>
  <si>
    <t xml:space="preserve">Đáp Án</t>
  </si>
  <si>
    <t xml:space="preserve">Script Talking Point</t>
  </si>
  <si>
    <t xml:space="preserve">Học phí cao không?</t>
  </si>
  <si>
    <t xml:space="preserve">Giá cạnh tranh, bao gồm tiện ích: setting quốc tế, teacher qualified, facilities modern</t>
  </si>
  <si>
    <t xml:space="preserve">So sánh lợi ích vs giá</t>
  </si>
  <si>
    <t xml:space="preserve">Có công lực không?</t>
  </si>
  <si>
    <t xml:space="preserve">Kết hợp quốc tế &amp; Việt Nam, đảm bảo công lực</t>
  </si>
  <si>
    <t xml:space="preserve">Giải thích chương trình hybrid</t>
  </si>
  <si>
    <t xml:space="preserve">Vị trí xa không?</t>
  </si>
  <si>
    <t xml:space="preserve">Shuttle service + location strategic</t>
  </si>
  <si>
    <t xml:space="preserve">Chỉ bản đồ &amp; xe đưa đón</t>
  </si>
  <si>
    <t xml:space="preserve">Giáo viên gốc nước ngoài?</t>
  </si>
  <si>
    <t xml:space="preserve">Native speakers + Vietnamese co-teachers</t>
  </si>
  <si>
    <t xml:space="preserve">Giới thiệu profile giáo viên</t>
  </si>
  <si>
    <t xml:space="preserve">Sau tốt nghiệp học kỳ ngoài?</t>
  </si>
  <si>
    <t xml:space="preserve">Đường lên danh tiếng trường</t>
  </si>
  <si>
    <t xml:space="preserve">Chia sẻ testimonial học sinh cũ</t>
  </si>
  <si>
    <t xml:space="preserve">Tại sao chọn trường này?</t>
  </si>
  <si>
    <t xml:space="preserve">Unique selling points: community, excellence, support</t>
  </si>
  <si>
    <t xml:space="preserve">Dùng social proof từ phụ huynh khác</t>
  </si>
  <si>
    <t xml:space="preserve">Có học bổng không?</t>
  </si>
  <si>
    <t xml:space="preserve">Merit-based + diversity scholarship available</t>
  </si>
  <si>
    <t xml:space="preserve">Yêu cầu form đăng ký &amp; test</t>
  </si>
  <si>
    <t xml:space="preserve">Khoá tạm dừng được không?</t>
  </si>
  <si>
    <t xml:space="preserve">Flexible policy tùy tình huống</t>
  </si>
  <si>
    <t xml:space="preserve">Hỏi details + hứa follow-up</t>
  </si>
  <si>
    <t xml:space="preserve">IV. TOUR QUALITY SCORING RUBRIC</t>
  </si>
  <si>
    <t xml:space="preserve">Tiêu Chí</t>
  </si>
  <si>
    <t xml:space="preserve">Score (1-5)</t>
  </si>
  <si>
    <t xml:space="preserve">Greeting &amp; Warmth</t>
  </si>
  <si>
    <t xml:space="preserve">Initial welcome, eye contact, smile</t>
  </si>
  <si>
    <t xml:space="preserve">Professionalism</t>
  </si>
  <si>
    <t xml:space="preserve">Appearance, language, punctuality</t>
  </si>
  <si>
    <t xml:space="preserve">Product Knowledge</t>
  </si>
  <si>
    <t xml:space="preserve">Accurate info about programs &amp; facilities</t>
  </si>
  <si>
    <t xml:space="preserve">Listening Skills</t>
  </si>
  <si>
    <t xml:space="preserve">Ask questions, understand parent needs</t>
  </si>
  <si>
    <t xml:space="preserve">Campus Presentation</t>
  </si>
  <si>
    <t xml:space="preserve">Clean, safe, well-organized facilities</t>
  </si>
  <si>
    <t xml:space="preserve">Answer Quality</t>
  </si>
  <si>
    <t xml:space="preserve">Thoughtful, specific responses</t>
  </si>
  <si>
    <t xml:space="preserve">Time Management</t>
  </si>
  <si>
    <t xml:space="preserve">Stayed on schedule, all 75 minutes used</t>
  </si>
  <si>
    <t xml:space="preserve">Closing Technique</t>
  </si>
  <si>
    <t xml:space="preserve">Clear next steps, compelling offer</t>
  </si>
  <si>
    <t xml:space="preserve">Collected contact, promised timing</t>
  </si>
  <si>
    <t xml:space="preserve">Overall Impression</t>
  </si>
  <si>
    <t xml:space="preserve">Parent would recommend to others</t>
  </si>
  <si>
    <t xml:space="preserve">V. POST-TOUR FOLLOW-UP SEQUENCE (0-7 NGÀY)</t>
  </si>
  <si>
    <t xml:space="preserve">Day</t>
  </si>
  <si>
    <t xml:space="preserve">Day 0 (Same day)</t>
  </si>
  <si>
    <t xml:space="preserve">Thank you call</t>
  </si>
  <si>
    <t xml:space="preserve">Cảm ơn, hỏi impression</t>
  </si>
  <si>
    <t xml:space="preserve">Tour Guide</t>
  </si>
  <si>
    <t xml:space="preserve">Day 1</t>
  </si>
  <si>
    <t xml:space="preserve">Email thank you + brochure</t>
  </si>
  <si>
    <t xml:space="preserve">Gửi tài liệu, recap tour</t>
  </si>
  <si>
    <t xml:space="preserve">Admissions</t>
  </si>
  <si>
    <t xml:space="preserve">Zalo message + scholarship info</t>
  </si>
  <si>
    <t xml:space="preserve">Thông tin học bổng + timeline</t>
  </si>
  <si>
    <t xml:space="preserve">Day 3</t>
  </si>
  <si>
    <t xml:space="preserve">Call: offer discussion</t>
  </si>
  <si>
    <t xml:space="preserve">Thảo luận offer, giải đáp thắc mắc</t>
  </si>
  <si>
    <t xml:space="preserve">Sales</t>
  </si>
  <si>
    <t xml:space="preserve">SMS reminder: deposit deadline</t>
  </si>
  <si>
    <t xml:space="preserve">Nhắc hạn thanh toán deposit</t>
  </si>
  <si>
    <t xml:space="preserve">Finance</t>
  </si>
  <si>
    <t xml:space="preserve">Email: success stories</t>
  </si>
  <si>
    <t xml:space="preserve">Gửi testimonial phụ huynh cũ</t>
  </si>
  <si>
    <t xml:space="preserve">Final call: decision status</t>
  </si>
  <si>
    <t xml:space="preserve">Gọi confirm decision</t>
  </si>
  <si>
    <t xml:space="preserve">BUDGET GOVERNANCE - 13 TỶ VND</t>
  </si>
  <si>
    <t xml:space="preserve">I. TOTAL BUDGET ALLOCATION</t>
  </si>
  <si>
    <t xml:space="preserve">Budget Type</t>
  </si>
  <si>
    <t xml:space="preserve">VND</t>
  </si>
  <si>
    <t xml:space="preserve">% Tổng</t>
  </si>
  <si>
    <t xml:space="preserve">TOTAL BUDGET</t>
  </si>
  <si>
    <t xml:space="preserve">13.0B</t>
  </si>
  <si>
    <t xml:space="preserve">Toàn bộ campaign 26/03 - 30/09/2026</t>
  </si>
  <si>
    <t xml:space="preserve">Committed Budget</t>
  </si>
  <si>
    <t xml:space="preserve">10.8B</t>
  </si>
  <si>
    <t xml:space="preserve">83%</t>
  </si>
  <si>
    <t xml:space="preserve">Allocated &amp; locked</t>
  </si>
  <si>
    <t xml:space="preserve">Flexible Budget</t>
  </si>
  <si>
    <t xml:space="preserve">2.2B</t>
  </si>
  <si>
    <t xml:space="preserve">17%</t>
  </si>
  <si>
    <t xml:space="preserve">Release based on conditions</t>
  </si>
  <si>
    <t xml:space="preserve">II. COMMITTED BUDGET BREAKDOWN (10.8B)</t>
  </si>
  <si>
    <t xml:space="preserve">% Committed</t>
  </si>
  <si>
    <t xml:space="preserve">3500M</t>
  </si>
  <si>
    <t xml:space="preserve">32.4%</t>
  </si>
  <si>
    <t xml:space="preserve">Digital Specialist</t>
  </si>
  <si>
    <t xml:space="preserve">Meta Ads (FB/IG)</t>
  </si>
  <si>
    <t xml:space="preserve">3200M</t>
  </si>
  <si>
    <t xml:space="preserve">29.6%</t>
  </si>
  <si>
    <t xml:space="preserve">1500M</t>
  </si>
  <si>
    <t xml:space="preserve">13.9%</t>
  </si>
  <si>
    <t xml:space="preserve">1000M</t>
  </si>
  <si>
    <t xml:space="preserve">9.3%</t>
  </si>
  <si>
    <t xml:space="preserve">Events/Open Day</t>
  </si>
  <si>
    <t xml:space="preserve">800M</t>
  </si>
  <si>
    <t xml:space="preserve">7.4%</t>
  </si>
  <si>
    <t xml:space="preserve">Content Production</t>
  </si>
  <si>
    <t xml:space="preserve">500M</t>
  </si>
  <si>
    <t xml:space="preserve">4.6%</t>
  </si>
  <si>
    <t xml:space="preserve">CRM/Tech Setup</t>
  </si>
  <si>
    <t xml:space="preserve">2.8%</t>
  </si>
  <si>
    <t xml:space="preserve">III. MONTHLY ALLOCATION (6 THÁNG)</t>
  </si>
  <si>
    <t xml:space="preserve">Total</t>
  </si>
  <si>
    <t xml:space="preserve">T4 (26/03-30/04)</t>
  </si>
  <si>
    <t xml:space="preserve">550M</t>
  </si>
  <si>
    <t xml:space="preserve">250M</t>
  </si>
  <si>
    <t xml:space="preserve">1730M</t>
  </si>
  <si>
    <t xml:space="preserve">1600M</t>
  </si>
  <si>
    <t xml:space="preserve">T9 (1-30/09)</t>
  </si>
  <si>
    <t xml:space="preserve">1650M</t>
  </si>
  <si>
    <t xml:space="preserve">IV. FLEXIBLE BUDGET RELEASE CONDITIONS (2.2B)</t>
  </si>
  <si>
    <t xml:space="preserve">Release Amount</t>
  </si>
  <si>
    <t xml:space="preserve">Use For</t>
  </si>
  <si>
    <t xml:space="preserve">CPA Efficiency</t>
  </si>
  <si>
    <t xml:space="preserve">Channel CPA &lt; 80% of cap (MN&lt;6.4M)</t>
  </si>
  <si>
    <t xml:space="preserve">Scale that channel</t>
  </si>
  <si>
    <t xml:space="preserve">Pipeline Strength</t>
  </si>
  <si>
    <t xml:space="preserve">Total pipeline &gt; 120% monthly target</t>
  </si>
  <si>
    <t xml:space="preserve">Conversion events + remarketing</t>
  </si>
  <si>
    <t xml:space="preserve">New Channel Test</t>
  </si>
  <si>
    <t xml:space="preserve">Test channel hits CPA target in 2 weeks</t>
  </si>
  <si>
    <t xml:space="preserve">Scale new channel</t>
  </si>
  <si>
    <t xml:space="preserve">Emergency Buffer</t>
  </si>
  <si>
    <t xml:space="preserve">CPA spike or market change</t>
  </si>
  <si>
    <t xml:space="preserve">1,200M</t>
  </si>
  <si>
    <t xml:space="preserve">Maintain efficiency</t>
  </si>
  <si>
    <t xml:space="preserve">V. CAC CAPS PER GRADE LEVEL</t>
  </si>
  <si>
    <t xml:space="preserve">CAC Cap (VND)</t>
  </si>
  <si>
    <t xml:space="preserve">8 triệu</t>
  </si>
  <si>
    <t xml:space="preserve">Highest conversion, lowest CAC</t>
  </si>
  <si>
    <t xml:space="preserve">10 triệu</t>
  </si>
  <si>
    <t xml:space="preserve">Large segment, stable demand</t>
  </si>
  <si>
    <t xml:space="preserve">12 triệu</t>
  </si>
  <si>
    <t xml:space="preserve">Mid-tier, competitive market</t>
  </si>
  <si>
    <t xml:space="preserve">15 triệu</t>
  </si>
  <si>
    <t xml:space="preserve">Smallest segment, highest cost</t>
  </si>
  <si>
    <t xml:space="preserve">VI. KILL SWITCH RULES</t>
  </si>
  <si>
    <t xml:space="preserve">Who Decides</t>
  </si>
  <si>
    <t xml:space="preserve">Channel CPA Too High</t>
  </si>
  <si>
    <t xml:space="preserve">CPA &gt; 150% of cap for 2 weeks</t>
  </si>
  <si>
    <t xml:space="preserve">Pause channel, audit performance</t>
  </si>
  <si>
    <t xml:space="preserve">CEO + CFO</t>
  </si>
  <si>
    <t xml:space="preserve">Enrollment Rate Collapse</t>
  </si>
  <si>
    <t xml:space="preserve">&lt; 40% of converted leads enroll</t>
  </si>
  <si>
    <t xml:space="preserve">Pause new spending, investigate</t>
  </si>
  <si>
    <t xml:space="preserve">System Outage</t>
  </si>
  <si>
    <t xml:space="preserve">CRM/ad platform unavailable &gt; 2 hours</t>
  </si>
  <si>
    <t xml:space="preserve">Pause all spend until fixed</t>
  </si>
  <si>
    <t xml:space="preserve">IT Lead</t>
  </si>
  <si>
    <t xml:space="preserve">Quality Issue</t>
  </si>
  <si>
    <t xml:space="preserve">Parent complaints &gt; 20 per week</t>
  </si>
  <si>
    <t xml:space="preserve">Audit, pause enrollment</t>
  </si>
  <si>
    <t xml:space="preserve">Principal + CEO</t>
  </si>
  <si>
    <t xml:space="preserve">VII. BUDGET VS ACTUAL TRACKING</t>
  </si>
  <si>
    <t xml:space="preserve">Planned (M)</t>
  </si>
  <si>
    <t xml:space="preserve">Actual (M)</t>
  </si>
  <si>
    <t xml:space="preserve">Variance (M)</t>
  </si>
  <si>
    <t xml:space="preserve">Variance %</t>
  </si>
  <si>
    <t xml:space="preserve">CFO</t>
  </si>
  <si>
    <t xml:space="preserve">DASHBOARD 12 SỐ HÀNG NGÀY</t>
  </si>
  <si>
    <t xml:space="preserve">I. 12 METRICS DEFINITION</t>
  </si>
  <si>
    <t xml:space="preserve">Source</t>
  </si>
  <si>
    <t xml:space="preserve">Formula</t>
  </si>
  <si>
    <t xml:space="preserve">Daily Target</t>
  </si>
  <si>
    <t xml:space="preserve">Alert Trigger</t>
  </si>
  <si>
    <t xml:space="preserve">Spend hôm nay</t>
  </si>
  <si>
    <t xml:space="preserve">Birch/Ad platforms</t>
  </si>
  <si>
    <t xml:space="preserve">Sum daily spend</t>
  </si>
  <si>
    <t xml:space="preserve">~76M/day</t>
  </si>
  <si>
    <t xml:space="preserve">&gt;120% daily budget</t>
  </si>
  <si>
    <t xml:space="preserve">Leads hôm nay</t>
  </si>
  <si>
    <t xml:space="preserve">Count new leads</t>
  </si>
  <si>
    <t xml:space="preserve">84/day</t>
  </si>
  <si>
    <t xml:space="preserve">&lt;60/day</t>
  </si>
  <si>
    <t xml:space="preserve">Leads qualified</t>
  </si>
  <si>
    <t xml:space="preserve">Count qualified</t>
  </si>
  <si>
    <t xml:space="preserve">45/day</t>
  </si>
  <si>
    <t xml:space="preserve">&lt;30/day</t>
  </si>
  <si>
    <t xml:space="preserve">CPL</t>
  </si>
  <si>
    <t xml:space="preserve">Calculated</t>
  </si>
  <si>
    <t xml:space="preserve">Spend÷Leads</t>
  </si>
  <si>
    <t xml:space="preserve">&lt;200K</t>
  </si>
  <si>
    <t xml:space="preserve">&gt;300K</t>
  </si>
  <si>
    <t xml:space="preserve">Response time TB</t>
  </si>
  <si>
    <t xml:space="preserve">Avg first response</t>
  </si>
  <si>
    <t xml:space="preserve">&lt;5 phút</t>
  </si>
  <si>
    <t xml:space="preserve">&gt;15 phút</t>
  </si>
  <si>
    <t xml:space="preserve">Tours booked</t>
  </si>
  <si>
    <t xml:space="preserve">GHL Calendar</t>
  </si>
  <si>
    <t xml:space="preserve">Count bookings</t>
  </si>
  <si>
    <t xml:space="preserve">23/day</t>
  </si>
  <si>
    <t xml:space="preserve">&lt;15/day</t>
  </si>
  <si>
    <t xml:space="preserve">Tour show-up %</t>
  </si>
  <si>
    <t xml:space="preserve">Showed÷Booked</t>
  </si>
  <si>
    <t xml:space="preserve">&lt;50%</t>
  </si>
  <si>
    <t xml:space="preserve">Offers made</t>
  </si>
  <si>
    <t xml:space="preserve">Count offers</t>
  </si>
  <si>
    <t xml:space="preserve">13/day</t>
  </si>
  <si>
    <t xml:space="preserve">&lt;8/day</t>
  </si>
  <si>
    <t xml:space="preserve">Deposits received</t>
  </si>
  <si>
    <t xml:space="preserve">Count deposits</t>
  </si>
  <si>
    <t xml:space="preserve">8/day</t>
  </si>
  <si>
    <t xml:space="preserve">&lt;5/day</t>
  </si>
  <si>
    <t xml:space="preserve">Count enrolled</t>
  </si>
  <si>
    <t xml:space="preserve">7/day</t>
  </si>
  <si>
    <t xml:space="preserve">&lt;4/day</t>
  </si>
  <si>
    <t xml:space="preserve">CAC running</t>
  </si>
  <si>
    <t xml:space="preserve">Total spend÷Enrolled</t>
  </si>
  <si>
    <t xml:space="preserve">&lt;10M</t>
  </si>
  <si>
    <t xml:space="preserve">&gt;15M</t>
  </si>
  <si>
    <t xml:space="preserve">Forecast vs Target</t>
  </si>
  <si>
    <t xml:space="preserve">Projected-Target</t>
  </si>
  <si>
    <t xml:space="preserve">0%</t>
  </si>
  <si>
    <t xml:space="preserve">Negative &gt;5%</t>
  </si>
  <si>
    <t xml:space="preserve">II. THEO DÕI HÀNG TUẦN (28 TUẦN)</t>
  </si>
  <si>
    <t xml:space="preserve">Week</t>
  </si>
  <si>
    <t xml:space="preserve">Spend</t>
  </si>
  <si>
    <t xml:space="preserve">Response</t>
  </si>
  <si>
    <t xml:space="preserve">Show %</t>
  </si>
  <si>
    <t xml:space="preserve">Offers</t>
  </si>
  <si>
    <t xml:space="preserve">Deposits</t>
  </si>
  <si>
    <t xml:space="preserve">Forecast</t>
  </si>
  <si>
    <t xml:space="preserve">W5</t>
  </si>
  <si>
    <t xml:space="preserve">W6</t>
  </si>
  <si>
    <t xml:space="preserve">W7</t>
  </si>
  <si>
    <t xml:space="preserve">W8</t>
  </si>
  <si>
    <t xml:space="preserve">W9</t>
  </si>
  <si>
    <t xml:space="preserve">W10</t>
  </si>
  <si>
    <t xml:space="preserve">W11</t>
  </si>
  <si>
    <t xml:space="preserve">W12</t>
  </si>
  <si>
    <t xml:space="preserve">W13</t>
  </si>
  <si>
    <t xml:space="preserve">W14</t>
  </si>
  <si>
    <t xml:space="preserve">W15</t>
  </si>
  <si>
    <t xml:space="preserve">W16</t>
  </si>
  <si>
    <t xml:space="preserve">W17</t>
  </si>
  <si>
    <t xml:space="preserve">W18</t>
  </si>
  <si>
    <t xml:space="preserve">W19</t>
  </si>
  <si>
    <t xml:space="preserve">W20</t>
  </si>
  <si>
    <t xml:space="preserve">W21</t>
  </si>
  <si>
    <t xml:space="preserve">W22</t>
  </si>
  <si>
    <t xml:space="preserve">W23</t>
  </si>
  <si>
    <t xml:space="preserve">W24</t>
  </si>
  <si>
    <t xml:space="preserve">W25</t>
  </si>
  <si>
    <t xml:space="preserve">W26</t>
  </si>
  <si>
    <t xml:space="preserve">W27</t>
  </si>
  <si>
    <t xml:space="preserve">W28</t>
  </si>
  <si>
    <t xml:space="preserve">20 QUYẾT ĐỊNH PHẢI LOCK TRONG 72 GIỜ ĐẦU</t>
  </si>
  <si>
    <t xml:space="preserve">Deadline: 29/03/2026 (72 giờ sau kick-off 26/03)</t>
  </si>
  <si>
    <t xml:space="preserve">Chi Tiết</t>
  </si>
  <si>
    <t xml:space="preserve">Confirm 8-stage funnel definitions</t>
  </si>
  <si>
    <t xml:space="preserve">Lock exit criteria, SLA per stage</t>
  </si>
  <si>
    <t xml:space="preserve">27/03</t>
  </si>
  <si>
    <t xml:space="preserve">Assign Campus Lead per site</t>
  </si>
  <si>
    <t xml:space="preserve">Define KPI, authority level</t>
  </si>
  <si>
    <t xml:space="preserve">Set CAC cap per grade level</t>
  </si>
  <si>
    <t xml:space="preserve">MN&lt;8M, TH&lt;10M, THCS&lt;12M, THPT&lt;15M</t>
  </si>
  <si>
    <t xml:space="preserve">Approve committed budget allocation</t>
  </si>
  <si>
    <t xml:space="preserve">By channel, confirm spend plan</t>
  </si>
  <si>
    <t xml:space="preserve">Define flexible budget release</t>
  </si>
  <si>
    <t xml:space="preserve">Conditions &amp; approval process</t>
  </si>
  <si>
    <t xml:space="preserve">Set SLA response times per channel</t>
  </si>
  <si>
    <t xml:space="preserve">Facebook 3min, Google 5min, etc.</t>
  </si>
  <si>
    <t xml:space="preserve">28/03</t>
  </si>
  <si>
    <t xml:space="preserve">Approve School Tour SOP</t>
  </si>
  <si>
    <t xml:space="preserve">By campus variant, staff assigned</t>
  </si>
  <si>
    <t xml:space="preserve">Confirm CRM pipeline stages</t>
  </si>
  <si>
    <t xml:space="preserve">Match funnel stages exactly</t>
  </si>
  <si>
    <t xml:space="preserve">Set up GHL automation workflows</t>
  </si>
  <si>
    <t xml:space="preserve">Lead assignment, SMS, email triggers</t>
  </si>
  <si>
    <t xml:space="preserve">Approve UTM naming convention</t>
  </si>
  <si>
    <t xml:space="preserve">Standard format for all channels</t>
  </si>
  <si>
    <t xml:space="preserve">Confirm GTM tracking setup</t>
  </si>
  <si>
    <t xml:space="preserve">Test events firing correctly</t>
  </si>
  <si>
    <t xml:space="preserve">Analytics Lead</t>
  </si>
  <si>
    <t xml:space="preserve">Approve landing page URLs</t>
  </si>
  <si>
    <t xml:space="preserve">Funnel structure, offer pages</t>
  </si>
  <si>
    <t xml:space="preserve">Set weekly meeting schedule</t>
  </si>
  <si>
    <t xml:space="preserve">Battleplan, review cadence</t>
  </si>
  <si>
    <t xml:space="preserve">Assign RACI per process</t>
  </si>
  <si>
    <t xml:space="preserve">Responsibility matrix completion</t>
  </si>
  <si>
    <t xml:space="preserve">29/03</t>
  </si>
  <si>
    <t xml:space="preserve">Approve content calendar first 4 weeks</t>
  </si>
  <si>
    <t xml:space="preserve">Email, social, landing pages</t>
  </si>
  <si>
    <t xml:space="preserve">Setup Dashboard 12 numbers data sources</t>
  </si>
  <si>
    <t xml:space="preserve">All formulas verified</t>
  </si>
  <si>
    <t xml:space="preserve">Confirm offer/pricing tiers</t>
  </si>
  <si>
    <t xml:space="preserve">Discount deadlines, lock-in period</t>
  </si>
  <si>
    <t xml:space="preserve">Brief all Campus Leads on SOP</t>
  </si>
  <si>
    <t xml:space="preserve">Training completed, Q&amp;A done</t>
  </si>
  <si>
    <t xml:space="preserve">Launch first wave of ads</t>
  </si>
  <si>
    <t xml:space="preserve">All platforms live, budget live</t>
  </si>
  <si>
    <t xml:space="preserve">First daily standup meeting</t>
  </si>
  <si>
    <t xml:space="preserve">All teams present, review metrics</t>
  </si>
  <si>
    <t xml:space="preserve">LOST REASONS &amp; QUALITY ASSURANCE</t>
  </si>
  <si>
    <t xml:space="preserve">I. LOST REASONS CATEGORIES</t>
  </si>
  <si>
    <t xml:space="preserve">Lý Do Mất</t>
  </si>
  <si>
    <t xml:space="preserve">Win-back Trigger</t>
  </si>
  <si>
    <t xml:space="preserve">Giá cao</t>
  </si>
  <si>
    <t xml:space="preserve">Parent khiếu nại học phí, không affordability</t>
  </si>
  <si>
    <t xml:space="preserve">Gửi scholarship offer</t>
  </si>
  <si>
    <t xml:space="preserve">Vị trí xa</t>
  </si>
  <si>
    <t xml:space="preserve">Parent lo ngại dân cư, giao thông</t>
  </si>
  <si>
    <t xml:space="preserve">Promote shuttle service</t>
  </si>
  <si>
    <t xml:space="preserve">Chọn trường khác</t>
  </si>
  <si>
    <t xml:space="preserve">Chính thức nhập học ở trường khác</t>
  </si>
  <si>
    <t xml:space="preserve">Pipeline cho năm tới</t>
  </si>
  <si>
    <t xml:space="preserve">Chưa sẵn sàng</t>
  </si>
  <si>
    <t xml:space="preserve">Parent cần thời gian, chưa sẵn sàng</t>
  </si>
  <si>
    <t xml:space="preserve">1 tháng sau gọi lại</t>
  </si>
  <si>
    <t xml:space="preserve">Không liên lạc được</t>
  </si>
  <si>
    <t xml:space="preserve">Parent không trả lời sau 7 touches</t>
  </si>
  <si>
    <t xml:space="preserve">Cold list, stop outreach</t>
  </si>
  <si>
    <t xml:space="preserve">Chất lượng không đạt KV</t>
  </si>
  <si>
    <t xml:space="preserve">Parent disappointed after tour</t>
  </si>
  <si>
    <t xml:space="preserve">Director meeting, explain</t>
  </si>
  <si>
    <t xml:space="preserve">Khác</t>
  </si>
  <si>
    <t xml:space="preserve">Lý do khác không phân loại</t>
  </si>
  <si>
    <t xml:space="preserve">Follow-up cá nhân</t>
  </si>
  <si>
    <t xml:space="preserve">II. MONTHLY LOST TRACKING</t>
  </si>
  <si>
    <t xml:space="preserve">Giá Cao</t>
  </si>
  <si>
    <t xml:space="preserve">Vị Trí Xa</t>
  </si>
  <si>
    <t xml:space="preserve">Trường Khác</t>
  </si>
  <si>
    <t xml:space="preserve">Chưa Sẵn Sàng</t>
  </si>
  <si>
    <t xml:space="preserve">Không Liên Lạc</t>
  </si>
  <si>
    <t xml:space="preserve">Chất Lượng</t>
  </si>
  <si>
    <t xml:space="preserve">Total Lost</t>
  </si>
  <si>
    <t xml:space="preserve">III. QA - MYSTERY CALL CHECKLIST (15 ITEMS)</t>
  </si>
  <si>
    <t xml:space="preserve">Answer within SLA</t>
  </si>
  <si>
    <t xml:space="preserve">Picked up within channel SLA</t>
  </si>
  <si>
    <t xml:space="preserve">Greeting quality</t>
  </si>
  <si>
    <t xml:space="preserve">Warm welcome, professional tone</t>
  </si>
  <si>
    <t xml:space="preserve">Information accurate</t>
  </si>
  <si>
    <t xml:space="preserve">Correct program, price, schedule</t>
  </si>
  <si>
    <t xml:space="preserve">Needs discovery</t>
  </si>
  <si>
    <t xml:space="preserve">Asked about child age, learning style</t>
  </si>
  <si>
    <t xml:space="preserve">Product match</t>
  </si>
  <si>
    <t xml:space="preserve">Recommended right program</t>
  </si>
  <si>
    <t xml:space="preserve">Objection handling</t>
  </si>
  <si>
    <t xml:space="preserve">Addressed concerns professionally</t>
  </si>
  <si>
    <t xml:space="preserve">Tour booking</t>
  </si>
  <si>
    <t xml:space="preserve">Successfully booked tour</t>
  </si>
  <si>
    <t xml:space="preserve">FAQ answers</t>
  </si>
  <si>
    <t xml:space="preserve">Answered 3+ follow-up questions</t>
  </si>
  <si>
    <t xml:space="preserve">School info provided</t>
  </si>
  <si>
    <t xml:space="preserve">Gave brochure/materials info</t>
  </si>
  <si>
    <t xml:space="preserve">Campus info</t>
  </si>
  <si>
    <t xml:space="preserve">Described facilities, programs</t>
  </si>
  <si>
    <t xml:space="preserve">Parent testimonial</t>
  </si>
  <si>
    <t xml:space="preserve">Shared success stories</t>
  </si>
  <si>
    <t xml:space="preserve">Timeline clarity</t>
  </si>
  <si>
    <t xml:space="preserve">Explained enrollment process</t>
  </si>
  <si>
    <t xml:space="preserve">Closing technique</t>
  </si>
  <si>
    <t xml:space="preserve">Clear next steps, confirmation</t>
  </si>
  <si>
    <t xml:space="preserve">System knowledge</t>
  </si>
  <si>
    <t xml:space="preserve">Knew school values, mission</t>
  </si>
  <si>
    <t xml:space="preserve">Enthusiasm</t>
  </si>
  <si>
    <t xml:space="preserve">Seemed genuinely interested</t>
  </si>
  <si>
    <t xml:space="preserve">IV. QA - TOUR AUDIT CHECKLIST (12 ITEMS)</t>
  </si>
  <si>
    <t xml:space="preserve">Greeting warmth</t>
  </si>
  <si>
    <t xml:space="preserve">Friendly, personalized welcome</t>
  </si>
  <si>
    <t xml:space="preserve">Neat appearance, confident demeanor</t>
  </si>
  <si>
    <t xml:space="preserve">On-time start</t>
  </si>
  <si>
    <t xml:space="preserve">Tour started at scheduled time</t>
  </si>
  <si>
    <t xml:space="preserve">75-min compliance</t>
  </si>
  <si>
    <t xml:space="preserve">Completed all 5 phases in time</t>
  </si>
  <si>
    <t xml:space="preserve">Campus cleanliness</t>
  </si>
  <si>
    <t xml:space="preserve">Facilities clean, organized</t>
  </si>
  <si>
    <t xml:space="preserve">Classroom visits</t>
  </si>
  <si>
    <t xml:space="preserve">Visited active classrooms, engaged</t>
  </si>
  <si>
    <t xml:space="preserve">Q&amp;A quality</t>
  </si>
  <si>
    <t xml:space="preserve">Answered thoughtfully, honestly</t>
  </si>
  <si>
    <t xml:space="preserve">Facilities showcase</t>
  </si>
  <si>
    <t xml:space="preserve">Highlighted unique programs/spaces</t>
  </si>
  <si>
    <t xml:space="preserve">Parent engagement</t>
  </si>
  <si>
    <t xml:space="preserve">Invited questions, responsive</t>
  </si>
  <si>
    <t xml:space="preserve">Offer presentation</t>
  </si>
  <si>
    <t xml:space="preserve">Clear pricing, timeline, benefits</t>
  </si>
  <si>
    <t xml:space="preserve">Post-tour followup</t>
  </si>
  <si>
    <t xml:space="preserve">Scheduled next steps, timeline</t>
  </si>
  <si>
    <t xml:space="preserve">Parent satisfaction</t>
  </si>
  <si>
    <t xml:space="preserve">Parent seemed impressed</t>
  </si>
  <si>
    <t xml:space="preserve">V. MONTHLY QA SCHEDULE</t>
  </si>
  <si>
    <t xml:space="preserve">Mystery Calls</t>
  </si>
  <si>
    <t xml:space="preserve">Tour Audits</t>
  </si>
  <si>
    <t xml:space="preserve">Corrective Actions</t>
  </si>
  <si>
    <t xml:space="preserve">10 calls</t>
  </si>
  <si>
    <t xml:space="preserve">5 tours</t>
  </si>
  <si>
    <t xml:space="preserve">Weekly team meeting</t>
  </si>
  <si>
    <t xml:space="preserve">15 calls</t>
  </si>
  <si>
    <t xml:space="preserve">8 tours</t>
  </si>
  <si>
    <t xml:space="preserve">Coaching sessions</t>
  </si>
  <si>
    <t xml:space="preserve">Process audit</t>
  </si>
  <si>
    <t xml:space="preserve">20 calls</t>
  </si>
  <si>
    <t xml:space="preserve">10 tours</t>
  </si>
  <si>
    <t xml:space="preserve">Update SOP</t>
  </si>
  <si>
    <t xml:space="preserve">Refresher training</t>
  </si>
  <si>
    <t xml:space="preserve">Final review</t>
  </si>
  <si>
    <t xml:space="preserve">VI. CORRECTIVE ACTION LOG</t>
  </si>
  <si>
    <t xml:space="preserve">Issue</t>
  </si>
  <si>
    <t xml:space="preserve">Root Cause</t>
  </si>
  <si>
    <t xml:space="preserve">RACI MATRIX - RESPONSIBILITY ASSIGNMENT</t>
  </si>
  <si>
    <t xml:space="preserve">Process</t>
  </si>
  <si>
    <t xml:space="preserve">Marketing Mgr</t>
  </si>
  <si>
    <t xml:space="preserve">Lead Response</t>
  </si>
  <si>
    <t xml:space="preserve">Tour Booking</t>
  </si>
  <si>
    <t xml:space="preserve">Tour Execution</t>
  </si>
  <si>
    <t xml:space="preserve">Offer &amp; Pricing</t>
  </si>
  <si>
    <t xml:space="preserve">Follow-up Sequence</t>
  </si>
  <si>
    <t xml:space="preserve">Enrollment Finalization</t>
  </si>
  <si>
    <t xml:space="preserve">Ad Campaign Management</t>
  </si>
  <si>
    <t xml:space="preserve">Budget Allocation</t>
  </si>
  <si>
    <t xml:space="preserve">Daily Reporting</t>
  </si>
</sst>
</file>

<file path=xl/styles.xml><?xml version="1.0" encoding="utf-8"?>
<styleSheet xmlns="http://schemas.openxmlformats.org/spreadsheetml/2006/main">
  <numFmts count="7">
    <numFmt numFmtId="164" formatCode="General"/>
    <numFmt numFmtId="165" formatCode="#,##0"/>
    <numFmt numFmtId="166" formatCode="0.0%"/>
    <numFmt numFmtId="167" formatCode="0%"/>
    <numFmt numFmtId="168" formatCode="@"/>
    <numFmt numFmtId="169" formatCode="0.00\x"/>
    <numFmt numFmtId="170" formatCode="#,##0&quot; đ&quot;"/>
  </numFmts>
  <fonts count="49">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b val="true"/>
      <sz val="11"/>
      <color rgb="FFFFFFFF"/>
      <name val="Arial"/>
      <family val="0"/>
      <charset val="1"/>
    </font>
    <font>
      <sz val="10"/>
      <name val="Arial"/>
      <family val="0"/>
      <charset val="1"/>
    </font>
    <font>
      <b val="true"/>
      <sz val="12"/>
      <color rgb="FF2E75B6"/>
      <name val="Arial"/>
      <family val="0"/>
      <charset val="1"/>
    </font>
    <font>
      <b val="true"/>
      <sz val="16"/>
      <color rgb="FFFFFFFF"/>
      <name val="Arial"/>
      <family val="0"/>
      <charset val="1"/>
    </font>
    <font>
      <i val="true"/>
      <sz val="11"/>
      <color rgb="FF1B3A6B"/>
      <name val="Arial"/>
      <family val="0"/>
      <charset val="1"/>
    </font>
    <font>
      <b val="true"/>
      <sz val="10"/>
      <color rgb="FFFFFFFF"/>
      <name val="Arial"/>
      <family val="0"/>
      <charset val="1"/>
    </font>
    <font>
      <b val="true"/>
      <sz val="10"/>
      <color rgb="FF000000"/>
      <name val="Arial"/>
      <family val="0"/>
      <charset val="1"/>
    </font>
    <font>
      <b val="true"/>
      <sz val="10"/>
      <color rgb="FF2E6DB4"/>
      <name val="Arial"/>
      <family val="0"/>
      <charset val="1"/>
    </font>
    <font>
      <sz val="10"/>
      <color rgb="FF2C3E50"/>
      <name val="Arial"/>
      <family val="0"/>
      <charset val="1"/>
    </font>
    <font>
      <sz val="10"/>
      <color rgb="FF000000"/>
      <name val="Arial"/>
      <family val="0"/>
      <charset val="1"/>
    </font>
    <font>
      <sz val="10"/>
      <color rgb="FF7F8C8D"/>
      <name val="Arial"/>
      <family val="0"/>
      <charset val="1"/>
    </font>
    <font>
      <u val="single"/>
      <sz val="10"/>
      <color rgb="FF2E6DB4"/>
      <name val="Arial"/>
      <family val="0"/>
      <charset val="1"/>
    </font>
    <font>
      <b val="true"/>
      <sz val="10"/>
      <color rgb="FF1B3A6B"/>
      <name val="Arial"/>
      <family val="0"/>
      <charset val="1"/>
    </font>
    <font>
      <b val="true"/>
      <u val="single"/>
      <sz val="10"/>
      <color rgb="FF2E6DB4"/>
      <name val="Arial"/>
      <family val="0"/>
      <charset val="1"/>
    </font>
    <font>
      <u val="single"/>
      <sz val="10"/>
      <color rgb="FF0563C1"/>
      <name val="Arial"/>
      <family val="0"/>
      <charset val="1"/>
    </font>
    <font>
      <b val="true"/>
      <sz val="11"/>
      <name val="Arial"/>
      <family val="0"/>
      <charset val="1"/>
    </font>
    <font>
      <b val="true"/>
      <sz val="12"/>
      <color rgb="FFFFFFFF"/>
      <name val="Arial"/>
      <family val="0"/>
      <charset val="1"/>
    </font>
    <font>
      <b val="true"/>
      <sz val="9"/>
      <color rgb="FFC62828"/>
      <name val="Arial"/>
      <family val="0"/>
      <charset val="1"/>
    </font>
    <font>
      <b val="true"/>
      <sz val="10"/>
      <name val="Arial"/>
      <family val="0"/>
      <charset val="1"/>
    </font>
    <font>
      <b val="true"/>
      <sz val="11"/>
      <color rgb="FFFF0000"/>
      <name val="Arial"/>
      <family val="0"/>
      <charset val="1"/>
    </font>
    <font>
      <b val="true"/>
      <sz val="10"/>
      <color rgb="FFC62828"/>
      <name val="Arial"/>
      <family val="0"/>
      <charset val="1"/>
    </font>
    <font>
      <b val="true"/>
      <sz val="10"/>
      <color rgb="FF2C5F8A"/>
      <name val="Arial"/>
      <family val="0"/>
      <charset val="1"/>
    </font>
    <font>
      <b val="true"/>
      <sz val="14"/>
      <color rgb="FFFFFFFF"/>
      <name val="Arial"/>
      <family val="0"/>
      <charset val="1"/>
    </font>
    <font>
      <i val="true"/>
      <sz val="10"/>
      <color rgb="FF1B3A6B"/>
      <name val="Arial"/>
      <family val="0"/>
      <charset val="1"/>
    </font>
    <font>
      <b val="true"/>
      <sz val="10"/>
      <color rgb="FFC0392B"/>
      <name val="Arial"/>
      <family val="0"/>
      <charset val="1"/>
    </font>
    <font>
      <sz val="9"/>
      <color rgb="FF000000"/>
      <name val="Arial"/>
      <family val="0"/>
      <charset val="1"/>
    </font>
    <font>
      <sz val="12"/>
      <name val="Arial"/>
      <family val="0"/>
      <charset val="1"/>
    </font>
    <font>
      <sz val="9"/>
      <name val="Arial"/>
      <family val="0"/>
      <charset val="1"/>
    </font>
    <font>
      <b val="true"/>
      <sz val="10"/>
      <color rgb="FF1D7A3A"/>
      <name val="Arial"/>
      <family val="0"/>
      <charset val="1"/>
    </font>
    <font>
      <b val="true"/>
      <sz val="10"/>
      <color rgb="FFE67E22"/>
      <name val="Arial"/>
      <family val="0"/>
      <charset val="1"/>
    </font>
    <font>
      <i val="true"/>
      <sz val="10"/>
      <color rgb="FF2E6DB4"/>
      <name val="Arial"/>
      <family val="0"/>
      <charset val="1"/>
    </font>
    <font>
      <i val="true"/>
      <sz val="10"/>
      <color rgb="FF1D7A3A"/>
      <name val="Arial"/>
      <family val="0"/>
      <charset val="1"/>
    </font>
    <font>
      <i val="true"/>
      <sz val="10"/>
      <color rgb="FFE67E22"/>
      <name val="Arial"/>
      <family val="0"/>
      <charset val="1"/>
    </font>
    <font>
      <i val="true"/>
      <sz val="10"/>
      <color rgb="FFC0392B"/>
      <name val="Arial"/>
      <family val="0"/>
      <charset val="1"/>
    </font>
    <font>
      <i val="true"/>
      <sz val="10"/>
      <color rgb="FF8E44AD"/>
      <name val="Arial"/>
      <family val="0"/>
      <charset val="1"/>
    </font>
    <font>
      <b val="true"/>
      <sz val="10"/>
      <color rgb="FF8E44AD"/>
      <name val="Arial"/>
      <family val="0"/>
      <charset val="1"/>
    </font>
    <font>
      <i val="true"/>
      <sz val="10"/>
      <color rgb="FF16A085"/>
      <name val="Arial"/>
      <family val="0"/>
      <charset val="1"/>
    </font>
    <font>
      <b val="true"/>
      <sz val="10"/>
      <color rgb="FF16A085"/>
      <name val="Arial"/>
      <family val="0"/>
      <charset val="1"/>
    </font>
    <font>
      <b val="true"/>
      <sz val="13"/>
      <color rgb="FFFFFFFF"/>
      <name val="Arial"/>
      <family val="0"/>
      <charset val="1"/>
    </font>
    <font>
      <sz val="10"/>
      <color rgb="FF2E6DB4"/>
      <name val="Arial"/>
      <family val="0"/>
      <charset val="1"/>
    </font>
    <font>
      <sz val="10"/>
      <color rgb="FFE67E22"/>
      <name val="Arial"/>
      <family val="0"/>
      <charset val="1"/>
    </font>
    <font>
      <sz val="9"/>
      <color rgb="FF1D7A3A"/>
      <name val="Arial"/>
      <family val="0"/>
      <charset val="1"/>
    </font>
    <font>
      <b val="true"/>
      <sz val="10"/>
      <color rgb="FFFF0000"/>
      <name val="Arial"/>
      <family val="0"/>
      <charset val="1"/>
    </font>
    <font>
      <i val="true"/>
      <sz val="9"/>
      <name val="Arial"/>
      <family val="0"/>
      <charset val="1"/>
    </font>
  </fonts>
  <fills count="44">
    <fill>
      <patternFill patternType="none"/>
    </fill>
    <fill>
      <patternFill patternType="gray125"/>
    </fill>
    <fill>
      <patternFill patternType="solid">
        <fgColor rgb="FF1F4E79"/>
        <bgColor rgb="FF2C5F8A"/>
      </patternFill>
    </fill>
    <fill>
      <patternFill patternType="solid">
        <fgColor rgb="FFF2F7FB"/>
        <bgColor rgb="FFF5F5F5"/>
      </patternFill>
    </fill>
    <fill>
      <patternFill patternType="solid">
        <fgColor rgb="FF1B3A6B"/>
        <bgColor rgb="FF2C3E50"/>
      </patternFill>
    </fill>
    <fill>
      <patternFill patternType="solid">
        <fgColor rgb="FFD6E4F7"/>
        <bgColor rgb="FFE0E0E0"/>
      </patternFill>
    </fill>
    <fill>
      <patternFill patternType="solid">
        <fgColor rgb="FF2E6DB4"/>
        <bgColor rgb="FF2E75B6"/>
      </patternFill>
    </fill>
    <fill>
      <patternFill patternType="solid">
        <fgColor rgb="FF2C3E50"/>
        <bgColor rgb="FF1B3A6B"/>
      </patternFill>
    </fill>
    <fill>
      <patternFill patternType="solid">
        <fgColor rgb="FFD6F0E0"/>
        <bgColor rgb="FFD1F2EB"/>
      </patternFill>
    </fill>
    <fill>
      <patternFill patternType="solid">
        <fgColor rgb="FFFFFFFF"/>
        <bgColor rgb="FFFEF9E7"/>
      </patternFill>
    </fill>
    <fill>
      <patternFill patternType="solid">
        <fgColor rgb="FF1D7A3A"/>
        <bgColor rgb="FF2C5F8A"/>
      </patternFill>
    </fill>
    <fill>
      <patternFill patternType="solid">
        <fgColor rgb="FF16A085"/>
        <bgColor rgb="FF0288D1"/>
      </patternFill>
    </fill>
    <fill>
      <patternFill patternType="solid">
        <fgColor rgb="FFD1F2EB"/>
        <bgColor rgb="FFD6F0E0"/>
      </patternFill>
    </fill>
    <fill>
      <patternFill patternType="solid">
        <fgColor rgb="FF8E44AD"/>
        <bgColor rgb="FF9C27B0"/>
      </patternFill>
    </fill>
    <fill>
      <patternFill patternType="solid">
        <fgColor rgb="FFFDEBD0"/>
        <bgColor rgb="FFFFF2CC"/>
      </patternFill>
    </fill>
    <fill>
      <patternFill patternType="solid">
        <fgColor rgb="FFFADBD8"/>
        <bgColor rgb="FFFCE4D6"/>
      </patternFill>
    </fill>
    <fill>
      <patternFill patternType="solid">
        <fgColor rgb="FFE67E22"/>
        <bgColor rgb="FFE8833A"/>
      </patternFill>
    </fill>
    <fill>
      <patternFill patternType="solid">
        <fgColor rgb="FFF2F3F4"/>
        <bgColor rgb="FFF5F5F5"/>
      </patternFill>
    </fill>
    <fill>
      <patternFill patternType="solid">
        <fgColor rgb="FF1B2A4A"/>
        <bgColor rgb="FF1B3A6B"/>
      </patternFill>
    </fill>
    <fill>
      <patternFill patternType="solid">
        <fgColor rgb="FF2C5F8A"/>
        <bgColor rgb="FF1F4E79"/>
      </patternFill>
    </fill>
    <fill>
      <patternFill patternType="solid">
        <fgColor rgb="FFFFF9C4"/>
        <bgColor rgb="FFFFF2CC"/>
      </patternFill>
    </fill>
    <fill>
      <patternFill patternType="solid">
        <fgColor rgb="FFF5F5F5"/>
        <bgColor rgb="FFF2F3F4"/>
      </patternFill>
    </fill>
    <fill>
      <patternFill patternType="solid">
        <fgColor rgb="FFE91E63"/>
        <bgColor rgb="FFC62828"/>
      </patternFill>
    </fill>
    <fill>
      <patternFill patternType="solid">
        <fgColor rgb="FFE0E0E0"/>
        <bgColor rgb="FFD6E4F7"/>
      </patternFill>
    </fill>
    <fill>
      <patternFill patternType="solid">
        <fgColor rgb="FF4CAF50"/>
        <bgColor rgb="FF16A085"/>
      </patternFill>
    </fill>
    <fill>
      <patternFill patternType="solid">
        <fgColor rgb="FFFCE4D6"/>
        <bgColor rgb="FFFDEBD0"/>
      </patternFill>
    </fill>
    <fill>
      <patternFill patternType="solid">
        <fgColor rgb="FFF4CCCC"/>
        <bgColor rgb="FFFADBD8"/>
      </patternFill>
    </fill>
    <fill>
      <patternFill patternType="solid">
        <fgColor rgb="FF4285F4"/>
        <bgColor rgb="FF1877F2"/>
      </patternFill>
    </fill>
    <fill>
      <patternFill patternType="solid">
        <fgColor rgb="FFC62828"/>
        <bgColor rgb="FFC0392B"/>
      </patternFill>
    </fill>
    <fill>
      <patternFill patternType="solid">
        <fgColor rgb="FF1877F2"/>
        <bgColor rgb="FF0068FF"/>
      </patternFill>
    </fill>
    <fill>
      <patternFill patternType="solid">
        <fgColor rgb="FF010101"/>
        <bgColor rgb="FF000000"/>
      </patternFill>
    </fill>
    <fill>
      <patternFill patternType="solid">
        <fgColor rgb="FF333333"/>
        <bgColor rgb="FF2C3E50"/>
      </patternFill>
    </fill>
    <fill>
      <patternFill patternType="solid">
        <fgColor rgb="FFFF6B00"/>
        <bgColor rgb="FFFF6F00"/>
      </patternFill>
    </fill>
    <fill>
      <patternFill patternType="solid">
        <fgColor rgb="FF0288D1"/>
        <bgColor rgb="FF1877F2"/>
      </patternFill>
    </fill>
    <fill>
      <patternFill patternType="solid">
        <fgColor rgb="FF9C27B0"/>
        <bgColor rgb="FF8E44AD"/>
      </patternFill>
    </fill>
    <fill>
      <patternFill patternType="solid">
        <fgColor rgb="FF607D8B"/>
        <bgColor rgb="FF7F8C8D"/>
      </patternFill>
    </fill>
    <fill>
      <patternFill patternType="solid">
        <fgColor rgb="FF0068FF"/>
        <bgColor rgb="FF1877F2"/>
      </patternFill>
    </fill>
    <fill>
      <patternFill patternType="solid">
        <fgColor rgb="FFFF5722"/>
        <bgColor rgb="FFF44336"/>
      </patternFill>
    </fill>
    <fill>
      <patternFill patternType="solid">
        <fgColor rgb="FFC0392B"/>
        <bgColor rgb="FFC62828"/>
      </patternFill>
    </fill>
    <fill>
      <patternFill patternType="solid">
        <fgColor rgb="FFFEF9E7"/>
        <bgColor rgb="FFF5F5F5"/>
      </patternFill>
    </fill>
    <fill>
      <patternFill patternType="solid">
        <fgColor rgb="FFF5EEF8"/>
        <bgColor rgb="FFF2F3F4"/>
      </patternFill>
    </fill>
    <fill>
      <patternFill patternType="solid">
        <fgColor rgb="FFFFF2CC"/>
        <bgColor rgb="FFFDEBD0"/>
      </patternFill>
    </fill>
    <fill>
      <patternFill patternType="solid">
        <fgColor rgb="FFB6D7A8"/>
        <bgColor rgb="FFCCCCCC"/>
      </patternFill>
    </fill>
    <fill>
      <patternFill patternType="solid">
        <fgColor rgb="FFE2EFDA"/>
        <bgColor rgb="FFD6F0E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5" fillId="6"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5" fontId="12" fillId="8" borderId="2" xfId="0" applyFont="true" applyBorder="true" applyAlignment="true" applyProtection="false">
      <alignment horizontal="right" vertical="center" textRotation="0" wrapText="false" indent="0" shrinkToFit="false"/>
      <protection locked="true" hidden="false"/>
    </xf>
    <xf numFmtId="165" fontId="13" fillId="8" borderId="2" xfId="0" applyFont="true" applyBorder="true" applyAlignment="true" applyProtection="false">
      <alignment horizontal="right" vertical="center" textRotation="0" wrapText="false" indent="0" shrinkToFit="false"/>
      <protection locked="true" hidden="false"/>
    </xf>
    <xf numFmtId="166" fontId="14" fillId="8" borderId="2" xfId="0" applyFont="true" applyBorder="true" applyAlignment="true" applyProtection="false">
      <alignment horizontal="right" vertical="center" textRotation="0" wrapText="false" indent="0" shrinkToFit="false"/>
      <protection locked="true" hidden="false"/>
    </xf>
    <xf numFmtId="164" fontId="15" fillId="8" borderId="2" xfId="0" applyFont="true" applyBorder="true" applyAlignment="true" applyProtection="false">
      <alignment horizontal="center" vertical="center" textRotation="0" wrapText="true" indent="0" shrinkToFit="false"/>
      <protection locked="true" hidden="false"/>
    </xf>
    <xf numFmtId="164" fontId="16" fillId="8" borderId="2" xfId="0" applyFont="true" applyBorder="true" applyAlignment="true" applyProtection="false">
      <alignment horizontal="center" vertical="center" textRotation="0" wrapText="false" indent="0" shrinkToFit="false"/>
      <protection locked="true" hidden="false"/>
    </xf>
    <xf numFmtId="164" fontId="15" fillId="8" borderId="2" xfId="0" applyFont="true" applyBorder="true" applyAlignment="true" applyProtection="false">
      <alignment horizontal="left" vertical="center" textRotation="0" wrapText="true" indent="0" shrinkToFit="false"/>
      <protection locked="true" hidden="false"/>
    </xf>
    <xf numFmtId="164" fontId="0" fillId="8" borderId="2" xfId="0" applyFont="false" applyBorder="true" applyAlignment="true" applyProtection="false">
      <alignment horizontal="general" vertical="bottom" textRotation="0" wrapText="false" indent="0" shrinkToFit="false"/>
      <protection locked="true" hidden="false"/>
    </xf>
    <xf numFmtId="164" fontId="11" fillId="9" borderId="2" xfId="0" applyFont="true" applyBorder="true" applyAlignment="true" applyProtection="false">
      <alignment horizontal="left" vertical="center" textRotation="0" wrapText="true" indent="0" shrinkToFit="false"/>
      <protection locked="true" hidden="false"/>
    </xf>
    <xf numFmtId="165" fontId="12" fillId="9" borderId="2" xfId="0" applyFont="true" applyBorder="true" applyAlignment="true" applyProtection="false">
      <alignment horizontal="right" vertical="center" textRotation="0" wrapText="false" indent="0" shrinkToFit="false"/>
      <protection locked="true" hidden="false"/>
    </xf>
    <xf numFmtId="165" fontId="13" fillId="9" borderId="2" xfId="0" applyFont="true" applyBorder="true" applyAlignment="true" applyProtection="false">
      <alignment horizontal="right" vertical="center" textRotation="0" wrapText="false" indent="0" shrinkToFit="false"/>
      <protection locked="true" hidden="false"/>
    </xf>
    <xf numFmtId="166" fontId="14" fillId="9" borderId="2" xfId="0" applyFont="true" applyBorder="true" applyAlignment="true" applyProtection="false">
      <alignment horizontal="right"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6" fillId="9"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left" vertical="center" textRotation="0" wrapText="true" indent="0" shrinkToFit="false"/>
      <protection locked="true" hidden="false"/>
    </xf>
    <xf numFmtId="164" fontId="0" fillId="9" borderId="2" xfId="0" applyFont="false" applyBorder="true" applyAlignment="true" applyProtection="false">
      <alignment horizontal="general" vertical="bottom" textRotation="0" wrapText="false" indent="0" shrinkToFit="false"/>
      <protection locked="true" hidden="false"/>
    </xf>
    <xf numFmtId="164" fontId="5" fillId="10" borderId="2" xfId="0" applyFont="true" applyBorder="true" applyAlignment="true" applyProtection="false">
      <alignment horizontal="center" vertical="center" textRotation="0" wrapText="true" indent="0" shrinkToFit="false"/>
      <protection locked="true" hidden="false"/>
    </xf>
    <xf numFmtId="164" fontId="10" fillId="11" borderId="2" xfId="0" applyFont="true" applyBorder="true" applyAlignment="true" applyProtection="false">
      <alignment horizontal="center" vertical="center" textRotation="0" wrapText="true" indent="0" shrinkToFit="false"/>
      <protection locked="true" hidden="false"/>
    </xf>
    <xf numFmtId="167" fontId="14" fillId="9" borderId="2" xfId="0" applyFont="true" applyBorder="true" applyAlignment="true" applyProtection="false">
      <alignment horizontal="right" vertical="center" textRotation="0" wrapText="false" indent="0" shrinkToFit="false"/>
      <protection locked="true" hidden="false"/>
    </xf>
    <xf numFmtId="165" fontId="14" fillId="9" borderId="2" xfId="0" applyFont="true" applyBorder="true" applyAlignment="true" applyProtection="false">
      <alignment horizontal="right" vertical="center" textRotation="0" wrapText="false" indent="0" shrinkToFit="false"/>
      <protection locked="true" hidden="false"/>
    </xf>
    <xf numFmtId="164" fontId="14" fillId="9" borderId="2" xfId="0" applyFont="true" applyBorder="true" applyAlignment="true" applyProtection="false">
      <alignment horizontal="left" vertical="center" textRotation="0" wrapText="true" indent="0" shrinkToFit="false"/>
      <protection locked="true" hidden="false"/>
    </xf>
    <xf numFmtId="164" fontId="14" fillId="9" borderId="2" xfId="0" applyFont="true" applyBorder="true" applyAlignment="true" applyProtection="false">
      <alignment horizontal="center" vertical="center" textRotation="0" wrapText="true" indent="0" shrinkToFit="false"/>
      <protection locked="true" hidden="false"/>
    </xf>
    <xf numFmtId="164" fontId="11" fillId="12" borderId="2" xfId="0" applyFont="true" applyBorder="true" applyAlignment="true" applyProtection="false">
      <alignment horizontal="left" vertical="center" textRotation="0" wrapText="true" indent="0" shrinkToFit="false"/>
      <protection locked="true" hidden="false"/>
    </xf>
    <xf numFmtId="167" fontId="14" fillId="12" borderId="2" xfId="0" applyFont="true" applyBorder="true" applyAlignment="true" applyProtection="false">
      <alignment horizontal="right" vertical="center" textRotation="0" wrapText="false" indent="0" shrinkToFit="false"/>
      <protection locked="true" hidden="false"/>
    </xf>
    <xf numFmtId="165" fontId="14" fillId="12" borderId="2" xfId="0" applyFont="true" applyBorder="true" applyAlignment="true" applyProtection="false">
      <alignment horizontal="right" vertical="center" textRotation="0" wrapText="false" indent="0" shrinkToFit="false"/>
      <protection locked="true" hidden="false"/>
    </xf>
    <xf numFmtId="164" fontId="14" fillId="12" borderId="2" xfId="0" applyFont="true" applyBorder="true" applyAlignment="true" applyProtection="false">
      <alignment horizontal="left" vertical="center" textRotation="0" wrapText="true" indent="0" shrinkToFit="false"/>
      <protection locked="true" hidden="false"/>
    </xf>
    <xf numFmtId="164" fontId="14" fillId="12" borderId="2" xfId="0" applyFont="true" applyBorder="true" applyAlignment="true" applyProtection="false">
      <alignment horizontal="center" vertical="center" textRotation="0" wrapText="true" indent="0" shrinkToFit="false"/>
      <protection locked="true" hidden="false"/>
    </xf>
    <xf numFmtId="164" fontId="15" fillId="12" borderId="2" xfId="0" applyFont="true" applyBorder="true" applyAlignment="true" applyProtection="false">
      <alignment horizontal="left" vertical="center" textRotation="0" wrapText="true" indent="0" shrinkToFit="false"/>
      <protection locked="true" hidden="false"/>
    </xf>
    <xf numFmtId="164" fontId="0" fillId="12" borderId="2" xfId="0" applyFont="false" applyBorder="true" applyAlignment="true" applyProtection="false">
      <alignment horizontal="general" vertical="bottom" textRotation="0" wrapText="false" indent="0" shrinkToFit="false"/>
      <protection locked="true" hidden="false"/>
    </xf>
    <xf numFmtId="168" fontId="14" fillId="9" borderId="2" xfId="0" applyFont="true" applyBorder="true" applyAlignment="true" applyProtection="false">
      <alignment horizontal="right" vertical="center" textRotation="0" wrapText="false" indent="0" shrinkToFit="false"/>
      <protection locked="true" hidden="false"/>
    </xf>
    <xf numFmtId="168" fontId="14" fillId="12" borderId="2" xfId="0" applyFont="true" applyBorder="true" applyAlignment="true" applyProtection="false">
      <alignment horizontal="right" vertical="center" textRotation="0" wrapText="false" indent="0" shrinkToFit="false"/>
      <protection locked="true" hidden="false"/>
    </xf>
    <xf numFmtId="164" fontId="10" fillId="11" borderId="2" xfId="0" applyFont="true" applyBorder="true" applyAlignment="true" applyProtection="false">
      <alignment horizontal="left" vertical="center" textRotation="0" wrapText="true" indent="0" shrinkToFit="false"/>
      <protection locked="true" hidden="false"/>
    </xf>
    <xf numFmtId="167" fontId="10" fillId="11" borderId="2" xfId="0" applyFont="true" applyBorder="true" applyAlignment="true" applyProtection="false">
      <alignment horizontal="right" vertical="center" textRotation="0" wrapText="false" indent="0" shrinkToFit="false"/>
      <protection locked="true" hidden="false"/>
    </xf>
    <xf numFmtId="165" fontId="10" fillId="11" borderId="2" xfId="0" applyFont="true" applyBorder="true" applyAlignment="true" applyProtection="false">
      <alignment horizontal="right" vertical="center" textRotation="0" wrapText="false" indent="0" shrinkToFit="false"/>
      <protection locked="true" hidden="false"/>
    </xf>
    <xf numFmtId="164" fontId="0" fillId="11" borderId="2" xfId="0" applyFont="false" applyBorder="true" applyAlignment="true" applyProtection="false">
      <alignment horizontal="general" vertical="bottom" textRotation="0" wrapText="false" indent="0" shrinkToFit="false"/>
      <protection locked="true" hidden="false"/>
    </xf>
    <xf numFmtId="164" fontId="5" fillId="13" borderId="2" xfId="0" applyFont="true" applyBorder="true" applyAlignment="true" applyProtection="false">
      <alignment horizontal="center" vertical="center" textRotation="0" wrapText="true" indent="0" shrinkToFit="false"/>
      <protection locked="true" hidden="false"/>
    </xf>
    <xf numFmtId="164" fontId="10" fillId="13" borderId="2" xfId="0" applyFont="true" applyBorder="true" applyAlignment="true" applyProtection="false">
      <alignment horizontal="center" vertical="center" textRotation="0" wrapText="true" indent="0" shrinkToFit="false"/>
      <protection locked="true" hidden="false"/>
    </xf>
    <xf numFmtId="164" fontId="14" fillId="8" borderId="2" xfId="0" applyFont="true" applyBorder="true" applyAlignment="true" applyProtection="false">
      <alignment horizontal="center" vertical="center" textRotation="0" wrapText="true" indent="0" shrinkToFit="false"/>
      <protection locked="true" hidden="false"/>
    </xf>
    <xf numFmtId="165" fontId="14" fillId="8" borderId="2" xfId="0" applyFont="true" applyBorder="true" applyAlignment="true" applyProtection="false">
      <alignment horizontal="right" vertical="center" textRotation="0" wrapText="false" indent="0" shrinkToFit="false"/>
      <protection locked="true" hidden="false"/>
    </xf>
    <xf numFmtId="169" fontId="14" fillId="8" borderId="2" xfId="0" applyFont="true" applyBorder="true" applyAlignment="true" applyProtection="false">
      <alignment horizontal="right" vertical="center" textRotation="0" wrapText="fals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true" indent="0" shrinkToFit="false"/>
      <protection locked="true" hidden="false"/>
    </xf>
    <xf numFmtId="165" fontId="14" fillId="5" borderId="2" xfId="0" applyFont="true" applyBorder="true" applyAlignment="true" applyProtection="false">
      <alignment horizontal="right" vertical="center" textRotation="0" wrapText="false" indent="0" shrinkToFit="false"/>
      <protection locked="true" hidden="false"/>
    </xf>
    <xf numFmtId="169" fontId="14" fillId="5" borderId="2" xfId="0" applyFont="true" applyBorder="true" applyAlignment="true" applyProtection="false">
      <alignment horizontal="right" vertical="center" textRotation="0" wrapText="false" indent="0" shrinkToFit="false"/>
      <protection locked="true" hidden="false"/>
    </xf>
    <xf numFmtId="164" fontId="11" fillId="14" borderId="2" xfId="0" applyFont="true" applyBorder="true" applyAlignment="true" applyProtection="false">
      <alignment horizontal="left" vertical="center" textRotation="0" wrapText="true" indent="0" shrinkToFit="false"/>
      <protection locked="true" hidden="false"/>
    </xf>
    <xf numFmtId="164" fontId="14" fillId="14" borderId="2" xfId="0" applyFont="true" applyBorder="true" applyAlignment="true" applyProtection="false">
      <alignment horizontal="center" vertical="center" textRotation="0" wrapText="true" indent="0" shrinkToFit="false"/>
      <protection locked="true" hidden="false"/>
    </xf>
    <xf numFmtId="165" fontId="14" fillId="14" borderId="2" xfId="0" applyFont="true" applyBorder="true" applyAlignment="true" applyProtection="false">
      <alignment horizontal="right" vertical="center" textRotation="0" wrapText="false" indent="0" shrinkToFit="false"/>
      <protection locked="true" hidden="false"/>
    </xf>
    <xf numFmtId="169" fontId="14" fillId="14" borderId="2" xfId="0" applyFont="true" applyBorder="true" applyAlignment="true" applyProtection="false">
      <alignment horizontal="right" vertical="center" textRotation="0" wrapText="false" indent="0" shrinkToFit="false"/>
      <protection locked="true" hidden="false"/>
    </xf>
    <xf numFmtId="164" fontId="11" fillId="15" borderId="2" xfId="0" applyFont="true" applyBorder="true" applyAlignment="true" applyProtection="false">
      <alignment horizontal="left" vertical="center" textRotation="0" wrapText="true" indent="0" shrinkToFit="false"/>
      <protection locked="true" hidden="false"/>
    </xf>
    <xf numFmtId="164" fontId="14" fillId="15" borderId="2" xfId="0" applyFont="true" applyBorder="true" applyAlignment="true" applyProtection="false">
      <alignment horizontal="center" vertical="center" textRotation="0" wrapText="true" indent="0" shrinkToFit="false"/>
      <protection locked="true" hidden="false"/>
    </xf>
    <xf numFmtId="165" fontId="14" fillId="15" borderId="2" xfId="0" applyFont="true" applyBorder="true" applyAlignment="true" applyProtection="false">
      <alignment horizontal="right" vertical="center" textRotation="0" wrapText="false" indent="0" shrinkToFit="false"/>
      <protection locked="true" hidden="false"/>
    </xf>
    <xf numFmtId="169" fontId="14" fillId="15" borderId="2" xfId="0" applyFont="true" applyBorder="true" applyAlignment="true" applyProtection="false">
      <alignment horizontal="right" vertical="center" textRotation="0" wrapText="false" indent="0" shrinkToFit="false"/>
      <protection locked="true" hidden="false"/>
    </xf>
    <xf numFmtId="164" fontId="5" fillId="16" borderId="2" xfId="0" applyFont="true" applyBorder="true" applyAlignment="true" applyProtection="false">
      <alignment horizontal="center" vertical="center" textRotation="0" wrapText="true" indent="0" shrinkToFit="false"/>
      <protection locked="true" hidden="false"/>
    </xf>
    <xf numFmtId="164" fontId="10" fillId="16"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left" vertical="center" textRotation="0" wrapText="false" indent="0" shrinkToFit="false"/>
      <protection locked="true" hidden="false"/>
    </xf>
    <xf numFmtId="164" fontId="14" fillId="17" borderId="2"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1" fillId="18" borderId="0"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10" fillId="19"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general" vertical="center" textRotation="0" wrapText="true" indent="0" shrinkToFit="false"/>
      <protection locked="true" hidden="false"/>
    </xf>
    <xf numFmtId="170" fontId="6" fillId="20" borderId="2" xfId="0" applyFont="true" applyBorder="true" applyAlignment="true" applyProtection="false">
      <alignment horizontal="general" vertical="center" textRotation="0" wrapText="true" indent="0" shrinkToFit="false"/>
      <protection locked="true" hidden="false"/>
    </xf>
    <xf numFmtId="164" fontId="6" fillId="21" borderId="2" xfId="0" applyFont="true" applyBorder="true" applyAlignment="true" applyProtection="false">
      <alignment horizontal="general" vertical="center" textRotation="0" wrapText="true" indent="0" shrinkToFit="false"/>
      <protection locked="true" hidden="false"/>
    </xf>
    <xf numFmtId="165" fontId="6" fillId="21" borderId="2" xfId="0" applyFont="true" applyBorder="true" applyAlignment="true" applyProtection="false">
      <alignment horizontal="general" vertical="center" textRotation="0" wrapText="true" indent="0" shrinkToFit="false"/>
      <protection locked="true" hidden="false"/>
    </xf>
    <xf numFmtId="166" fontId="6" fillId="20" borderId="2" xfId="0" applyFont="true" applyBorder="true" applyAlignment="true" applyProtection="false">
      <alignment horizontal="general" vertical="center" textRotation="0" wrapText="true" indent="0" shrinkToFit="false"/>
      <protection locked="true" hidden="false"/>
    </xf>
    <xf numFmtId="166" fontId="6" fillId="21" borderId="2" xfId="0" applyFont="true" applyBorder="true" applyAlignment="true" applyProtection="false">
      <alignment horizontal="general" vertical="center" textRotation="0" wrapText="true" indent="0" shrinkToFit="false"/>
      <protection locked="true" hidden="false"/>
    </xf>
    <xf numFmtId="170" fontId="6" fillId="21" borderId="2"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21" fillId="22" borderId="0" xfId="0" applyFont="true" applyBorder="true" applyAlignment="true" applyProtection="false">
      <alignment horizontal="center" vertical="bottom" textRotation="0" wrapText="false" indent="0" shrinkToFit="false"/>
      <protection locked="true" hidden="false"/>
    </xf>
    <xf numFmtId="164" fontId="5" fillId="22" borderId="2" xfId="0" applyFont="true" applyBorder="true" applyAlignment="true" applyProtection="false">
      <alignment horizontal="center" vertical="center" textRotation="0" wrapText="true" indent="0" shrinkToFit="false"/>
      <protection locked="true" hidden="false"/>
    </xf>
    <xf numFmtId="170" fontId="6" fillId="0" borderId="2" xfId="0" applyFont="true" applyBorder="true" applyAlignment="true" applyProtection="false">
      <alignment horizontal="general" vertical="center" textRotation="0" wrapText="true" indent="0" shrinkToFit="false"/>
      <protection locked="true" hidden="false"/>
    </xf>
    <xf numFmtId="164" fontId="23" fillId="23" borderId="2" xfId="0" applyFont="true" applyBorder="true" applyAlignment="true" applyProtection="false">
      <alignment horizontal="general" vertical="bottom" textRotation="0" wrapText="false" indent="0" shrinkToFit="false"/>
      <protection locked="true" hidden="false"/>
    </xf>
    <xf numFmtId="166" fontId="23" fillId="23" borderId="2" xfId="0" applyFont="true" applyBorder="true" applyAlignment="true" applyProtection="false">
      <alignment horizontal="general" vertical="bottom" textRotation="0" wrapText="false" indent="0" shrinkToFit="false"/>
      <protection locked="true" hidden="false"/>
    </xf>
    <xf numFmtId="170" fontId="23" fillId="23" borderId="2" xfId="0" applyFont="true" applyBorder="true" applyAlignment="true" applyProtection="false">
      <alignment horizontal="general" vertical="bottom" textRotation="0" wrapText="false" indent="0" shrinkToFit="false"/>
      <protection locked="true" hidden="false"/>
    </xf>
    <xf numFmtId="164" fontId="21" fillId="24" borderId="0" xfId="0" applyFont="true" applyBorder="true" applyAlignment="true" applyProtection="false">
      <alignment horizontal="center" vertical="bottom" textRotation="0" wrapText="false" indent="0" shrinkToFit="false"/>
      <protection locked="true" hidden="false"/>
    </xf>
    <xf numFmtId="164" fontId="5" fillId="24" borderId="2" xfId="0" applyFont="true" applyBorder="true" applyAlignment="true" applyProtection="false">
      <alignment horizontal="center" vertical="center" textRotation="0" wrapText="true" indent="0" shrinkToFit="false"/>
      <protection locked="true" hidden="false"/>
    </xf>
    <xf numFmtId="165" fontId="6" fillId="20" borderId="2" xfId="0" applyFont="true" applyBorder="true" applyAlignment="true" applyProtection="false">
      <alignment horizontal="general" vertical="center" textRotation="0" wrapText="true" indent="0" shrinkToFit="false"/>
      <protection locked="true" hidden="false"/>
    </xf>
    <xf numFmtId="166" fontId="6" fillId="0" borderId="2" xfId="0" applyFont="true" applyBorder="true" applyAlignment="true" applyProtection="false">
      <alignment horizontal="general" vertical="center" textRotation="0" wrapText="true" indent="0" shrinkToFit="false"/>
      <protection locked="true" hidden="false"/>
    </xf>
    <xf numFmtId="165" fontId="6" fillId="0" borderId="2" xfId="0" applyFont="true" applyBorder="true" applyAlignment="true" applyProtection="false">
      <alignment horizontal="general" vertical="center" textRotation="0" wrapText="true" indent="0" shrinkToFit="false"/>
      <protection locked="true" hidden="false"/>
    </xf>
    <xf numFmtId="165" fontId="23" fillId="23" borderId="2"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6" fillId="25" borderId="1" xfId="0" applyFont="true" applyBorder="true" applyAlignment="true" applyProtection="false">
      <alignment horizontal="general" vertical="top" textRotation="0" wrapText="true" indent="0" shrinkToFit="false"/>
      <protection locked="true" hidden="false"/>
    </xf>
    <xf numFmtId="164" fontId="6" fillId="26" borderId="1" xfId="0" applyFont="true" applyBorder="true" applyAlignment="true" applyProtection="false">
      <alignment horizontal="general" vertical="top" textRotation="0" wrapText="true" indent="0" shrinkToFit="false"/>
      <protection locked="true" hidden="false"/>
    </xf>
    <xf numFmtId="164" fontId="21" fillId="27" borderId="0" xfId="0" applyFont="true" applyBorder="true" applyAlignment="true" applyProtection="false">
      <alignment horizontal="center" vertical="bottom" textRotation="0" wrapText="false" indent="0" shrinkToFit="false"/>
      <protection locked="true" hidden="false"/>
    </xf>
    <xf numFmtId="164" fontId="10" fillId="27" borderId="0" xfId="0" applyFont="true" applyBorder="true" applyAlignment="true" applyProtection="false">
      <alignment horizontal="left" vertical="bottom" textRotation="0" wrapText="false" indent="0" shrinkToFit="false"/>
      <protection locked="true" hidden="false"/>
    </xf>
    <xf numFmtId="164" fontId="10" fillId="27" borderId="2" xfId="0" applyFont="true" applyBorder="true" applyAlignment="true" applyProtection="false">
      <alignment horizontal="center" vertical="center" textRotation="0" wrapText="true" indent="0" shrinkToFit="false"/>
      <protection locked="true" hidden="false"/>
    </xf>
    <xf numFmtId="164" fontId="10" fillId="28" borderId="0" xfId="0" applyFont="true" applyBorder="true" applyAlignment="true" applyProtection="false">
      <alignment horizontal="left" vertical="bottom" textRotation="0" wrapText="false" indent="0" shrinkToFit="false"/>
      <protection locked="true" hidden="false"/>
    </xf>
    <xf numFmtId="164" fontId="10" fillId="28"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righ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21" fillId="29" borderId="0" xfId="0" applyFont="true" applyBorder="true" applyAlignment="true" applyProtection="false">
      <alignment horizontal="center" vertical="bottom" textRotation="0" wrapText="false" indent="0" shrinkToFit="false"/>
      <protection locked="true" hidden="false"/>
    </xf>
    <xf numFmtId="164" fontId="10" fillId="29" borderId="0" xfId="0" applyFont="true" applyBorder="true" applyAlignment="true" applyProtection="false">
      <alignment horizontal="left" vertical="bottom" textRotation="0" wrapText="false" indent="0" shrinkToFit="false"/>
      <protection locked="true" hidden="false"/>
    </xf>
    <xf numFmtId="164" fontId="10" fillId="29" borderId="2" xfId="0" applyFont="true" applyBorder="true" applyAlignment="true" applyProtection="false">
      <alignment horizontal="center" vertical="center" textRotation="0" wrapText="true" indent="0" shrinkToFit="false"/>
      <protection locked="true" hidden="false"/>
    </xf>
    <xf numFmtId="164" fontId="21" fillId="30" borderId="0" xfId="0" applyFont="true" applyBorder="true" applyAlignment="true" applyProtection="false">
      <alignment horizontal="center" vertical="bottom" textRotation="0" wrapText="false" indent="0" shrinkToFit="false"/>
      <protection locked="true" hidden="false"/>
    </xf>
    <xf numFmtId="164" fontId="10" fillId="31" borderId="0" xfId="0" applyFont="true" applyBorder="true" applyAlignment="true" applyProtection="false">
      <alignment horizontal="left" vertical="bottom" textRotation="0" wrapText="false" indent="0" shrinkToFit="false"/>
      <protection locked="true" hidden="false"/>
    </xf>
    <xf numFmtId="164" fontId="10" fillId="31" borderId="2" xfId="0" applyFont="true" applyBorder="true" applyAlignment="true" applyProtection="false">
      <alignment horizontal="center" vertical="center" textRotation="0" wrapText="true" indent="0" shrinkToFit="false"/>
      <protection locked="true" hidden="false"/>
    </xf>
    <xf numFmtId="164" fontId="21" fillId="32" borderId="0" xfId="0" applyFont="true" applyBorder="true" applyAlignment="true" applyProtection="false">
      <alignment horizontal="center" vertical="bottom" textRotation="0" wrapText="false" indent="0" shrinkToFit="false"/>
      <protection locked="true" hidden="false"/>
    </xf>
    <xf numFmtId="164" fontId="10" fillId="32" borderId="0" xfId="0" applyFont="true" applyBorder="true" applyAlignment="true" applyProtection="false">
      <alignment horizontal="left" vertical="bottom" textRotation="0" wrapText="false" indent="0" shrinkToFit="false"/>
      <protection locked="true" hidden="false"/>
    </xf>
    <xf numFmtId="164" fontId="10" fillId="32" borderId="2" xfId="0" applyFont="true" applyBorder="true" applyAlignment="true" applyProtection="false">
      <alignment horizontal="center" vertical="center" textRotation="0" wrapText="true" indent="0" shrinkToFit="false"/>
      <protection locked="true" hidden="false"/>
    </xf>
    <xf numFmtId="164" fontId="21" fillId="33" borderId="0" xfId="0" applyFont="true" applyBorder="true" applyAlignment="true" applyProtection="false">
      <alignment horizontal="center" vertical="bottom" textRotation="0" wrapText="false" indent="0" shrinkToFit="false"/>
      <protection locked="true" hidden="false"/>
    </xf>
    <xf numFmtId="164" fontId="10" fillId="33" borderId="0" xfId="0" applyFont="true" applyBorder="true" applyAlignment="true" applyProtection="false">
      <alignment horizontal="left" vertical="bottom" textRotation="0" wrapText="false" indent="0" shrinkToFit="false"/>
      <protection locked="true" hidden="false"/>
    </xf>
    <xf numFmtId="164" fontId="10" fillId="33" borderId="2" xfId="0" applyFont="true" applyBorder="true" applyAlignment="true" applyProtection="false">
      <alignment horizontal="center" vertical="center" textRotation="0" wrapText="true" indent="0" shrinkToFit="false"/>
      <protection locked="true" hidden="false"/>
    </xf>
    <xf numFmtId="164" fontId="21" fillId="34" borderId="0" xfId="0" applyFont="true" applyBorder="true" applyAlignment="true" applyProtection="false">
      <alignment horizontal="center" vertical="bottom" textRotation="0" wrapText="false" indent="0" shrinkToFit="false"/>
      <protection locked="true" hidden="false"/>
    </xf>
    <xf numFmtId="164" fontId="10" fillId="34" borderId="0" xfId="0" applyFont="true" applyBorder="true" applyAlignment="true" applyProtection="false">
      <alignment horizontal="left" vertical="bottom" textRotation="0" wrapText="false" indent="0" shrinkToFit="false"/>
      <protection locked="true" hidden="false"/>
    </xf>
    <xf numFmtId="164" fontId="10" fillId="34" borderId="2" xfId="0" applyFont="true" applyBorder="true" applyAlignment="true" applyProtection="false">
      <alignment horizontal="center" vertical="center" textRotation="0" wrapText="true" indent="0" shrinkToFit="false"/>
      <protection locked="true" hidden="false"/>
    </xf>
    <xf numFmtId="164" fontId="5" fillId="34" borderId="2" xfId="0" applyFont="true" applyBorder="true" applyAlignment="true" applyProtection="false">
      <alignment horizontal="center" vertical="center" textRotation="0" wrapText="true" indent="0" shrinkToFit="false"/>
      <protection locked="true" hidden="false"/>
    </xf>
    <xf numFmtId="164" fontId="21" fillId="35" borderId="0" xfId="0" applyFont="true" applyBorder="true" applyAlignment="true" applyProtection="false">
      <alignment horizontal="center" vertical="bottom" textRotation="0" wrapText="false" indent="0" shrinkToFit="false"/>
      <protection locked="true" hidden="false"/>
    </xf>
    <xf numFmtId="164" fontId="5" fillId="35" borderId="2"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21" fillId="36" borderId="0" xfId="0" applyFont="true" applyBorder="true" applyAlignment="true" applyProtection="false">
      <alignment horizontal="center" vertical="bottom" textRotation="0" wrapText="false" indent="0" shrinkToFit="false"/>
      <protection locked="true" hidden="false"/>
    </xf>
    <xf numFmtId="164" fontId="10" fillId="36" borderId="0" xfId="0" applyFont="true" applyBorder="true" applyAlignment="true" applyProtection="false">
      <alignment horizontal="left" vertical="bottom" textRotation="0" wrapText="false" indent="0" shrinkToFit="false"/>
      <protection locked="true" hidden="false"/>
    </xf>
    <xf numFmtId="164" fontId="10" fillId="36" borderId="2" xfId="0" applyFont="true" applyBorder="true" applyAlignment="true" applyProtection="false">
      <alignment horizontal="center" vertical="center" textRotation="0" wrapText="true" indent="0" shrinkToFit="false"/>
      <protection locked="true" hidden="false"/>
    </xf>
    <xf numFmtId="164" fontId="21" fillId="37" borderId="0" xfId="0" applyFont="true" applyBorder="true" applyAlignment="true" applyProtection="false">
      <alignment horizontal="center" vertical="bottom" textRotation="0" wrapText="false" indent="0" shrinkToFit="false"/>
      <protection locked="true" hidden="false"/>
    </xf>
    <xf numFmtId="164" fontId="5" fillId="37" borderId="2" xfId="0" applyFont="true" applyBorder="true" applyAlignment="true" applyProtection="false">
      <alignment horizontal="center" vertical="center"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28" fillId="5" borderId="0" xfId="0" applyFont="true" applyBorder="true" applyAlignment="true" applyProtection="false">
      <alignment horizontal="left" vertical="center" textRotation="0" wrapText="tru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5" fillId="6" borderId="0"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5" fontId="14" fillId="17" borderId="2" xfId="0" applyFont="true" applyBorder="true" applyAlignment="true" applyProtection="false">
      <alignment horizontal="right" vertical="center" textRotation="0" wrapText="false" indent="0" shrinkToFit="false"/>
      <protection locked="true" hidden="false"/>
    </xf>
    <xf numFmtId="165" fontId="11" fillId="5" borderId="2" xfId="0" applyFont="true" applyBorder="true" applyAlignment="true" applyProtection="false">
      <alignment horizontal="right" vertical="center" textRotation="0" wrapText="false" indent="0" shrinkToFit="false"/>
      <protection locked="true" hidden="false"/>
    </xf>
    <xf numFmtId="165" fontId="12" fillId="0" borderId="2" xfId="0" applyFont="true" applyBorder="true" applyAlignment="true" applyProtection="false">
      <alignment horizontal="right" vertical="center" textRotation="0" wrapText="false" indent="0" shrinkToFit="false"/>
      <protection locked="true" hidden="false"/>
    </xf>
    <xf numFmtId="166" fontId="14" fillId="0" borderId="2" xfId="0" applyFont="true" applyBorder="true" applyAlignment="true" applyProtection="false">
      <alignment horizontal="right" vertical="center" textRotation="0" wrapText="false" indent="0"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6" fontId="14" fillId="17" borderId="2" xfId="0" applyFont="true" applyBorder="true" applyAlignment="true" applyProtection="false">
      <alignment horizontal="right" vertical="center" textRotation="0" wrapText="false" indent="0" shrinkToFit="false"/>
      <protection locked="true" hidden="false"/>
    </xf>
    <xf numFmtId="166" fontId="11" fillId="5" borderId="2" xfId="0" applyFont="true" applyBorder="true" applyAlignment="true" applyProtection="false">
      <alignment horizontal="right" vertical="center" textRotation="0" wrapText="false" indent="0" shrinkToFit="false"/>
      <protection locked="true" hidden="false"/>
    </xf>
    <xf numFmtId="166" fontId="12" fillId="0" borderId="2" xfId="0" applyFont="true" applyBorder="true" applyAlignment="true" applyProtection="false">
      <alignment horizontal="right" vertical="center" textRotation="0" wrapText="false" indent="0" shrinkToFit="false"/>
      <protection locked="true" hidden="false"/>
    </xf>
    <xf numFmtId="164" fontId="29" fillId="0" borderId="2" xfId="0" applyFont="true" applyBorder="true" applyAlignment="true" applyProtection="false">
      <alignment horizontal="left" vertical="center" textRotation="0" wrapText="true" indent="0" shrinkToFit="false"/>
      <protection locked="true" hidden="false"/>
    </xf>
    <xf numFmtId="164" fontId="5" fillId="10" borderId="0" xfId="0" applyFont="true" applyBorder="true" applyAlignment="true" applyProtection="false">
      <alignment horizontal="center" vertical="center" textRotation="0" wrapText="true" indent="0" shrinkToFit="false"/>
      <protection locked="true" hidden="false"/>
    </xf>
    <xf numFmtId="164" fontId="5" fillId="13" borderId="0" xfId="0" applyFont="true" applyBorder="true" applyAlignment="true" applyProtection="false">
      <alignment horizontal="center" vertical="center" textRotation="0" wrapText="true" indent="0" shrinkToFit="false"/>
      <protection locked="true" hidden="false"/>
    </xf>
    <xf numFmtId="164" fontId="5" fillId="16" borderId="0" xfId="0" applyFont="true" applyBorder="true" applyAlignment="true" applyProtection="false">
      <alignment horizontal="center" vertical="center" textRotation="0" wrapText="tru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7" fontId="14" fillId="17" borderId="2" xfId="0" applyFont="true" applyBorder="true" applyAlignment="true" applyProtection="false">
      <alignment horizontal="right" vertical="center" textRotation="0" wrapText="false" indent="0" shrinkToFit="false"/>
      <protection locked="true" hidden="false"/>
    </xf>
    <xf numFmtId="167" fontId="11" fillId="5" borderId="2" xfId="0" applyFont="true" applyBorder="true" applyAlignment="true" applyProtection="false">
      <alignment horizontal="right" vertical="center" textRotation="0" wrapText="false" indent="0" shrinkToFit="false"/>
      <protection locked="true" hidden="false"/>
    </xf>
    <xf numFmtId="167" fontId="12" fillId="0" borderId="2" xfId="0" applyFont="true" applyBorder="true" applyAlignment="true" applyProtection="false">
      <alignment horizontal="right" vertical="center" textRotation="0" wrapText="false" indent="0" shrinkToFit="false"/>
      <protection locked="true" hidden="false"/>
    </xf>
    <xf numFmtId="164" fontId="10" fillId="6" borderId="0" xfId="0" applyFont="true" applyBorder="true" applyAlignment="true" applyProtection="false">
      <alignment horizontal="center" vertical="center" textRotation="0" wrapText="true" indent="0" shrinkToFit="false"/>
      <protection locked="true" hidden="false"/>
    </xf>
    <xf numFmtId="164" fontId="11" fillId="17" borderId="2" xfId="0" applyFont="true" applyBorder="true" applyAlignment="true" applyProtection="false">
      <alignment horizontal="center" vertical="center" textRotation="0" wrapText="true" indent="0" shrinkToFit="false"/>
      <protection locked="true" hidden="false"/>
    </xf>
    <xf numFmtId="164" fontId="12" fillId="17" borderId="2" xfId="0" applyFont="true" applyBorder="true" applyAlignment="true" applyProtection="false">
      <alignment horizontal="left" vertical="center" textRotation="0" wrapText="true" indent="0" shrinkToFit="false"/>
      <protection locked="true" hidden="false"/>
    </xf>
    <xf numFmtId="164" fontId="11" fillId="17" borderId="2" xfId="0" applyFont="true" applyBorder="true" applyAlignment="true" applyProtection="false">
      <alignment horizontal="left" vertical="center" textRotation="0" wrapText="true" indent="0" shrinkToFit="false"/>
      <protection locked="true" hidden="false"/>
    </xf>
    <xf numFmtId="164" fontId="30" fillId="17" borderId="2" xfId="0" applyFont="true" applyBorder="true" applyAlignment="true" applyProtection="false">
      <alignment horizontal="left" vertical="center" textRotation="0" wrapText="true" indent="0" shrinkToFit="false"/>
      <protection locked="true" hidden="false"/>
    </xf>
    <xf numFmtId="164" fontId="17" fillId="17" borderId="2" xfId="0" applyFont="true" applyBorder="true" applyAlignment="true" applyProtection="false">
      <alignment horizontal="center" vertical="center" textRotation="0" wrapText="true" indent="0" shrinkToFit="false"/>
      <protection locked="true" hidden="false"/>
    </xf>
    <xf numFmtId="164" fontId="15" fillId="17" borderId="2" xfId="0" applyFont="true" applyBorder="true" applyAlignment="true" applyProtection="false">
      <alignment horizontal="left" vertical="center" textRotation="0" wrapText="true" indent="0" shrinkToFit="false"/>
      <protection locked="true" hidden="false"/>
    </xf>
    <xf numFmtId="164" fontId="31" fillId="17" borderId="2" xfId="0" applyFont="true" applyBorder="true" applyAlignment="true" applyProtection="false">
      <alignment horizontal="center" vertical="center" textRotation="0" wrapText="false" indent="0" shrinkToFit="false"/>
      <protection locked="true" hidden="false"/>
    </xf>
    <xf numFmtId="164" fontId="0" fillId="17" borderId="2" xfId="0" applyFont="false" applyBorder="true" applyAlignment="true" applyProtection="false">
      <alignment horizontal="general" vertical="bottom" textRotation="0" wrapText="false" indent="0" shrinkToFit="false"/>
      <protection locked="true" hidden="false"/>
    </xf>
    <xf numFmtId="164" fontId="11" fillId="9" borderId="2" xfId="0" applyFont="true" applyBorder="true" applyAlignment="true" applyProtection="false">
      <alignment horizontal="center" vertical="center" textRotation="0" wrapText="true" indent="0" shrinkToFit="false"/>
      <protection locked="true" hidden="false"/>
    </xf>
    <xf numFmtId="164" fontId="12" fillId="9" borderId="2" xfId="0" applyFont="true" applyBorder="true" applyAlignment="true" applyProtection="false">
      <alignment horizontal="left" vertical="center" textRotation="0" wrapText="true" indent="0" shrinkToFit="false"/>
      <protection locked="true" hidden="false"/>
    </xf>
    <xf numFmtId="164" fontId="30" fillId="9" borderId="2" xfId="0" applyFont="true" applyBorder="true" applyAlignment="true" applyProtection="false">
      <alignment horizontal="left" vertical="center" textRotation="0" wrapText="true" indent="0" shrinkToFit="false"/>
      <protection locked="true" hidden="false"/>
    </xf>
    <xf numFmtId="164" fontId="17" fillId="9" borderId="2" xfId="0" applyFont="true" applyBorder="true" applyAlignment="true" applyProtection="false">
      <alignment horizontal="center" vertical="center" textRotation="0" wrapText="true" indent="0" shrinkToFit="false"/>
      <protection locked="true" hidden="false"/>
    </xf>
    <xf numFmtId="164" fontId="31" fillId="9" borderId="2" xfId="0" applyFont="true" applyBorder="true" applyAlignment="true" applyProtection="false">
      <alignment horizontal="center" vertical="center" textRotation="0" wrapText="false" indent="0" shrinkToFit="false"/>
      <protection locked="true" hidden="false"/>
    </xf>
    <xf numFmtId="164" fontId="10" fillId="10" borderId="0" xfId="0" applyFont="true" applyBorder="true" applyAlignment="true" applyProtection="false">
      <alignment horizontal="center" vertical="center" textRotation="0" wrapText="true" indent="0" shrinkToFit="false"/>
      <protection locked="true" hidden="false"/>
    </xf>
    <xf numFmtId="164" fontId="10" fillId="16" borderId="0" xfId="0" applyFont="true" applyBorder="true" applyAlignment="true" applyProtection="false">
      <alignment horizontal="center" vertical="center" textRotation="0" wrapText="true" indent="0" shrinkToFit="false"/>
      <protection locked="true" hidden="false"/>
    </xf>
    <xf numFmtId="164" fontId="10" fillId="13"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32" fillId="9" borderId="2" xfId="0" applyFont="true" applyBorder="true" applyAlignment="true" applyProtection="false">
      <alignment horizontal="left" vertical="center" textRotation="0" wrapText="true" indent="0" shrinkToFit="false"/>
      <protection locked="true" hidden="false"/>
    </xf>
    <xf numFmtId="164" fontId="33" fillId="9" borderId="2" xfId="0" applyFont="true" applyBorder="true" applyAlignment="true" applyProtection="false">
      <alignment horizontal="left" vertical="center" textRotation="0" wrapText="true" indent="0" shrinkToFit="false"/>
      <protection locked="true" hidden="false"/>
    </xf>
    <xf numFmtId="164" fontId="34" fillId="9" borderId="2" xfId="0" applyFont="true" applyBorder="true" applyAlignment="true" applyProtection="false">
      <alignment horizontal="center" vertical="center" textRotation="0" wrapText="true" indent="0" shrinkToFit="false"/>
      <protection locked="true" hidden="false"/>
    </xf>
    <xf numFmtId="164" fontId="32" fillId="17" borderId="2" xfId="0" applyFont="true" applyBorder="true" applyAlignment="true" applyProtection="false">
      <alignment horizontal="left" vertical="center" textRotation="0" wrapText="true" indent="0" shrinkToFit="false"/>
      <protection locked="true" hidden="false"/>
    </xf>
    <xf numFmtId="164" fontId="33" fillId="17" borderId="2" xfId="0" applyFont="true" applyBorder="true" applyAlignment="true" applyProtection="false">
      <alignment horizontal="left" vertical="center" textRotation="0" wrapText="true" indent="0" shrinkToFit="false"/>
      <protection locked="true" hidden="false"/>
    </xf>
    <xf numFmtId="164" fontId="34" fillId="17" borderId="2" xfId="0" applyFont="true" applyBorder="true" applyAlignment="true" applyProtection="false">
      <alignment horizontal="center" vertical="center" textRotation="0" wrapText="true" indent="0" shrinkToFit="false"/>
      <protection locked="true" hidden="false"/>
    </xf>
    <xf numFmtId="164" fontId="10" fillId="11"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21" fillId="6" borderId="0" xfId="0" applyFont="true" applyBorder="true" applyAlignment="true" applyProtection="false">
      <alignment horizontal="center" vertical="center" textRotation="0" wrapText="true" indent="0" shrinkToFit="false"/>
      <protection locked="true" hidden="false"/>
    </xf>
    <xf numFmtId="164" fontId="35" fillId="17" borderId="0" xfId="0" applyFont="true" applyBorder="true" applyAlignment="true" applyProtection="false">
      <alignment horizontal="left" vertical="center" textRotation="0" wrapText="false" indent="0" shrinkToFit="false"/>
      <protection locked="true" hidden="false"/>
    </xf>
    <xf numFmtId="164" fontId="29" fillId="9" borderId="2" xfId="0" applyFont="true" applyBorder="true" applyAlignment="true" applyProtection="false">
      <alignment horizontal="center" vertical="center" textRotation="0" wrapText="true" indent="0" shrinkToFit="false"/>
      <protection locked="true" hidden="false"/>
    </xf>
    <xf numFmtId="164" fontId="29" fillId="17" borderId="2" xfId="0" applyFont="true" applyBorder="true" applyAlignment="true" applyProtection="false">
      <alignment horizontal="center" vertical="center" textRotation="0" wrapText="true" indent="0" shrinkToFit="false"/>
      <protection locked="true" hidden="false"/>
    </xf>
    <xf numFmtId="164" fontId="21" fillId="10" borderId="0" xfId="0" applyFont="true" applyBorder="true" applyAlignment="true" applyProtection="false">
      <alignment horizontal="center" vertical="center" textRotation="0" wrapText="true" indent="0" shrinkToFit="false"/>
      <protection locked="true" hidden="false"/>
    </xf>
    <xf numFmtId="164" fontId="36" fillId="17" borderId="0" xfId="0" applyFont="true" applyBorder="true" applyAlignment="true" applyProtection="false">
      <alignment horizontal="left" vertical="center" textRotation="0" wrapText="false" indent="0" shrinkToFit="false"/>
      <protection locked="true" hidden="false"/>
    </xf>
    <xf numFmtId="164" fontId="21" fillId="16" borderId="0" xfId="0" applyFont="true" applyBorder="true" applyAlignment="true" applyProtection="false">
      <alignment horizontal="center" vertical="center" textRotation="0" wrapText="true" indent="0" shrinkToFit="false"/>
      <protection locked="true" hidden="false"/>
    </xf>
    <xf numFmtId="164" fontId="37" fillId="17" borderId="0" xfId="0" applyFont="true" applyBorder="true" applyAlignment="true" applyProtection="false">
      <alignment horizontal="left" vertical="center" textRotation="0" wrapText="false" indent="0" shrinkToFit="false"/>
      <protection locked="true" hidden="false"/>
    </xf>
    <xf numFmtId="164" fontId="34" fillId="9" borderId="2" xfId="0" applyFont="true" applyBorder="true" applyAlignment="true" applyProtection="false">
      <alignment horizontal="left" vertical="center" textRotation="0" wrapText="true" indent="0" shrinkToFit="false"/>
      <protection locked="true" hidden="false"/>
    </xf>
    <xf numFmtId="164" fontId="34" fillId="17" borderId="2" xfId="0" applyFont="true" applyBorder="true" applyAlignment="true" applyProtection="false">
      <alignment horizontal="left" vertical="center" textRotation="0" wrapText="true" indent="0" shrinkToFit="false"/>
      <protection locked="true" hidden="false"/>
    </xf>
    <xf numFmtId="164" fontId="21" fillId="38" borderId="0" xfId="0" applyFont="true" applyBorder="true" applyAlignment="true" applyProtection="false">
      <alignment horizontal="center" vertical="center" textRotation="0" wrapText="true" indent="0" shrinkToFit="false"/>
      <protection locked="true" hidden="false"/>
    </xf>
    <xf numFmtId="164" fontId="38" fillId="17" borderId="0" xfId="0" applyFont="true" applyBorder="true" applyAlignment="true" applyProtection="false">
      <alignment horizontal="left" vertical="center" textRotation="0" wrapText="false" indent="0" shrinkToFit="false"/>
      <protection locked="true" hidden="false"/>
    </xf>
    <xf numFmtId="164" fontId="29" fillId="9" borderId="2" xfId="0" applyFont="true" applyBorder="true" applyAlignment="true" applyProtection="false">
      <alignment horizontal="left" vertical="center" textRotation="0" wrapText="true" indent="0" shrinkToFit="false"/>
      <protection locked="true" hidden="false"/>
    </xf>
    <xf numFmtId="164" fontId="29" fillId="17" borderId="2" xfId="0" applyFont="true" applyBorder="true" applyAlignment="true" applyProtection="false">
      <alignment horizontal="left" vertical="center" textRotation="0" wrapText="true" indent="0" shrinkToFit="false"/>
      <protection locked="true" hidden="false"/>
    </xf>
    <xf numFmtId="164" fontId="21" fillId="13" borderId="0" xfId="0" applyFont="true" applyBorder="true" applyAlignment="true" applyProtection="false">
      <alignment horizontal="center" vertical="center" textRotation="0" wrapText="true" indent="0" shrinkToFit="false"/>
      <protection locked="true" hidden="false"/>
    </xf>
    <xf numFmtId="164" fontId="39" fillId="17" borderId="0" xfId="0" applyFont="true" applyBorder="true" applyAlignment="true" applyProtection="false">
      <alignment horizontal="left" vertical="center" textRotation="0" wrapText="false" indent="0" shrinkToFit="false"/>
      <protection locked="true" hidden="false"/>
    </xf>
    <xf numFmtId="164" fontId="40" fillId="9" borderId="2" xfId="0" applyFont="true" applyBorder="true" applyAlignment="true" applyProtection="false">
      <alignment horizontal="left" vertical="center" textRotation="0" wrapText="true" indent="0" shrinkToFit="false"/>
      <protection locked="true" hidden="false"/>
    </xf>
    <xf numFmtId="164" fontId="40" fillId="17" borderId="2" xfId="0" applyFont="true" applyBorder="true" applyAlignment="true" applyProtection="false">
      <alignment horizontal="left" vertical="center" textRotation="0" wrapText="true" indent="0" shrinkToFit="false"/>
      <protection locked="true" hidden="false"/>
    </xf>
    <xf numFmtId="164" fontId="21" fillId="11" borderId="0" xfId="0" applyFont="true" applyBorder="true" applyAlignment="true" applyProtection="false">
      <alignment horizontal="center" vertical="center" textRotation="0" wrapText="true" indent="0" shrinkToFit="false"/>
      <protection locked="true" hidden="false"/>
    </xf>
    <xf numFmtId="164" fontId="41" fillId="17" borderId="0" xfId="0" applyFont="true" applyBorder="true" applyAlignment="true" applyProtection="false">
      <alignment horizontal="left" vertical="center" textRotation="0" wrapText="false" indent="0" shrinkToFit="false"/>
      <protection locked="true" hidden="false"/>
    </xf>
    <xf numFmtId="164" fontId="42" fillId="9" borderId="2" xfId="0" applyFont="true" applyBorder="true" applyAlignment="true" applyProtection="false">
      <alignment horizontal="left" vertical="center" textRotation="0" wrapText="true" indent="0" shrinkToFit="false"/>
      <protection locked="true" hidden="false"/>
    </xf>
    <xf numFmtId="164" fontId="42" fillId="17" borderId="2" xfId="0" applyFont="true" applyBorder="true" applyAlignment="true" applyProtection="false">
      <alignment horizontal="left" vertical="center" textRotation="0" wrapText="true" indent="0" shrinkToFit="false"/>
      <protection locked="true" hidden="false"/>
    </xf>
    <xf numFmtId="164" fontId="43" fillId="4" borderId="0" xfId="0" applyFont="true" applyBorder="true" applyAlignment="true" applyProtection="false">
      <alignment horizontal="center" vertical="center" textRotation="0" wrapText="true" indent="0" shrinkToFit="false"/>
      <protection locked="true" hidden="false"/>
    </xf>
    <xf numFmtId="166" fontId="14" fillId="5" borderId="2" xfId="0" applyFont="true" applyBorder="true" applyAlignment="true" applyProtection="false">
      <alignment horizontal="right"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4" fontId="11" fillId="39" borderId="2" xfId="0" applyFont="true" applyBorder="true" applyAlignment="true" applyProtection="false">
      <alignment horizontal="left" vertical="center" textRotation="0" wrapText="true" indent="0" shrinkToFit="false"/>
      <protection locked="true" hidden="false"/>
    </xf>
    <xf numFmtId="164" fontId="17" fillId="39" borderId="2" xfId="0" applyFont="true" applyBorder="true" applyAlignment="true" applyProtection="false">
      <alignment horizontal="center" vertical="center" textRotation="0" wrapText="true" indent="0" shrinkToFit="false"/>
      <protection locked="true" hidden="false"/>
    </xf>
    <xf numFmtId="164" fontId="14" fillId="39" borderId="2" xfId="0" applyFont="true" applyBorder="true" applyAlignment="true" applyProtection="false">
      <alignment horizontal="center" vertical="center" textRotation="0" wrapText="true" indent="0" shrinkToFit="false"/>
      <protection locked="true" hidden="false"/>
    </xf>
    <xf numFmtId="164" fontId="17" fillId="14" borderId="2"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center" vertical="center" textRotation="0" wrapText="true" indent="0" shrinkToFit="false"/>
      <protection locked="true" hidden="false"/>
    </xf>
    <xf numFmtId="164" fontId="11" fillId="40" borderId="2" xfId="0" applyFont="true" applyBorder="true" applyAlignment="true" applyProtection="false">
      <alignment horizontal="left" vertical="center" textRotation="0" wrapText="true" indent="0" shrinkToFit="false"/>
      <protection locked="true" hidden="false"/>
    </xf>
    <xf numFmtId="164" fontId="17" fillId="40" borderId="2" xfId="0" applyFont="true" applyBorder="true" applyAlignment="true" applyProtection="false">
      <alignment horizontal="center" vertical="center" textRotation="0" wrapText="true" indent="0" shrinkToFit="false"/>
      <protection locked="true" hidden="false"/>
    </xf>
    <xf numFmtId="164" fontId="14" fillId="40" borderId="2" xfId="0" applyFont="true" applyBorder="true" applyAlignment="true" applyProtection="false">
      <alignment horizontal="center" vertical="center" textRotation="0" wrapText="true" indent="0" shrinkToFit="false"/>
      <protection locked="true" hidden="false"/>
    </xf>
    <xf numFmtId="164" fontId="17" fillId="12" borderId="2"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false" applyAlignment="true" applyProtection="false">
      <alignment horizontal="left" vertical="center" textRotation="0" wrapText="true" indent="0" shrinkToFit="false"/>
      <protection locked="true" hidden="false"/>
    </xf>
    <xf numFmtId="165" fontId="10" fillId="4" borderId="0" xfId="0" applyFont="true" applyBorder="false" applyAlignment="true" applyProtection="false">
      <alignment horizontal="right" vertical="center" textRotation="0" wrapText="false" indent="0" shrinkToFit="false"/>
      <protection locked="true" hidden="false"/>
    </xf>
    <xf numFmtId="164" fontId="5" fillId="29" borderId="0" xfId="0" applyFont="true" applyBorder="true" applyAlignment="true" applyProtection="false">
      <alignment horizontal="center" vertical="center" textRotation="0" wrapText="false" indent="0" shrinkToFit="false"/>
      <protection locked="true" hidden="false"/>
    </xf>
    <xf numFmtId="164" fontId="10" fillId="11" borderId="0" xfId="0" applyFont="true" applyBorder="false" applyAlignment="true" applyProtection="false">
      <alignment horizontal="center" vertical="center" textRotation="0" wrapText="true" indent="0" shrinkToFit="false"/>
      <protection locked="true" hidden="false"/>
    </xf>
    <xf numFmtId="167" fontId="14" fillId="8" borderId="2" xfId="0" applyFont="true" applyBorder="true" applyAlignment="true" applyProtection="false">
      <alignment horizontal="right" vertical="center" textRotation="0" wrapText="false" indent="0" shrinkToFit="false"/>
      <protection locked="true" hidden="false"/>
    </xf>
    <xf numFmtId="165" fontId="33" fillId="8" borderId="2" xfId="0" applyFont="true" applyBorder="true" applyAlignment="true" applyProtection="false">
      <alignment horizontal="right" vertical="center" textRotation="0" wrapText="false" indent="0" shrinkToFit="false"/>
      <protection locked="true" hidden="false"/>
    </xf>
    <xf numFmtId="164" fontId="14" fillId="8" borderId="2" xfId="0" applyFont="true" applyBorder="true" applyAlignment="true" applyProtection="false">
      <alignment horizontal="left" vertical="center" textRotation="0" wrapText="true" indent="0" shrinkToFit="false"/>
      <protection locked="true" hidden="false"/>
    </xf>
    <xf numFmtId="164" fontId="44" fillId="8" borderId="2" xfId="0" applyFont="true" applyBorder="true" applyAlignment="true" applyProtection="false">
      <alignment horizontal="left" vertical="center" textRotation="0" wrapText="true" indent="0" shrinkToFit="false"/>
      <protection locked="true" hidden="false"/>
    </xf>
    <xf numFmtId="165" fontId="33" fillId="9" borderId="2" xfId="0" applyFont="true" applyBorder="true" applyAlignment="true" applyProtection="false">
      <alignment horizontal="right" vertical="center" textRotation="0" wrapText="false" indent="0" shrinkToFit="false"/>
      <protection locked="true" hidden="false"/>
    </xf>
    <xf numFmtId="164" fontId="44" fillId="9" borderId="2" xfId="0" applyFont="true" applyBorder="true" applyAlignment="true" applyProtection="false">
      <alignment horizontal="left" vertical="center" textRotation="0" wrapText="true" indent="0" shrinkToFit="false"/>
      <protection locked="true" hidden="false"/>
    </xf>
    <xf numFmtId="164" fontId="10" fillId="11" borderId="0" xfId="0" applyFont="true" applyBorder="false" applyAlignment="true" applyProtection="false">
      <alignment horizontal="left" vertical="center" textRotation="0" wrapText="true" indent="0" shrinkToFit="false"/>
      <protection locked="true" hidden="false"/>
    </xf>
    <xf numFmtId="167" fontId="10" fillId="11" borderId="0" xfId="0" applyFont="true" applyBorder="false" applyAlignment="true" applyProtection="false">
      <alignment horizontal="right" vertical="center" textRotation="0" wrapText="false" indent="0" shrinkToFit="false"/>
      <protection locked="true" hidden="false"/>
    </xf>
    <xf numFmtId="165" fontId="10" fillId="11" borderId="0" xfId="0" applyFont="true" applyBorder="false" applyAlignment="true" applyProtection="false">
      <alignment horizontal="right" vertical="center"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32" fillId="8" borderId="2" xfId="0" applyFont="true" applyBorder="true" applyAlignment="true" applyProtection="false">
      <alignment horizontal="left" vertical="center" textRotation="0" wrapText="true" indent="0" shrinkToFit="false"/>
      <protection locked="true" hidden="false"/>
    </xf>
    <xf numFmtId="164" fontId="10" fillId="6" borderId="0" xfId="0" applyFont="true" applyBorder="false" applyAlignment="true" applyProtection="false">
      <alignment horizontal="center" vertical="center" textRotation="0" wrapText="true" indent="0" shrinkToFit="false"/>
      <protection locked="true" hidden="false"/>
    </xf>
    <xf numFmtId="164" fontId="5" fillId="27" borderId="0" xfId="0" applyFont="true" applyBorder="true" applyAlignment="true" applyProtection="false">
      <alignment horizontal="center" vertical="center" textRotation="0" wrapText="false" indent="0" shrinkToFit="false"/>
      <protection locked="true" hidden="false"/>
    </xf>
    <xf numFmtId="165" fontId="12" fillId="5" borderId="2" xfId="0" applyFont="true" applyBorder="true" applyAlignment="true" applyProtection="false">
      <alignment horizontal="right" vertical="center" textRotation="0" wrapText="false" indent="0" shrinkToFit="false"/>
      <protection locked="true" hidden="false"/>
    </xf>
    <xf numFmtId="164" fontId="15" fillId="5" borderId="2" xfId="0" applyFont="true" applyBorder="true" applyAlignment="true" applyProtection="false">
      <alignment horizontal="center" vertical="center" textRotation="0" wrapText="true" indent="0" shrinkToFit="false"/>
      <protection locked="true" hidden="false"/>
    </xf>
    <xf numFmtId="165" fontId="33" fillId="5" borderId="2" xfId="0" applyFont="true" applyBorder="true" applyAlignment="true" applyProtection="false">
      <alignment horizontal="right" vertical="center" textRotation="0" wrapText="false" indent="0" shrinkToFit="false"/>
      <protection locked="true" hidden="false"/>
    </xf>
    <xf numFmtId="164" fontId="14" fillId="5" borderId="2" xfId="0" applyFont="true" applyBorder="true" applyAlignment="true" applyProtection="false">
      <alignment horizontal="left" vertical="center" textRotation="0" wrapText="true" indent="0" shrinkToFit="false"/>
      <protection locked="true" hidden="false"/>
    </xf>
    <xf numFmtId="164" fontId="0" fillId="5" borderId="2" xfId="0" applyFont="false" applyBorder="true" applyAlignment="true" applyProtection="false">
      <alignment horizontal="general" vertical="bottom" textRotation="0" wrapText="false" indent="0" shrinkToFit="false"/>
      <protection locked="true" hidden="false"/>
    </xf>
    <xf numFmtId="165" fontId="45" fillId="9" borderId="2" xfId="0" applyFont="true" applyBorder="true" applyAlignment="true" applyProtection="false">
      <alignment horizontal="right" vertical="center" textRotation="0" wrapText="false" indent="0" shrinkToFit="false"/>
      <protection locked="true" hidden="false"/>
    </xf>
    <xf numFmtId="165" fontId="45" fillId="5" borderId="2" xfId="0" applyFont="true" applyBorder="true" applyAlignment="true" applyProtection="false">
      <alignment horizontal="right" vertical="center" textRotation="0" wrapText="false" indent="0" shrinkToFit="false"/>
      <protection locked="true" hidden="false"/>
    </xf>
    <xf numFmtId="164" fontId="10" fillId="6" borderId="0" xfId="0" applyFont="true" applyBorder="false" applyAlignment="true" applyProtection="false">
      <alignment horizontal="left" vertical="center" textRotation="0" wrapText="true" indent="0" shrinkToFit="false"/>
      <protection locked="true" hidden="false"/>
    </xf>
    <xf numFmtId="165" fontId="10" fillId="6" borderId="0" xfId="0" applyFont="true" applyBorder="false" applyAlignment="true" applyProtection="false">
      <alignment horizontal="right" vertical="center"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45" fillId="9" borderId="2" xfId="0" applyFont="true" applyBorder="true" applyAlignment="true" applyProtection="false">
      <alignment horizontal="center" vertical="center" textRotation="0" wrapText="true" indent="0" shrinkToFit="false"/>
      <protection locked="true" hidden="false"/>
    </xf>
    <xf numFmtId="165" fontId="33" fillId="17" borderId="2" xfId="0" applyFont="true" applyBorder="true" applyAlignment="true" applyProtection="false">
      <alignment horizontal="right" vertical="center" textRotation="0" wrapText="false" indent="0" shrinkToFit="false"/>
      <protection locked="true" hidden="false"/>
    </xf>
    <xf numFmtId="164" fontId="45" fillId="17" borderId="2" xfId="0" applyFont="true" applyBorder="true" applyAlignment="true" applyProtection="false">
      <alignment horizontal="center" vertical="center" textRotation="0" wrapText="true" indent="0" shrinkToFit="false"/>
      <protection locked="true" hidden="false"/>
    </xf>
    <xf numFmtId="164" fontId="15" fillId="17" borderId="2" xfId="0" applyFont="true" applyBorder="true" applyAlignment="true" applyProtection="false">
      <alignment horizontal="center" vertical="center" textRotation="0" wrapText="true" indent="0" shrinkToFit="false"/>
      <protection locked="true" hidden="false"/>
    </xf>
    <xf numFmtId="166" fontId="33" fillId="17" borderId="2" xfId="0" applyFont="true" applyBorder="true" applyAlignment="true" applyProtection="false">
      <alignment horizontal="right" vertical="center" textRotation="0" wrapText="false" indent="0" shrinkToFit="false"/>
      <protection locked="true" hidden="false"/>
    </xf>
    <xf numFmtId="166" fontId="33" fillId="9" borderId="2" xfId="0" applyFont="true" applyBorder="true" applyAlignment="true" applyProtection="false">
      <alignment horizontal="right" vertical="center" textRotation="0" wrapText="false" indent="0" shrinkToFit="false"/>
      <protection locked="true" hidden="false"/>
    </xf>
    <xf numFmtId="164" fontId="10" fillId="13" borderId="0" xfId="0" applyFont="true" applyBorder="false" applyAlignment="true" applyProtection="false">
      <alignment horizontal="center" vertical="center" textRotation="0" wrapText="true" indent="0" shrinkToFit="false"/>
      <protection locked="true" hidden="false"/>
    </xf>
    <xf numFmtId="164" fontId="40" fillId="40" borderId="2" xfId="0" applyFont="true" applyBorder="true" applyAlignment="true" applyProtection="false">
      <alignment horizontal="center" vertical="center" textRotation="0" wrapText="true" indent="0" shrinkToFit="false"/>
      <protection locked="true" hidden="false"/>
    </xf>
    <xf numFmtId="164" fontId="32" fillId="0" borderId="2" xfId="0" applyFont="true" applyBorder="true" applyAlignment="true" applyProtection="false">
      <alignment horizontal="left" vertical="center" textRotation="0" wrapText="true" indent="0" shrinkToFit="false"/>
      <protection locked="true" hidden="false"/>
    </xf>
    <xf numFmtId="164" fontId="46" fillId="0" borderId="2" xfId="0" applyFont="true" applyBorder="true" applyAlignment="true" applyProtection="false">
      <alignment horizontal="left" vertical="center" textRotation="0" wrapText="tru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4" fontId="29" fillId="0" borderId="2" xfId="0" applyFont="true" applyBorder="true" applyAlignment="true" applyProtection="false">
      <alignment horizontal="center" vertical="center" textRotation="0" wrapText="true" indent="0" shrinkToFit="false"/>
      <protection locked="true" hidden="false"/>
    </xf>
    <xf numFmtId="164" fontId="34" fillId="0"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6" fillId="41" borderId="1" xfId="0" applyFont="true" applyBorder="true" applyAlignment="true" applyProtection="false">
      <alignment horizontal="general" vertical="top" textRotation="0" wrapText="true" indent="0" shrinkToFit="false"/>
      <protection locked="true" hidden="false"/>
    </xf>
    <xf numFmtId="164" fontId="6" fillId="42" borderId="1" xfId="0" applyFont="true" applyBorder="true" applyAlignment="true" applyProtection="false">
      <alignment horizontal="general" vertical="top" textRotation="0" wrapText="true" indent="0" shrinkToFit="false"/>
      <protection locked="true" hidden="false"/>
    </xf>
    <xf numFmtId="164" fontId="6" fillId="43"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left" vertical="top" textRotation="0" wrapText="true" indent="0" shrinkToFit="false"/>
      <protection locked="true" hidden="false"/>
    </xf>
    <xf numFmtId="164" fontId="4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5EEF8"/>
      <rgbColor rgb="FF0068FF"/>
      <rgbColor rgb="FFFDEBD0"/>
      <rgbColor rgb="FFE91E63"/>
      <rgbColor rgb="FFF2F7FB"/>
      <rgbColor rgb="FFC62828"/>
      <rgbColor rgb="FF1D7A3A"/>
      <rgbColor rgb="FF010101"/>
      <rgbColor rgb="FF2C5F8A"/>
      <rgbColor rgb="FFFEF9E7"/>
      <rgbColor rgb="FF0288D1"/>
      <rgbColor rgb="FFCCCCCC"/>
      <rgbColor rgb="FF7F8C8D"/>
      <rgbColor rgb="FF4285F4"/>
      <rgbColor rgb="FF9C27B0"/>
      <rgbColor rgb="FFFFF9C4"/>
      <rgbColor rgb="FFD1F2EB"/>
      <rgbColor rgb="FF660066"/>
      <rgbColor rgb="FFE8833A"/>
      <rgbColor rgb="FF0563C1"/>
      <rgbColor rgb="FFD6E4F7"/>
      <rgbColor rgb="FF1F4E79"/>
      <rgbColor rgb="FFFF5722"/>
      <rgbColor rgb="FFFCE4D6"/>
      <rgbColor rgb="FFF5F5F5"/>
      <rgbColor rgb="FF800080"/>
      <rgbColor rgb="FFF44336"/>
      <rgbColor rgb="FF2E75B6"/>
      <rgbColor rgb="FF2E6DB4"/>
      <rgbColor rgb="FF00BCD4"/>
      <rgbColor rgb="FFE2EFDA"/>
      <rgbColor rgb="FFD6F0E0"/>
      <rgbColor rgb="FFFFF2CC"/>
      <rgbColor rgb="FFB6D7A8"/>
      <rgbColor rgb="FFFADBD8"/>
      <rgbColor rgb="FFE0E0E0"/>
      <rgbColor rgb="FFF4CCCC"/>
      <rgbColor rgb="FF1877F2"/>
      <rgbColor rgb="FF4FC3F7"/>
      <rgbColor rgb="FFF2F3F4"/>
      <rgbColor rgb="FFFF6F00"/>
      <rgbColor rgb="FFE67E22"/>
      <rgbColor rgb="FFFF6B00"/>
      <rgbColor rgb="FF607D8B"/>
      <rgbColor rgb="FF4CAF50"/>
      <rgbColor rgb="FF1B3A6B"/>
      <rgbColor rgb="FF16A085"/>
      <rgbColor rgb="FF1B2A4A"/>
      <rgbColor rgb="FF2C3E50"/>
      <rgbColor rgb="FFC0392B"/>
      <rgbColor rgb="FF8E44AD"/>
      <rgbColor rgb="FF3F51B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KH_Tuyen_Sinh_2026_V11.xlsx" TargetMode="External"/><Relationship Id="rId2" Type="http://schemas.openxmlformats.org/officeDocument/2006/relationships/hyperlink" Target="KH_Tuyen_Sinh_2026_V11.xlsx" TargetMode="External"/><Relationship Id="rId3" Type="http://schemas.openxmlformats.org/officeDocument/2006/relationships/hyperlink" Target="KH_Tuyen_Sinh_2026_V11.xlsx" TargetMode="External"/><Relationship Id="rId4" Type="http://schemas.openxmlformats.org/officeDocument/2006/relationships/hyperlink" Target="KH_Tuyen_Sinh_2026_V11.xlsx" TargetMode="External"/><Relationship Id="rId5" Type="http://schemas.openxmlformats.org/officeDocument/2006/relationships/hyperlink" Target="KH_Tuyen_Sinh_2026_V11.xlsx" TargetMode="External"/><Relationship Id="rId6" Type="http://schemas.openxmlformats.org/officeDocument/2006/relationships/hyperlink" Target="KH_Tuyen_Sinh_2026_V11.xlsx" TargetMode="External"/><Relationship Id="rId7" Type="http://schemas.openxmlformats.org/officeDocument/2006/relationships/hyperlink" Target="KH_Tuyen_Sinh_2026_V11.xlsx" TargetMode="External"/><Relationship Id="rId8" Type="http://schemas.openxmlformats.org/officeDocument/2006/relationships/hyperlink" Target="KH_Tuyen_Sinh_2026_V11.xlsx" TargetMode="External"/><Relationship Id="rId9" Type="http://schemas.openxmlformats.org/officeDocument/2006/relationships/hyperlink" Target="KH_Tuyen_Sinh_2026_V11.xlsx" TargetMode="External"/><Relationship Id="rId10" Type="http://schemas.openxmlformats.org/officeDocument/2006/relationships/hyperlink" Target="KH_Tuyen_Sinh_2026_V11.xlsx" TargetMode="External"/><Relationship Id="rId11" Type="http://schemas.openxmlformats.org/officeDocument/2006/relationships/hyperlink" Target="KH_Tuyen_Sinh_2026_V11.xlsx" TargetMode="External"/><Relationship Id="rId12" Type="http://schemas.openxmlformats.org/officeDocument/2006/relationships/hyperlink" Target="KH_Tuyen_Sinh_2026_V11.xlsx" TargetMode="External"/><Relationship Id="rId13" Type="http://schemas.openxmlformats.org/officeDocument/2006/relationships/hyperlink" Target="KH_Tuyen_Sinh_2026_V11.xlsx" TargetMode="External"/><Relationship Id="rId14" Type="http://schemas.openxmlformats.org/officeDocument/2006/relationships/hyperlink" Target="KH_Tuyen_Sinh_2026_V11.xlsx" TargetMode="External"/><Relationship Id="rId15" Type="http://schemas.openxmlformats.org/officeDocument/2006/relationships/hyperlink" Target="KH_Tuyen_Sinh_2026_V11.xlsx" TargetMode="External"/><Relationship Id="rId16" Type="http://schemas.openxmlformats.org/officeDocument/2006/relationships/hyperlink" Target="KH_Tuyen_Sinh_2026_V11.xlsx" TargetMode="External"/><Relationship Id="rId17" Type="http://schemas.openxmlformats.org/officeDocument/2006/relationships/hyperlink" Target="KH_Tuyen_Sinh_2026_V11.xlsx" TargetMode="External"/><Relationship Id="rId18" Type="http://schemas.openxmlformats.org/officeDocument/2006/relationships/hyperlink" Target="KH_Tuyen_Sinh_2026_V11.xlsx" TargetMode="External"/><Relationship Id="rId19" Type="http://schemas.openxmlformats.org/officeDocument/2006/relationships/hyperlink" Target="KH_Tuyen_Sinh_2026_V11.xlsx" TargetMode="External"/><Relationship Id="rId20" Type="http://schemas.openxmlformats.org/officeDocument/2006/relationships/hyperlink" Target="KH_Tuyen_Sinh_2026_V11.xlsx" TargetMode="External"/><Relationship Id="rId21" Type="http://schemas.openxmlformats.org/officeDocument/2006/relationships/hyperlink" Target="KH_Tuyen_Sinh_2026_V11.xlsx" TargetMode="External"/><Relationship Id="rId22" Type="http://schemas.openxmlformats.org/officeDocument/2006/relationships/hyperlink" Target="KH_Tuyen_Sinh_2026_V11.xlsx" TargetMode="External"/><Relationship Id="rId23" Type="http://schemas.openxmlformats.org/officeDocument/2006/relationships/hyperlink" Target="KH_Tuyen_Sinh_2026_V11.xlsx" TargetMode="External"/><Relationship Id="rId24" Type="http://schemas.openxmlformats.org/officeDocument/2006/relationships/hyperlink" Target="KH_Tuyen_Sinh_2026_V11.xlsx" TargetMode="External"/><Relationship Id="rId25" Type="http://schemas.openxmlformats.org/officeDocument/2006/relationships/hyperlink" Target="KH_Tuyen_Sinh_2026_V11.xlsx" TargetMode="External"/><Relationship Id="rId26" Type="http://schemas.openxmlformats.org/officeDocument/2006/relationships/hyperlink" Target="KH_Tuyen_Sinh_2026_V11.xlsx" TargetMode="External"/><Relationship Id="rId27" Type="http://schemas.openxmlformats.org/officeDocument/2006/relationships/hyperlink" Target="KH_Tuyen_Sinh_2026_V11.xlsx" TargetMode="External"/><Relationship Id="rId28" Type="http://schemas.openxmlformats.org/officeDocument/2006/relationships/hyperlink" Target="KH_Tuyen_Sinh_2026_V11.xlsx" TargetMode="External"/><Relationship Id="rId29" Type="http://schemas.openxmlformats.org/officeDocument/2006/relationships/hyperlink" Target="KH_Tuyen_Sinh_2026_V11.xlsx" TargetMode="External"/><Relationship Id="rId30" Type="http://schemas.openxmlformats.org/officeDocument/2006/relationships/hyperlink" Target="KH_Tuyen_Sinh_2026_V11.xlsx" TargetMode="External"/><Relationship Id="rId31" Type="http://schemas.openxmlformats.org/officeDocument/2006/relationships/hyperlink" Target="KH_Tuyen_Sinh_2026_V11.xlsx" TargetMode="External"/>
</Relationships>
</file>

<file path=xl/worksheets/_rels/sheet24.xml.rels><?xml version="1.0" encoding="UTF-8"?>
<Relationships xmlns="http://schemas.openxmlformats.org/package/2006/relationships"><Relationship Id="rId1" Type="http://schemas.openxmlformats.org/officeDocument/2006/relationships/hyperlink" Target="KH_Tuyen_Sinh_2026_V11.xlsx" TargetMode="External"/>
</Relationships>
</file>

<file path=xl/worksheets/_rels/sheet26.xml.rels><?xml version="1.0" encoding="UTF-8"?>
<Relationships xmlns="http://schemas.openxmlformats.org/package/2006/relationships"><Relationship Id="rId1" Type="http://schemas.openxmlformats.org/officeDocument/2006/relationships/hyperlink" Target="KH_Tuyen_Sinh_2026_V11.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F00"/>
    <pageSetUpPr fitToPage="false"/>
  </sheetPr>
  <dimension ref="A1:P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6" min="1" style="1" width="22"/>
  </cols>
  <sheetData>
    <row r="1" customFormat="false" ht="17.25" hidden="false" customHeight="true" outlineLevel="0" collapsed="false">
      <c r="A1" s="2" t="s">
        <v>0</v>
      </c>
    </row>
    <row r="2" customFormat="false" ht="15" hidden="false" customHeight="true" outlineLevel="0" collapsed="false">
      <c r="A2" s="1" t="s">
        <v>1</v>
      </c>
    </row>
    <row r="4" customFormat="false" ht="15" hidden="false" customHeight="true" outlineLevel="0" collapsed="false">
      <c r="A4" s="1" t="s">
        <v>2</v>
      </c>
    </row>
    <row r="5" customFormat="false" ht="26.25"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row>
    <row r="6" customFormat="false" ht="34.5" hidden="false" customHeight="true" outlineLevel="0" collapsed="false">
      <c r="A6" s="4" t="s">
        <v>19</v>
      </c>
      <c r="B6" s="4" t="s">
        <v>20</v>
      </c>
      <c r="C6" s="4" t="s">
        <v>21</v>
      </c>
      <c r="D6" s="4" t="s">
        <v>22</v>
      </c>
      <c r="E6" s="4" t="s">
        <v>23</v>
      </c>
      <c r="F6" s="4" t="s">
        <v>24</v>
      </c>
      <c r="G6" s="4" t="s">
        <v>25</v>
      </c>
      <c r="H6" s="4" t="s">
        <v>26</v>
      </c>
      <c r="I6" s="4" t="s">
        <v>27</v>
      </c>
      <c r="J6" s="4" t="s">
        <v>28</v>
      </c>
      <c r="K6" s="4" t="s">
        <v>29</v>
      </c>
      <c r="L6" s="4" t="s">
        <v>30</v>
      </c>
      <c r="M6" s="4" t="s">
        <v>31</v>
      </c>
      <c r="N6" s="4" t="s">
        <v>32</v>
      </c>
      <c r="O6" s="4" t="s">
        <v>33</v>
      </c>
      <c r="P6" s="4" t="s">
        <v>34</v>
      </c>
    </row>
    <row r="7" customFormat="false" ht="23.25" hidden="false" customHeight="true" outlineLevel="0" collapsed="false">
      <c r="A7" s="5" t="s">
        <v>19</v>
      </c>
      <c r="B7" s="5" t="s">
        <v>35</v>
      </c>
      <c r="C7" s="5" t="s">
        <v>36</v>
      </c>
      <c r="D7" s="5" t="s">
        <v>37</v>
      </c>
      <c r="E7" s="5" t="s">
        <v>38</v>
      </c>
      <c r="F7" s="5" t="s">
        <v>39</v>
      </c>
      <c r="G7" s="5" t="s">
        <v>40</v>
      </c>
      <c r="H7" s="5" t="s">
        <v>41</v>
      </c>
      <c r="I7" s="5" t="s">
        <v>42</v>
      </c>
      <c r="J7" s="5" t="s">
        <v>43</v>
      </c>
      <c r="K7" s="5" t="s">
        <v>44</v>
      </c>
      <c r="L7" s="5" t="s">
        <v>45</v>
      </c>
      <c r="M7" s="5" t="s">
        <v>46</v>
      </c>
      <c r="N7" s="5" t="s">
        <v>47</v>
      </c>
      <c r="O7" s="5" t="s">
        <v>48</v>
      </c>
      <c r="P7" s="5" t="s">
        <v>49</v>
      </c>
    </row>
    <row r="8" customFormat="false" ht="34.5" hidden="false" customHeight="true" outlineLevel="0" collapsed="false">
      <c r="A8" s="4" t="s">
        <v>50</v>
      </c>
      <c r="B8" s="4" t="s">
        <v>51</v>
      </c>
      <c r="C8" s="4" t="s">
        <v>52</v>
      </c>
      <c r="D8" s="4" t="s">
        <v>53</v>
      </c>
      <c r="E8" s="4" t="s">
        <v>54</v>
      </c>
      <c r="F8" s="4" t="s">
        <v>55</v>
      </c>
      <c r="G8" s="4" t="s">
        <v>56</v>
      </c>
      <c r="H8" s="4" t="s">
        <v>57</v>
      </c>
      <c r="I8" s="4" t="s">
        <v>58</v>
      </c>
      <c r="J8" s="4" t="s">
        <v>59</v>
      </c>
      <c r="K8" s="4" t="s">
        <v>60</v>
      </c>
      <c r="L8" s="4" t="s">
        <v>61</v>
      </c>
      <c r="M8" s="4" t="s">
        <v>62</v>
      </c>
      <c r="N8" s="4" t="s">
        <v>63</v>
      </c>
      <c r="O8" s="4" t="s">
        <v>64</v>
      </c>
      <c r="P8" s="4" t="s">
        <v>65</v>
      </c>
    </row>
    <row r="9" customFormat="false" ht="34.5" hidden="false" customHeight="true" outlineLevel="0" collapsed="false">
      <c r="A9" s="5" t="s">
        <v>50</v>
      </c>
      <c r="B9" s="5" t="s">
        <v>66</v>
      </c>
      <c r="C9" s="5" t="s">
        <v>67</v>
      </c>
      <c r="D9" s="5" t="s">
        <v>68</v>
      </c>
      <c r="E9" s="5" t="s">
        <v>69</v>
      </c>
      <c r="F9" s="5" t="s">
        <v>70</v>
      </c>
      <c r="G9" s="5" t="s">
        <v>71</v>
      </c>
      <c r="H9" s="5" t="s">
        <v>72</v>
      </c>
      <c r="I9" s="5" t="s">
        <v>73</v>
      </c>
      <c r="J9" s="5" t="s">
        <v>74</v>
      </c>
      <c r="K9" s="5" t="s">
        <v>75</v>
      </c>
      <c r="L9" s="5" t="s">
        <v>76</v>
      </c>
      <c r="M9" s="5" t="s">
        <v>77</v>
      </c>
      <c r="N9" s="5" t="s">
        <v>78</v>
      </c>
      <c r="O9" s="5" t="s">
        <v>79</v>
      </c>
      <c r="P9" s="5" t="s">
        <v>80</v>
      </c>
    </row>
    <row r="10" customFormat="false" ht="34.5" hidden="false" customHeight="true" outlineLevel="0" collapsed="false">
      <c r="A10" s="4" t="s">
        <v>81</v>
      </c>
      <c r="B10" s="4" t="s">
        <v>82</v>
      </c>
      <c r="C10" s="4" t="s">
        <v>83</v>
      </c>
      <c r="D10" s="4" t="s">
        <v>84</v>
      </c>
      <c r="E10" s="4" t="s">
        <v>85</v>
      </c>
      <c r="F10" s="4" t="s">
        <v>39</v>
      </c>
      <c r="G10" s="4" t="s">
        <v>86</v>
      </c>
      <c r="H10" s="4" t="s">
        <v>87</v>
      </c>
      <c r="I10" s="4" t="s">
        <v>88</v>
      </c>
      <c r="J10" s="4" t="s">
        <v>89</v>
      </c>
      <c r="K10" s="4" t="s">
        <v>90</v>
      </c>
      <c r="L10" s="4" t="s">
        <v>91</v>
      </c>
      <c r="M10" s="4" t="s">
        <v>92</v>
      </c>
      <c r="N10" s="4" t="s">
        <v>93</v>
      </c>
      <c r="O10" s="4" t="s">
        <v>94</v>
      </c>
      <c r="P10" s="4" t="s">
        <v>95</v>
      </c>
    </row>
    <row r="11" customFormat="false" ht="34.5" hidden="false" customHeight="true" outlineLevel="0" collapsed="false">
      <c r="A11" s="5" t="s">
        <v>81</v>
      </c>
      <c r="B11" s="5" t="s">
        <v>96</v>
      </c>
      <c r="C11" s="5" t="s">
        <v>97</v>
      </c>
      <c r="D11" s="5" t="s">
        <v>98</v>
      </c>
      <c r="E11" s="5" t="s">
        <v>99</v>
      </c>
      <c r="F11" s="5" t="s">
        <v>100</v>
      </c>
      <c r="G11" s="5" t="s">
        <v>101</v>
      </c>
      <c r="H11" s="5" t="s">
        <v>102</v>
      </c>
      <c r="I11" s="5" t="s">
        <v>103</v>
      </c>
      <c r="J11" s="5" t="s">
        <v>104</v>
      </c>
      <c r="K11" s="5" t="s">
        <v>105</v>
      </c>
      <c r="L11" s="5" t="s">
        <v>106</v>
      </c>
      <c r="M11" s="5" t="s">
        <v>107</v>
      </c>
      <c r="N11" s="5" t="s">
        <v>108</v>
      </c>
      <c r="O11" s="5" t="s">
        <v>109</v>
      </c>
      <c r="P11" s="5" t="s">
        <v>110</v>
      </c>
    </row>
    <row r="12" customFormat="false" ht="34.5" hidden="false" customHeight="true" outlineLevel="0" collapsed="false">
      <c r="A12" s="4" t="s">
        <v>111</v>
      </c>
      <c r="B12" s="4" t="s">
        <v>112</v>
      </c>
      <c r="C12" s="4" t="s">
        <v>113</v>
      </c>
      <c r="D12" s="4" t="s">
        <v>114</v>
      </c>
      <c r="E12" s="4" t="s">
        <v>54</v>
      </c>
      <c r="F12" s="4" t="s">
        <v>70</v>
      </c>
      <c r="G12" s="4" t="s">
        <v>115</v>
      </c>
      <c r="H12" s="4" t="s">
        <v>116</v>
      </c>
      <c r="I12" s="4" t="s">
        <v>117</v>
      </c>
      <c r="J12" s="4" t="s">
        <v>118</v>
      </c>
      <c r="K12" s="4" t="s">
        <v>119</v>
      </c>
      <c r="L12" s="4" t="s">
        <v>120</v>
      </c>
      <c r="M12" s="4" t="s">
        <v>121</v>
      </c>
      <c r="N12" s="4" t="s">
        <v>122</v>
      </c>
      <c r="O12" s="4" t="s">
        <v>123</v>
      </c>
      <c r="P12" s="4" t="s">
        <v>124</v>
      </c>
    </row>
    <row r="13" customFormat="false" ht="34.5" hidden="false" customHeight="true" outlineLevel="0" collapsed="false">
      <c r="A13" s="5" t="s">
        <v>111</v>
      </c>
      <c r="B13" s="5" t="s">
        <v>125</v>
      </c>
      <c r="C13" s="5" t="s">
        <v>126</v>
      </c>
      <c r="D13" s="5" t="s">
        <v>127</v>
      </c>
      <c r="E13" s="5" t="s">
        <v>128</v>
      </c>
      <c r="F13" s="5" t="s">
        <v>129</v>
      </c>
      <c r="G13" s="5" t="s">
        <v>130</v>
      </c>
      <c r="H13" s="5" t="s">
        <v>72</v>
      </c>
      <c r="I13" s="5" t="s">
        <v>131</v>
      </c>
      <c r="J13" s="5" t="s">
        <v>132</v>
      </c>
      <c r="K13" s="5" t="s">
        <v>133</v>
      </c>
      <c r="L13" s="5" t="s">
        <v>134</v>
      </c>
      <c r="M13" s="5" t="s">
        <v>135</v>
      </c>
      <c r="N13" s="5" t="s">
        <v>136</v>
      </c>
      <c r="O13" s="5" t="s">
        <v>137</v>
      </c>
      <c r="P13" s="5" t="s">
        <v>138</v>
      </c>
    </row>
    <row r="16" customFormat="false" ht="15" hidden="false" customHeight="true" outlineLevel="0" collapsed="false">
      <c r="A16" s="6" t="s">
        <v>139</v>
      </c>
    </row>
    <row r="17" customFormat="false" ht="26.25" hidden="false" customHeight="true" outlineLevel="0" collapsed="false">
      <c r="A17" s="3" t="s">
        <v>140</v>
      </c>
      <c r="B17" s="3" t="s">
        <v>141</v>
      </c>
      <c r="C17" s="3" t="s">
        <v>142</v>
      </c>
      <c r="D17" s="3" t="s">
        <v>3</v>
      </c>
      <c r="E17" s="3" t="s">
        <v>143</v>
      </c>
      <c r="F17" s="3" t="s">
        <v>144</v>
      </c>
      <c r="G17" s="3" t="s">
        <v>145</v>
      </c>
      <c r="H17" s="3" t="s">
        <v>146</v>
      </c>
      <c r="I17" s="3" t="s">
        <v>147</v>
      </c>
      <c r="J17" s="3" t="s">
        <v>148</v>
      </c>
      <c r="K17" s="3" t="s">
        <v>149</v>
      </c>
      <c r="L17" s="3" t="s">
        <v>150</v>
      </c>
    </row>
    <row r="18" customFormat="false" ht="34.5" hidden="false" customHeight="true" outlineLevel="0" collapsed="false">
      <c r="A18" s="4" t="s">
        <v>151</v>
      </c>
      <c r="B18" s="4" t="s">
        <v>152</v>
      </c>
      <c r="C18" s="4" t="s">
        <v>152</v>
      </c>
      <c r="D18" s="4" t="s">
        <v>153</v>
      </c>
      <c r="E18" s="4" t="s">
        <v>154</v>
      </c>
      <c r="F18" s="4" t="s">
        <v>155</v>
      </c>
      <c r="G18" s="4" t="s">
        <v>156</v>
      </c>
      <c r="H18" s="4" t="s">
        <v>157</v>
      </c>
      <c r="I18" s="4" t="s">
        <v>158</v>
      </c>
      <c r="J18" s="4" t="s">
        <v>159</v>
      </c>
      <c r="K18" s="4" t="s">
        <v>160</v>
      </c>
      <c r="L18" s="4" t="s">
        <v>161</v>
      </c>
    </row>
    <row r="19" customFormat="false" ht="34.5" hidden="false" customHeight="true" outlineLevel="0" collapsed="false">
      <c r="A19" s="5" t="s">
        <v>162</v>
      </c>
      <c r="B19" s="5" t="s">
        <v>163</v>
      </c>
      <c r="C19" s="5" t="s">
        <v>164</v>
      </c>
      <c r="D19" s="5" t="s">
        <v>153</v>
      </c>
      <c r="E19" s="5" t="s">
        <v>165</v>
      </c>
      <c r="F19" s="5" t="s">
        <v>166</v>
      </c>
      <c r="G19" s="5" t="s">
        <v>167</v>
      </c>
      <c r="H19" s="5" t="s">
        <v>168</v>
      </c>
      <c r="I19" s="5" t="s">
        <v>169</v>
      </c>
      <c r="J19" s="5" t="s">
        <v>170</v>
      </c>
      <c r="K19" s="5" t="s">
        <v>171</v>
      </c>
      <c r="L19" s="5" t="s">
        <v>172</v>
      </c>
    </row>
    <row r="20" customFormat="false" ht="23.25" hidden="false" customHeight="true" outlineLevel="0" collapsed="false">
      <c r="A20" s="4" t="s">
        <v>173</v>
      </c>
      <c r="B20" s="4" t="s">
        <v>163</v>
      </c>
      <c r="C20" s="4" t="s">
        <v>164</v>
      </c>
      <c r="D20" s="4" t="s">
        <v>174</v>
      </c>
      <c r="E20" s="4" t="s">
        <v>175</v>
      </c>
      <c r="F20" s="4" t="s">
        <v>176</v>
      </c>
      <c r="G20" s="4" t="s">
        <v>177</v>
      </c>
      <c r="H20" s="4" t="s">
        <v>178</v>
      </c>
      <c r="I20" s="4" t="s">
        <v>179</v>
      </c>
      <c r="J20" s="4" t="s">
        <v>180</v>
      </c>
      <c r="K20" s="4" t="s">
        <v>181</v>
      </c>
      <c r="L20" s="4" t="s">
        <v>182</v>
      </c>
    </row>
    <row r="21" customFormat="false" ht="34.5" hidden="false" customHeight="true" outlineLevel="0" collapsed="false">
      <c r="A21" s="5" t="s">
        <v>183</v>
      </c>
      <c r="B21" s="5" t="s">
        <v>184</v>
      </c>
      <c r="C21" s="5" t="s">
        <v>185</v>
      </c>
      <c r="D21" s="5" t="s">
        <v>174</v>
      </c>
      <c r="E21" s="5" t="s">
        <v>186</v>
      </c>
      <c r="F21" s="5" t="s">
        <v>187</v>
      </c>
      <c r="G21" s="5" t="s">
        <v>188</v>
      </c>
      <c r="H21" s="5" t="s">
        <v>189</v>
      </c>
      <c r="I21" s="5" t="s">
        <v>190</v>
      </c>
      <c r="J21" s="5" t="s">
        <v>191</v>
      </c>
      <c r="K21" s="5" t="s">
        <v>192</v>
      </c>
      <c r="L21" s="5" t="s">
        <v>193</v>
      </c>
    </row>
    <row r="22" customFormat="false" ht="34.5" hidden="false" customHeight="true" outlineLevel="0" collapsed="false">
      <c r="A22" s="4" t="s">
        <v>194</v>
      </c>
      <c r="B22" s="4" t="s">
        <v>152</v>
      </c>
      <c r="C22" s="4" t="s">
        <v>152</v>
      </c>
      <c r="D22" s="4" t="s">
        <v>195</v>
      </c>
      <c r="E22" s="4" t="s">
        <v>196</v>
      </c>
      <c r="F22" s="4" t="s">
        <v>197</v>
      </c>
      <c r="G22" s="4" t="s">
        <v>198</v>
      </c>
      <c r="H22" s="4" t="s">
        <v>199</v>
      </c>
      <c r="I22" s="4" t="s">
        <v>200</v>
      </c>
      <c r="J22" s="4" t="s">
        <v>201</v>
      </c>
      <c r="K22" s="4" t="s">
        <v>202</v>
      </c>
      <c r="L22" s="4" t="s">
        <v>203</v>
      </c>
    </row>
    <row r="23" customFormat="false" ht="34.5" hidden="false" customHeight="true" outlineLevel="0" collapsed="false">
      <c r="A23" s="5" t="s">
        <v>204</v>
      </c>
      <c r="B23" s="5" t="s">
        <v>205</v>
      </c>
      <c r="C23" s="5" t="s">
        <v>205</v>
      </c>
      <c r="D23" s="5" t="s">
        <v>195</v>
      </c>
      <c r="E23" s="5" t="s">
        <v>206</v>
      </c>
      <c r="F23" s="5" t="s">
        <v>207</v>
      </c>
      <c r="G23" s="5" t="s">
        <v>208</v>
      </c>
      <c r="H23" s="5" t="s">
        <v>209</v>
      </c>
      <c r="I23" s="5" t="s">
        <v>210</v>
      </c>
      <c r="J23" s="5" t="s">
        <v>211</v>
      </c>
      <c r="K23" s="5" t="s">
        <v>212</v>
      </c>
      <c r="L23" s="5" t="s">
        <v>213</v>
      </c>
    </row>
    <row r="24" customFormat="false" ht="23.25" hidden="false" customHeight="true" outlineLevel="0" collapsed="false">
      <c r="A24" s="4" t="s">
        <v>214</v>
      </c>
      <c r="B24" s="4" t="s">
        <v>163</v>
      </c>
      <c r="C24" s="4" t="s">
        <v>164</v>
      </c>
      <c r="D24" s="4" t="s">
        <v>195</v>
      </c>
      <c r="E24" s="4" t="s">
        <v>215</v>
      </c>
      <c r="F24" s="4" t="s">
        <v>216</v>
      </c>
      <c r="G24" s="4" t="s">
        <v>217</v>
      </c>
      <c r="H24" s="4" t="s">
        <v>218</v>
      </c>
      <c r="I24" s="4" t="s">
        <v>219</v>
      </c>
      <c r="J24" s="4" t="s">
        <v>220</v>
      </c>
      <c r="K24" s="4" t="s">
        <v>221</v>
      </c>
      <c r="L24" s="4" t="s">
        <v>222</v>
      </c>
    </row>
    <row r="25" customFormat="false" ht="34.5" hidden="false" customHeight="true" outlineLevel="0" collapsed="false">
      <c r="A25" s="5" t="s">
        <v>223</v>
      </c>
      <c r="B25" s="5" t="s">
        <v>184</v>
      </c>
      <c r="C25" s="5" t="s">
        <v>185</v>
      </c>
      <c r="D25" s="5" t="s">
        <v>195</v>
      </c>
      <c r="E25" s="5" t="s">
        <v>224</v>
      </c>
      <c r="F25" s="5" t="s">
        <v>225</v>
      </c>
      <c r="G25" s="5" t="s">
        <v>226</v>
      </c>
      <c r="H25" s="5" t="s">
        <v>227</v>
      </c>
      <c r="I25" s="5" t="s">
        <v>228</v>
      </c>
      <c r="J25" s="5" t="s">
        <v>229</v>
      </c>
      <c r="K25" s="5" t="s">
        <v>230</v>
      </c>
      <c r="L25" s="5" t="s">
        <v>231</v>
      </c>
    </row>
    <row r="26" customFormat="false" ht="23.25" hidden="false" customHeight="true" outlineLevel="0" collapsed="false">
      <c r="A26" s="4" t="s">
        <v>232</v>
      </c>
      <c r="B26" s="4" t="s">
        <v>152</v>
      </c>
      <c r="C26" s="4" t="s">
        <v>152</v>
      </c>
      <c r="D26" s="4" t="s">
        <v>233</v>
      </c>
      <c r="E26" s="4" t="s">
        <v>234</v>
      </c>
      <c r="F26" s="4" t="s">
        <v>235</v>
      </c>
      <c r="G26" s="4" t="s">
        <v>236</v>
      </c>
      <c r="H26" s="4" t="s">
        <v>237</v>
      </c>
      <c r="I26" s="4" t="s">
        <v>238</v>
      </c>
      <c r="J26" s="4" t="s">
        <v>239</v>
      </c>
      <c r="K26" s="4" t="s">
        <v>240</v>
      </c>
      <c r="L26" s="4" t="s">
        <v>241</v>
      </c>
    </row>
    <row r="27" customFormat="false" ht="23.25" hidden="false" customHeight="true" outlineLevel="0" collapsed="false">
      <c r="A27" s="5" t="s">
        <v>242</v>
      </c>
      <c r="B27" s="5" t="s">
        <v>152</v>
      </c>
      <c r="C27" s="5" t="s">
        <v>152</v>
      </c>
      <c r="D27" s="5" t="s">
        <v>243</v>
      </c>
      <c r="E27" s="5" t="s">
        <v>244</v>
      </c>
      <c r="F27" s="5" t="s">
        <v>245</v>
      </c>
      <c r="G27" s="5" t="s">
        <v>246</v>
      </c>
      <c r="H27" s="5" t="s">
        <v>247</v>
      </c>
      <c r="I27" s="5" t="s">
        <v>248</v>
      </c>
      <c r="J27" s="5" t="s">
        <v>239</v>
      </c>
      <c r="K27" s="5" t="s">
        <v>249</v>
      </c>
      <c r="L27" s="5" t="s">
        <v>250</v>
      </c>
    </row>
    <row r="30" customFormat="false" ht="15" hidden="false" customHeight="true" outlineLevel="0" collapsed="false">
      <c r="A30" s="6" t="s">
        <v>251</v>
      </c>
    </row>
    <row r="31" customFormat="false" ht="15" hidden="false" customHeight="true" outlineLevel="0" collapsed="false">
      <c r="A31" s="3" t="s">
        <v>252</v>
      </c>
      <c r="B31" s="3" t="s">
        <v>253</v>
      </c>
      <c r="C31" s="3" t="s">
        <v>254</v>
      </c>
      <c r="D31" s="3" t="s">
        <v>255</v>
      </c>
      <c r="E31" s="3" t="s">
        <v>256</v>
      </c>
      <c r="F31" s="3" t="s">
        <v>257</v>
      </c>
      <c r="G31" s="3" t="s">
        <v>258</v>
      </c>
    </row>
    <row r="32" customFormat="false" ht="34.5" hidden="false" customHeight="true" outlineLevel="0" collapsed="false">
      <c r="A32" s="4" t="s">
        <v>153</v>
      </c>
      <c r="B32" s="4" t="s">
        <v>259</v>
      </c>
      <c r="C32" s="4" t="s">
        <v>260</v>
      </c>
      <c r="D32" s="4" t="s">
        <v>261</v>
      </c>
      <c r="E32" s="4" t="s">
        <v>262</v>
      </c>
      <c r="F32" s="4" t="s">
        <v>263</v>
      </c>
      <c r="G32" s="4" t="s">
        <v>264</v>
      </c>
    </row>
    <row r="33" customFormat="false" ht="34.5" hidden="false" customHeight="true" outlineLevel="0" collapsed="false">
      <c r="A33" s="5" t="s">
        <v>195</v>
      </c>
      <c r="B33" s="5" t="s">
        <v>265</v>
      </c>
      <c r="C33" s="5" t="s">
        <v>266</v>
      </c>
      <c r="D33" s="5" t="s">
        <v>267</v>
      </c>
      <c r="E33" s="5" t="s">
        <v>268</v>
      </c>
      <c r="F33" s="5" t="s">
        <v>269</v>
      </c>
      <c r="G33" s="5" t="s">
        <v>270</v>
      </c>
    </row>
    <row r="34" customFormat="false" ht="34.5" hidden="false" customHeight="true" outlineLevel="0" collapsed="false">
      <c r="A34" s="4" t="s">
        <v>233</v>
      </c>
      <c r="B34" s="4" t="s">
        <v>271</v>
      </c>
      <c r="C34" s="4" t="s">
        <v>272</v>
      </c>
      <c r="D34" s="4" t="s">
        <v>273</v>
      </c>
      <c r="E34" s="4" t="s">
        <v>274</v>
      </c>
      <c r="F34" s="4" t="s">
        <v>275</v>
      </c>
      <c r="G34" s="4" t="s">
        <v>276</v>
      </c>
    </row>
    <row r="35" customFormat="false" ht="34.5" hidden="false" customHeight="true" outlineLevel="0" collapsed="false">
      <c r="A35" s="5" t="s">
        <v>243</v>
      </c>
      <c r="B35" s="5" t="s">
        <v>277</v>
      </c>
      <c r="C35" s="5" t="s">
        <v>278</v>
      </c>
      <c r="D35" s="5" t="s">
        <v>279</v>
      </c>
      <c r="E35" s="5" t="s">
        <v>280</v>
      </c>
      <c r="F35" s="5" t="s">
        <v>281</v>
      </c>
      <c r="G35" s="5" t="s">
        <v>282</v>
      </c>
    </row>
    <row r="38" customFormat="false" ht="15" hidden="false" customHeight="false" outlineLevel="0" collapsed="false">
      <c r="A38" s="7" t="s">
        <v>283</v>
      </c>
      <c r="B38" s="7"/>
      <c r="C38" s="7"/>
      <c r="D38" s="7"/>
      <c r="E38" s="7"/>
      <c r="F38" s="7"/>
      <c r="G38" s="7"/>
      <c r="H38" s="7"/>
    </row>
    <row r="39" customFormat="false" ht="15" hidden="false" customHeight="false" outlineLevel="0" collapsed="false">
      <c r="A39" s="3" t="s">
        <v>284</v>
      </c>
      <c r="B39" s="3" t="s">
        <v>285</v>
      </c>
      <c r="C39" s="3" t="s">
        <v>286</v>
      </c>
      <c r="D39" s="3" t="s">
        <v>287</v>
      </c>
      <c r="E39" s="3" t="s">
        <v>288</v>
      </c>
      <c r="F39" s="3" t="s">
        <v>289</v>
      </c>
      <c r="G39" s="3" t="s">
        <v>290</v>
      </c>
      <c r="H39" s="3" t="s">
        <v>291</v>
      </c>
    </row>
    <row r="40" customFormat="false" ht="23.85" hidden="false" customHeight="false" outlineLevel="0" collapsed="false">
      <c r="A40" s="8" t="s">
        <v>153</v>
      </c>
      <c r="B40" s="8" t="s">
        <v>292</v>
      </c>
      <c r="C40" s="8" t="s">
        <v>293</v>
      </c>
      <c r="D40" s="8" t="s">
        <v>294</v>
      </c>
      <c r="E40" s="8" t="s">
        <v>295</v>
      </c>
      <c r="F40" s="8" t="s">
        <v>296</v>
      </c>
      <c r="G40" s="8" t="s">
        <v>297</v>
      </c>
      <c r="H40" s="8" t="s">
        <v>298</v>
      </c>
    </row>
    <row r="41" customFormat="false" ht="23.85" hidden="false" customHeight="false" outlineLevel="0" collapsed="false">
      <c r="A41" s="8" t="s">
        <v>153</v>
      </c>
      <c r="B41" s="8" t="s">
        <v>299</v>
      </c>
      <c r="C41" s="8" t="s">
        <v>300</v>
      </c>
      <c r="D41" s="8" t="s">
        <v>301</v>
      </c>
      <c r="E41" s="8" t="s">
        <v>302</v>
      </c>
      <c r="F41" s="8" t="s">
        <v>303</v>
      </c>
      <c r="G41" s="8" t="s">
        <v>304</v>
      </c>
      <c r="H41" s="8" t="s">
        <v>305</v>
      </c>
    </row>
    <row r="42" customFormat="false" ht="23.85" hidden="false" customHeight="false" outlineLevel="0" collapsed="false">
      <c r="A42" s="8" t="s">
        <v>153</v>
      </c>
      <c r="B42" s="8" t="s">
        <v>306</v>
      </c>
      <c r="C42" s="8" t="s">
        <v>307</v>
      </c>
      <c r="D42" s="8" t="s">
        <v>308</v>
      </c>
      <c r="E42" s="8" t="s">
        <v>309</v>
      </c>
      <c r="F42" s="8" t="s">
        <v>310</v>
      </c>
      <c r="G42" s="8" t="s">
        <v>311</v>
      </c>
      <c r="H42" s="8" t="s">
        <v>312</v>
      </c>
    </row>
    <row r="43" customFormat="false" ht="23.85" hidden="false" customHeight="false" outlineLevel="0" collapsed="false">
      <c r="A43" s="8" t="s">
        <v>153</v>
      </c>
      <c r="B43" s="8" t="s">
        <v>313</v>
      </c>
      <c r="C43" s="8" t="s">
        <v>314</v>
      </c>
      <c r="D43" s="8" t="s">
        <v>315</v>
      </c>
      <c r="E43" s="8" t="s">
        <v>316</v>
      </c>
      <c r="F43" s="8" t="s">
        <v>317</v>
      </c>
      <c r="G43" s="8" t="s">
        <v>318</v>
      </c>
      <c r="H43" s="8" t="s">
        <v>319</v>
      </c>
    </row>
    <row r="44" customFormat="false" ht="23.85" hidden="false" customHeight="false" outlineLevel="0" collapsed="false">
      <c r="A44" s="8" t="s">
        <v>153</v>
      </c>
      <c r="B44" s="8" t="s">
        <v>320</v>
      </c>
      <c r="C44" s="8" t="s">
        <v>321</v>
      </c>
      <c r="D44" s="8" t="s">
        <v>322</v>
      </c>
      <c r="E44" s="8" t="s">
        <v>323</v>
      </c>
      <c r="F44" s="8" t="s">
        <v>324</v>
      </c>
      <c r="G44" s="8" t="s">
        <v>325</v>
      </c>
      <c r="H44" s="8" t="s">
        <v>326</v>
      </c>
    </row>
    <row r="45" customFormat="false" ht="23.85" hidden="false" customHeight="false" outlineLevel="0" collapsed="false">
      <c r="A45" s="8" t="s">
        <v>195</v>
      </c>
      <c r="B45" s="8" t="s">
        <v>292</v>
      </c>
      <c r="C45" s="8" t="s">
        <v>327</v>
      </c>
      <c r="D45" s="8" t="s">
        <v>328</v>
      </c>
      <c r="E45" s="8" t="s">
        <v>329</v>
      </c>
      <c r="F45" s="8" t="s">
        <v>330</v>
      </c>
      <c r="G45" s="8" t="s">
        <v>297</v>
      </c>
      <c r="H45" s="8" t="s">
        <v>331</v>
      </c>
    </row>
    <row r="46" customFormat="false" ht="23.85" hidden="false" customHeight="false" outlineLevel="0" collapsed="false">
      <c r="A46" s="8" t="s">
        <v>195</v>
      </c>
      <c r="B46" s="8" t="s">
        <v>299</v>
      </c>
      <c r="C46" s="8" t="s">
        <v>332</v>
      </c>
      <c r="D46" s="8" t="s">
        <v>333</v>
      </c>
      <c r="E46" s="8" t="s">
        <v>334</v>
      </c>
      <c r="F46" s="8" t="s">
        <v>335</v>
      </c>
      <c r="G46" s="8" t="s">
        <v>304</v>
      </c>
      <c r="H46" s="8" t="s">
        <v>336</v>
      </c>
    </row>
    <row r="47" customFormat="false" ht="23.85" hidden="false" customHeight="false" outlineLevel="0" collapsed="false">
      <c r="A47" s="8" t="s">
        <v>195</v>
      </c>
      <c r="B47" s="8" t="s">
        <v>306</v>
      </c>
      <c r="C47" s="8" t="s">
        <v>337</v>
      </c>
      <c r="D47" s="8" t="s">
        <v>338</v>
      </c>
      <c r="E47" s="8" t="s">
        <v>339</v>
      </c>
      <c r="F47" s="8" t="s">
        <v>340</v>
      </c>
      <c r="G47" s="8" t="s">
        <v>311</v>
      </c>
      <c r="H47" s="8" t="s">
        <v>341</v>
      </c>
    </row>
    <row r="48" customFormat="false" ht="23.85" hidden="false" customHeight="false" outlineLevel="0" collapsed="false">
      <c r="A48" s="8" t="s">
        <v>195</v>
      </c>
      <c r="B48" s="8" t="s">
        <v>313</v>
      </c>
      <c r="C48" s="8" t="s">
        <v>342</v>
      </c>
      <c r="D48" s="8" t="s">
        <v>343</v>
      </c>
      <c r="E48" s="8" t="s">
        <v>344</v>
      </c>
      <c r="F48" s="8" t="s">
        <v>345</v>
      </c>
      <c r="G48" s="8" t="s">
        <v>346</v>
      </c>
      <c r="H48" s="8" t="s">
        <v>347</v>
      </c>
    </row>
    <row r="49" customFormat="false" ht="23.85" hidden="false" customHeight="false" outlineLevel="0" collapsed="false">
      <c r="A49" s="8" t="s">
        <v>195</v>
      </c>
      <c r="B49" s="8" t="s">
        <v>320</v>
      </c>
      <c r="C49" s="8" t="s">
        <v>348</v>
      </c>
      <c r="D49" s="8" t="s">
        <v>349</v>
      </c>
      <c r="E49" s="8" t="s">
        <v>350</v>
      </c>
      <c r="F49" s="8" t="s">
        <v>351</v>
      </c>
      <c r="G49" s="8" t="s">
        <v>352</v>
      </c>
      <c r="H49" s="8" t="s">
        <v>353</v>
      </c>
    </row>
    <row r="50" customFormat="false" ht="23.85" hidden="false" customHeight="false" outlineLevel="0" collapsed="false">
      <c r="A50" s="8" t="s">
        <v>233</v>
      </c>
      <c r="B50" s="8" t="s">
        <v>292</v>
      </c>
      <c r="C50" s="8" t="s">
        <v>354</v>
      </c>
      <c r="D50" s="8" t="s">
        <v>355</v>
      </c>
      <c r="E50" s="8" t="s">
        <v>356</v>
      </c>
      <c r="F50" s="8" t="s">
        <v>357</v>
      </c>
      <c r="G50" s="8" t="s">
        <v>297</v>
      </c>
      <c r="H50" s="8" t="s">
        <v>358</v>
      </c>
    </row>
    <row r="51" customFormat="false" ht="23.85" hidden="false" customHeight="false" outlineLevel="0" collapsed="false">
      <c r="A51" s="8" t="s">
        <v>233</v>
      </c>
      <c r="B51" s="8" t="s">
        <v>299</v>
      </c>
      <c r="C51" s="8" t="s">
        <v>359</v>
      </c>
      <c r="D51" s="8" t="s">
        <v>360</v>
      </c>
      <c r="E51" s="8" t="s">
        <v>361</v>
      </c>
      <c r="F51" s="8" t="s">
        <v>362</v>
      </c>
      <c r="G51" s="8" t="s">
        <v>304</v>
      </c>
      <c r="H51" s="8" t="s">
        <v>363</v>
      </c>
    </row>
    <row r="52" customFormat="false" ht="23.85" hidden="false" customHeight="false" outlineLevel="0" collapsed="false">
      <c r="A52" s="8" t="s">
        <v>233</v>
      </c>
      <c r="B52" s="8" t="s">
        <v>306</v>
      </c>
      <c r="C52" s="8" t="s">
        <v>364</v>
      </c>
      <c r="D52" s="8" t="s">
        <v>365</v>
      </c>
      <c r="E52" s="8" t="s">
        <v>366</v>
      </c>
      <c r="F52" s="8" t="s">
        <v>367</v>
      </c>
      <c r="G52" s="8" t="s">
        <v>368</v>
      </c>
      <c r="H52" s="8" t="s">
        <v>369</v>
      </c>
    </row>
    <row r="53" customFormat="false" ht="23.85" hidden="false" customHeight="false" outlineLevel="0" collapsed="false">
      <c r="A53" s="8" t="s">
        <v>233</v>
      </c>
      <c r="B53" s="8" t="s">
        <v>313</v>
      </c>
      <c r="C53" s="8" t="s">
        <v>370</v>
      </c>
      <c r="D53" s="8" t="s">
        <v>371</v>
      </c>
      <c r="E53" s="8" t="s">
        <v>372</v>
      </c>
      <c r="F53" s="8" t="s">
        <v>373</v>
      </c>
      <c r="G53" s="8" t="s">
        <v>346</v>
      </c>
      <c r="H53" s="8" t="s">
        <v>374</v>
      </c>
    </row>
    <row r="54" customFormat="false" ht="23.85" hidden="false" customHeight="false" outlineLevel="0" collapsed="false">
      <c r="A54" s="8" t="s">
        <v>233</v>
      </c>
      <c r="B54" s="8" t="s">
        <v>320</v>
      </c>
      <c r="C54" s="8" t="s">
        <v>375</v>
      </c>
      <c r="D54" s="8" t="s">
        <v>376</v>
      </c>
      <c r="E54" s="8" t="s">
        <v>377</v>
      </c>
      <c r="F54" s="8" t="s">
        <v>378</v>
      </c>
      <c r="G54" s="8" t="s">
        <v>352</v>
      </c>
      <c r="H54" s="8" t="s">
        <v>379</v>
      </c>
    </row>
    <row r="55" customFormat="false" ht="23.85" hidden="false" customHeight="false" outlineLevel="0" collapsed="false">
      <c r="A55" s="8" t="s">
        <v>243</v>
      </c>
      <c r="B55" s="8" t="s">
        <v>292</v>
      </c>
      <c r="C55" s="8" t="s">
        <v>380</v>
      </c>
      <c r="D55" s="8" t="s">
        <v>381</v>
      </c>
      <c r="E55" s="8" t="s">
        <v>382</v>
      </c>
      <c r="F55" s="8" t="s">
        <v>383</v>
      </c>
      <c r="G55" s="8" t="s">
        <v>297</v>
      </c>
      <c r="H55" s="8" t="s">
        <v>384</v>
      </c>
    </row>
    <row r="56" customFormat="false" ht="23.85" hidden="false" customHeight="false" outlineLevel="0" collapsed="false">
      <c r="A56" s="8" t="s">
        <v>243</v>
      </c>
      <c r="B56" s="8" t="s">
        <v>299</v>
      </c>
      <c r="C56" s="8" t="s">
        <v>385</v>
      </c>
      <c r="D56" s="8" t="s">
        <v>386</v>
      </c>
      <c r="E56" s="8" t="s">
        <v>387</v>
      </c>
      <c r="F56" s="8" t="s">
        <v>388</v>
      </c>
      <c r="G56" s="8" t="s">
        <v>304</v>
      </c>
      <c r="H56" s="8" t="s">
        <v>389</v>
      </c>
    </row>
    <row r="57" customFormat="false" ht="23.85" hidden="false" customHeight="false" outlineLevel="0" collapsed="false">
      <c r="A57" s="8" t="s">
        <v>243</v>
      </c>
      <c r="B57" s="8" t="s">
        <v>306</v>
      </c>
      <c r="C57" s="8" t="s">
        <v>390</v>
      </c>
      <c r="D57" s="8" t="s">
        <v>391</v>
      </c>
      <c r="E57" s="8" t="s">
        <v>392</v>
      </c>
      <c r="F57" s="8" t="s">
        <v>393</v>
      </c>
      <c r="G57" s="8" t="s">
        <v>394</v>
      </c>
      <c r="H57" s="8" t="s">
        <v>312</v>
      </c>
    </row>
    <row r="58" customFormat="false" ht="23.85" hidden="false" customHeight="false" outlineLevel="0" collapsed="false">
      <c r="A58" s="8" t="s">
        <v>243</v>
      </c>
      <c r="B58" s="8" t="s">
        <v>313</v>
      </c>
      <c r="C58" s="8" t="s">
        <v>395</v>
      </c>
      <c r="D58" s="8" t="s">
        <v>396</v>
      </c>
      <c r="E58" s="8" t="s">
        <v>397</v>
      </c>
      <c r="F58" s="8" t="s">
        <v>398</v>
      </c>
      <c r="G58" s="8" t="s">
        <v>346</v>
      </c>
      <c r="H58" s="8" t="s">
        <v>399</v>
      </c>
    </row>
    <row r="59" customFormat="false" ht="23.85" hidden="false" customHeight="false" outlineLevel="0" collapsed="false">
      <c r="A59" s="8" t="s">
        <v>243</v>
      </c>
      <c r="B59" s="8" t="s">
        <v>320</v>
      </c>
      <c r="C59" s="8" t="s">
        <v>400</v>
      </c>
      <c r="D59" s="8" t="s">
        <v>401</v>
      </c>
      <c r="E59" s="8" t="s">
        <v>402</v>
      </c>
      <c r="F59" s="8" t="s">
        <v>403</v>
      </c>
      <c r="G59" s="8" t="s">
        <v>352</v>
      </c>
      <c r="H59" s="8" t="s">
        <v>404</v>
      </c>
    </row>
  </sheetData>
  <mergeCells count="1">
    <mergeCell ref="A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9" min="3" style="1" width="14"/>
    <col collapsed="false" customWidth="true" hidden="false" outlineLevel="0" max="10" min="10" style="1" width="2"/>
  </cols>
  <sheetData>
    <row r="1" customFormat="false" ht="39.75" hidden="false" customHeight="true" outlineLevel="0" collapsed="false">
      <c r="B1" s="9" t="s">
        <v>405</v>
      </c>
      <c r="C1" s="9"/>
      <c r="D1" s="9"/>
      <c r="E1" s="9"/>
      <c r="F1" s="9"/>
      <c r="G1" s="9"/>
      <c r="H1" s="9"/>
      <c r="I1" s="9"/>
    </row>
    <row r="2" customFormat="false" ht="21.75" hidden="false" customHeight="true" outlineLevel="0" collapsed="false">
      <c r="B2" s="10" t="s">
        <v>406</v>
      </c>
      <c r="C2" s="10"/>
      <c r="D2" s="10"/>
      <c r="E2" s="10"/>
      <c r="F2" s="10"/>
      <c r="G2" s="10"/>
      <c r="H2" s="10"/>
      <c r="I2" s="10"/>
    </row>
    <row r="3" customFormat="false" ht="7.5" hidden="false" customHeight="true" outlineLevel="0" collapsed="false">
      <c r="B3" s="11"/>
      <c r="C3" s="11"/>
      <c r="D3" s="11"/>
      <c r="E3" s="11"/>
      <c r="F3" s="11"/>
      <c r="G3" s="11"/>
      <c r="H3" s="11"/>
      <c r="I3" s="11"/>
    </row>
    <row r="4" customFormat="false" ht="24" hidden="false" customHeight="true" outlineLevel="0" collapsed="false">
      <c r="B4" s="12" t="s">
        <v>407</v>
      </c>
      <c r="C4" s="12"/>
      <c r="D4" s="12"/>
      <c r="E4" s="12"/>
      <c r="F4" s="12"/>
      <c r="G4" s="12"/>
      <c r="H4" s="12"/>
      <c r="I4" s="12"/>
    </row>
    <row r="5" customFormat="false" ht="19.5" hidden="false" customHeight="true" outlineLevel="0" collapsed="false">
      <c r="B5" s="13" t="s">
        <v>408</v>
      </c>
      <c r="C5" s="13" t="s">
        <v>409</v>
      </c>
      <c r="D5" s="13" t="s">
        <v>410</v>
      </c>
      <c r="E5" s="13" t="s">
        <v>411</v>
      </c>
      <c r="F5" s="13" t="s">
        <v>412</v>
      </c>
      <c r="G5" s="13" t="s">
        <v>413</v>
      </c>
      <c r="H5" s="13" t="s">
        <v>414</v>
      </c>
      <c r="I5" s="11"/>
    </row>
    <row r="6" customFormat="false" ht="19.5" hidden="false" customHeight="true" outlineLevel="0" collapsed="false">
      <c r="B6" s="14" t="s">
        <v>415</v>
      </c>
      <c r="C6" s="15" t="n">
        <f aca="false">'1. Input'!B5</f>
        <v>1300</v>
      </c>
      <c r="D6" s="16" t="n">
        <v>0</v>
      </c>
      <c r="E6" s="17" t="n">
        <f aca="false">IF(C6&gt;0,D6/C6,0)</f>
        <v>0</v>
      </c>
      <c r="F6" s="18" t="s">
        <v>416</v>
      </c>
      <c r="G6" s="19" t="s">
        <v>417</v>
      </c>
      <c r="H6" s="20" t="s">
        <v>418</v>
      </c>
      <c r="I6" s="21"/>
    </row>
    <row r="7" customFormat="false" ht="19.5" hidden="false" customHeight="true" outlineLevel="0" collapsed="false">
      <c r="B7" s="22" t="s">
        <v>419</v>
      </c>
      <c r="C7" s="23" t="n">
        <f aca="false">'4. Funnel'!D3</f>
        <v>0</v>
      </c>
      <c r="D7" s="24" t="n">
        <v>0</v>
      </c>
      <c r="E7" s="25" t="n">
        <f aca="false">IF(C7&gt;0,D7/C7,0)</f>
        <v>0</v>
      </c>
      <c r="F7" s="26" t="s">
        <v>416</v>
      </c>
      <c r="G7" s="27" t="s">
        <v>420</v>
      </c>
      <c r="H7" s="28" t="s">
        <v>421</v>
      </c>
      <c r="I7" s="29"/>
    </row>
    <row r="8" customFormat="false" ht="19.5" hidden="false" customHeight="true" outlineLevel="0" collapsed="false">
      <c r="B8" s="14" t="s">
        <v>422</v>
      </c>
      <c r="C8" s="15" t="n">
        <f aca="false">'4. Funnel'!D4</f>
        <v>0</v>
      </c>
      <c r="D8" s="16" t="n">
        <v>0</v>
      </c>
      <c r="E8" s="17" t="n">
        <f aca="false">IF(C8&gt;0,D8/C8,0)</f>
        <v>0</v>
      </c>
      <c r="F8" s="18" t="s">
        <v>416</v>
      </c>
      <c r="G8" s="19" t="s">
        <v>420</v>
      </c>
      <c r="H8" s="20" t="s">
        <v>421</v>
      </c>
      <c r="I8" s="21"/>
    </row>
    <row r="9" customFormat="false" ht="19.5" hidden="false" customHeight="true" outlineLevel="0" collapsed="false">
      <c r="B9" s="22" t="s">
        <v>423</v>
      </c>
      <c r="C9" s="23" t="n">
        <f aca="false">'2. Paid Media'!C10</f>
        <v>425000000</v>
      </c>
      <c r="D9" s="24" t="n">
        <v>0</v>
      </c>
      <c r="E9" s="25" t="n">
        <f aca="false">IF(C9&gt;0,D9/C9,0)</f>
        <v>0</v>
      </c>
      <c r="F9" s="26" t="s">
        <v>416</v>
      </c>
      <c r="G9" s="27" t="s">
        <v>424</v>
      </c>
      <c r="H9" s="28" t="s">
        <v>425</v>
      </c>
      <c r="I9" s="29"/>
    </row>
    <row r="10" customFormat="false" ht="19.5" hidden="false" customHeight="true" outlineLevel="0" collapsed="false">
      <c r="B10" s="14" t="s">
        <v>426</v>
      </c>
      <c r="C10" s="15" t="n">
        <v>200000</v>
      </c>
      <c r="D10" s="16" t="n">
        <v>0</v>
      </c>
      <c r="E10" s="17" t="n">
        <f aca="false">IF(C10&gt;0,D10/C10,0)</f>
        <v>0</v>
      </c>
      <c r="F10" s="18" t="s">
        <v>416</v>
      </c>
      <c r="G10" s="19" t="s">
        <v>427</v>
      </c>
      <c r="H10" s="20" t="s">
        <v>428</v>
      </c>
      <c r="I10" s="21"/>
    </row>
    <row r="11" customFormat="false" ht="19.5" hidden="false" customHeight="true" outlineLevel="0" collapsed="false">
      <c r="B11" s="22" t="s">
        <v>429</v>
      </c>
      <c r="C11" s="23" t="n">
        <v>0.3</v>
      </c>
      <c r="D11" s="24" t="n">
        <v>0</v>
      </c>
      <c r="E11" s="25" t="n">
        <f aca="false">IF(C11&gt;0,D11/C11,0)</f>
        <v>0</v>
      </c>
      <c r="F11" s="26" t="s">
        <v>416</v>
      </c>
      <c r="G11" s="27" t="s">
        <v>420</v>
      </c>
      <c r="H11" s="28" t="s">
        <v>430</v>
      </c>
      <c r="I11" s="29"/>
    </row>
    <row r="12" customFormat="false" ht="19.5" hidden="false" customHeight="true" outlineLevel="0" collapsed="false">
      <c r="B12" s="14" t="s">
        <v>431</v>
      </c>
      <c r="C12" s="15" t="n">
        <v>0.35</v>
      </c>
      <c r="D12" s="16" t="n">
        <v>0</v>
      </c>
      <c r="E12" s="17" t="n">
        <f aca="false">IF(C12&gt;0,D12/C12,0)</f>
        <v>0</v>
      </c>
      <c r="F12" s="18" t="s">
        <v>416</v>
      </c>
      <c r="G12" s="19" t="s">
        <v>420</v>
      </c>
      <c r="H12" s="20" t="s">
        <v>430</v>
      </c>
      <c r="I12" s="21"/>
    </row>
    <row r="13" customFormat="false" ht="19.5" hidden="false" customHeight="true" outlineLevel="0" collapsed="false">
      <c r="B13" s="22" t="s">
        <v>432</v>
      </c>
      <c r="C13" s="23" t="n">
        <v>0.85</v>
      </c>
      <c r="D13" s="24" t="n">
        <v>0</v>
      </c>
      <c r="E13" s="25" t="n">
        <f aca="false">IF(C13&gt;0,D13/C13,0)</f>
        <v>0</v>
      </c>
      <c r="F13" s="26" t="s">
        <v>416</v>
      </c>
      <c r="G13" s="27" t="s">
        <v>427</v>
      </c>
      <c r="H13" s="28" t="s">
        <v>428</v>
      </c>
      <c r="I13" s="29"/>
    </row>
    <row r="14" customFormat="false" ht="9.75" hidden="false" customHeight="true" outlineLevel="0" collapsed="false">
      <c r="B14" s="11"/>
      <c r="C14" s="11"/>
      <c r="D14" s="11"/>
      <c r="E14" s="11"/>
      <c r="F14" s="11"/>
      <c r="G14" s="11"/>
      <c r="H14" s="11"/>
      <c r="I14" s="11"/>
    </row>
    <row r="15" customFormat="false" ht="24" hidden="false" customHeight="true" outlineLevel="0" collapsed="false">
      <c r="B15" s="30" t="s">
        <v>433</v>
      </c>
      <c r="C15" s="30"/>
      <c r="D15" s="30"/>
      <c r="E15" s="30"/>
      <c r="F15" s="30"/>
      <c r="G15" s="30"/>
      <c r="H15" s="30"/>
      <c r="I15" s="30"/>
    </row>
    <row r="16" customFormat="false" ht="19.5" hidden="false" customHeight="true" outlineLevel="0" collapsed="false">
      <c r="B16" s="31" t="s">
        <v>434</v>
      </c>
      <c r="C16" s="31" t="s">
        <v>435</v>
      </c>
      <c r="D16" s="31" t="s">
        <v>436</v>
      </c>
      <c r="E16" s="31" t="s">
        <v>437</v>
      </c>
      <c r="F16" s="31" t="s">
        <v>438</v>
      </c>
      <c r="G16" s="31" t="s">
        <v>439</v>
      </c>
      <c r="H16" s="31" t="s">
        <v>440</v>
      </c>
      <c r="I16" s="11"/>
    </row>
    <row r="17" customFormat="false" ht="18" hidden="false" customHeight="true" outlineLevel="0" collapsed="false">
      <c r="B17" s="22" t="s">
        <v>441</v>
      </c>
      <c r="C17" s="32" t="n">
        <v>0.38</v>
      </c>
      <c r="D17" s="33" t="n">
        <v>3230000000</v>
      </c>
      <c r="E17" s="34" t="s">
        <v>442</v>
      </c>
      <c r="F17" s="33" t="n">
        <v>120000</v>
      </c>
      <c r="G17" s="35" t="s">
        <v>443</v>
      </c>
      <c r="H17" s="28" t="s">
        <v>444</v>
      </c>
      <c r="I17" s="29"/>
    </row>
    <row r="18" customFormat="false" ht="18" hidden="false" customHeight="true" outlineLevel="0" collapsed="false">
      <c r="B18" s="36" t="s">
        <v>445</v>
      </c>
      <c r="C18" s="37" t="n">
        <v>0.18</v>
      </c>
      <c r="D18" s="38" t="n">
        <v>1530000000</v>
      </c>
      <c r="E18" s="39" t="s">
        <v>446</v>
      </c>
      <c r="F18" s="38" t="n">
        <v>180000</v>
      </c>
      <c r="G18" s="40" t="s">
        <v>447</v>
      </c>
      <c r="H18" s="41" t="s">
        <v>448</v>
      </c>
      <c r="I18" s="42"/>
    </row>
    <row r="19" customFormat="false" ht="18" hidden="false" customHeight="true" outlineLevel="0" collapsed="false">
      <c r="B19" s="22" t="s">
        <v>449</v>
      </c>
      <c r="C19" s="32" t="n">
        <v>0.07</v>
      </c>
      <c r="D19" s="33" t="n">
        <v>595000000</v>
      </c>
      <c r="E19" s="34" t="s">
        <v>450</v>
      </c>
      <c r="F19" s="43" t="s">
        <v>451</v>
      </c>
      <c r="G19" s="35" t="s">
        <v>447</v>
      </c>
      <c r="H19" s="28" t="s">
        <v>452</v>
      </c>
      <c r="I19" s="29"/>
    </row>
    <row r="20" customFormat="false" ht="18" hidden="false" customHeight="true" outlineLevel="0" collapsed="false">
      <c r="B20" s="36" t="s">
        <v>453</v>
      </c>
      <c r="C20" s="37" t="n">
        <v>0.1</v>
      </c>
      <c r="D20" s="38" t="n">
        <v>850000000</v>
      </c>
      <c r="E20" s="39" t="s">
        <v>454</v>
      </c>
      <c r="F20" s="38" t="n">
        <v>90000</v>
      </c>
      <c r="G20" s="40" t="s">
        <v>443</v>
      </c>
      <c r="H20" s="41" t="s">
        <v>455</v>
      </c>
      <c r="I20" s="42"/>
    </row>
    <row r="21" customFormat="false" ht="18" hidden="false" customHeight="true" outlineLevel="0" collapsed="false">
      <c r="B21" s="22" t="s">
        <v>456</v>
      </c>
      <c r="C21" s="32" t="n">
        <v>0.07</v>
      </c>
      <c r="D21" s="33" t="n">
        <v>595000000</v>
      </c>
      <c r="E21" s="34" t="s">
        <v>457</v>
      </c>
      <c r="F21" s="33" t="n">
        <v>80000</v>
      </c>
      <c r="G21" s="35" t="s">
        <v>458</v>
      </c>
      <c r="H21" s="28" t="s">
        <v>459</v>
      </c>
      <c r="I21" s="29"/>
    </row>
    <row r="22" customFormat="false" ht="18" hidden="false" customHeight="true" outlineLevel="0" collapsed="false">
      <c r="B22" s="36" t="s">
        <v>460</v>
      </c>
      <c r="C22" s="37" t="n">
        <v>0.05</v>
      </c>
      <c r="D22" s="38" t="n">
        <v>425000000</v>
      </c>
      <c r="E22" s="39" t="s">
        <v>461</v>
      </c>
      <c r="F22" s="38" t="n">
        <v>50000</v>
      </c>
      <c r="G22" s="40" t="s">
        <v>462</v>
      </c>
      <c r="H22" s="41" t="s">
        <v>448</v>
      </c>
      <c r="I22" s="42"/>
    </row>
    <row r="23" customFormat="false" ht="18" hidden="false" customHeight="true" outlineLevel="0" collapsed="false">
      <c r="B23" s="22" t="s">
        <v>463</v>
      </c>
      <c r="C23" s="32" t="n">
        <v>0.12</v>
      </c>
      <c r="D23" s="33" t="n">
        <v>1020000000</v>
      </c>
      <c r="E23" s="34" t="s">
        <v>464</v>
      </c>
      <c r="F23" s="33" t="n">
        <v>150000</v>
      </c>
      <c r="G23" s="35" t="s">
        <v>447</v>
      </c>
      <c r="H23" s="28" t="s">
        <v>465</v>
      </c>
      <c r="I23" s="29"/>
    </row>
    <row r="24" customFormat="false" ht="18" hidden="false" customHeight="true" outlineLevel="0" collapsed="false">
      <c r="B24" s="36" t="s">
        <v>466</v>
      </c>
      <c r="C24" s="37" t="n">
        <v>0.05</v>
      </c>
      <c r="D24" s="38" t="n">
        <v>425000000</v>
      </c>
      <c r="E24" s="39" t="s">
        <v>467</v>
      </c>
      <c r="F24" s="44" t="s">
        <v>451</v>
      </c>
      <c r="G24" s="40" t="s">
        <v>468</v>
      </c>
      <c r="H24" s="41" t="s">
        <v>469</v>
      </c>
      <c r="I24" s="42"/>
    </row>
    <row r="25" customFormat="false" ht="21.75" hidden="false" customHeight="true" outlineLevel="0" collapsed="false">
      <c r="B25" s="45" t="s">
        <v>470</v>
      </c>
      <c r="C25" s="46" t="n">
        <v>1.02</v>
      </c>
      <c r="D25" s="47" t="n">
        <v>8670000000</v>
      </c>
      <c r="E25" s="48"/>
      <c r="F25" s="48"/>
      <c r="G25" s="48"/>
      <c r="H25" s="48"/>
      <c r="I25" s="48"/>
    </row>
    <row r="26" customFormat="false" ht="9.75" hidden="false" customHeight="true" outlineLevel="0" collapsed="false">
      <c r="B26" s="11"/>
      <c r="C26" s="11"/>
      <c r="D26" s="11"/>
      <c r="E26" s="11"/>
      <c r="F26" s="11"/>
      <c r="G26" s="11"/>
      <c r="H26" s="11"/>
      <c r="I26" s="11"/>
    </row>
    <row r="27" customFormat="false" ht="24" hidden="false" customHeight="true" outlineLevel="0" collapsed="false">
      <c r="B27" s="49" t="s">
        <v>471</v>
      </c>
      <c r="C27" s="49"/>
      <c r="D27" s="49"/>
      <c r="E27" s="49"/>
      <c r="F27" s="49"/>
      <c r="G27" s="49"/>
      <c r="H27" s="49"/>
      <c r="I27" s="49"/>
    </row>
    <row r="28" customFormat="false" ht="19.5" hidden="false" customHeight="true" outlineLevel="0" collapsed="false">
      <c r="B28" s="50" t="s">
        <v>472</v>
      </c>
      <c r="C28" s="50" t="s">
        <v>473</v>
      </c>
      <c r="D28" s="50" t="s">
        <v>474</v>
      </c>
      <c r="E28" s="50" t="s">
        <v>475</v>
      </c>
      <c r="F28" s="50" t="s">
        <v>476</v>
      </c>
      <c r="G28" s="50" t="s">
        <v>477</v>
      </c>
      <c r="H28" s="50" t="s">
        <v>478</v>
      </c>
      <c r="I28" s="50" t="s">
        <v>479</v>
      </c>
    </row>
    <row r="29" customFormat="false" ht="18" hidden="false" customHeight="true" outlineLevel="0" collapsed="false">
      <c r="B29" s="14" t="s">
        <v>151</v>
      </c>
      <c r="C29" s="51" t="s">
        <v>153</v>
      </c>
      <c r="D29" s="52" t="n">
        <v>200</v>
      </c>
      <c r="E29" s="53" t="n">
        <v>0.85</v>
      </c>
      <c r="F29" s="52" t="n">
        <v>405838877</v>
      </c>
      <c r="G29" s="52" t="n">
        <v>192239468</v>
      </c>
      <c r="H29" s="52" t="n">
        <v>106799704</v>
      </c>
      <c r="I29" s="52" t="n">
        <v>74759793</v>
      </c>
    </row>
    <row r="30" customFormat="false" ht="18" hidden="false" customHeight="true" outlineLevel="0" collapsed="false">
      <c r="B30" s="14" t="s">
        <v>162</v>
      </c>
      <c r="C30" s="51" t="s">
        <v>153</v>
      </c>
      <c r="D30" s="52" t="n">
        <v>60</v>
      </c>
      <c r="E30" s="53" t="n">
        <v>0.85</v>
      </c>
      <c r="F30" s="52" t="n">
        <v>121751663</v>
      </c>
      <c r="G30" s="52" t="n">
        <v>57671840</v>
      </c>
      <c r="H30" s="52" t="n">
        <v>32039911</v>
      </c>
      <c r="I30" s="52" t="n">
        <v>22427938</v>
      </c>
    </row>
    <row r="31" customFormat="false" ht="18" hidden="false" customHeight="true" outlineLevel="0" collapsed="false">
      <c r="B31" s="14" t="s">
        <v>173</v>
      </c>
      <c r="C31" s="51" t="s">
        <v>153</v>
      </c>
      <c r="D31" s="52" t="n">
        <v>60</v>
      </c>
      <c r="E31" s="53" t="n">
        <v>0.85</v>
      </c>
      <c r="F31" s="52" t="n">
        <v>121751663</v>
      </c>
      <c r="G31" s="52" t="n">
        <v>57671840</v>
      </c>
      <c r="H31" s="52" t="n">
        <v>32039911</v>
      </c>
      <c r="I31" s="52" t="n">
        <v>22427938</v>
      </c>
    </row>
    <row r="32" customFormat="false" ht="18" hidden="false" customHeight="true" outlineLevel="0" collapsed="false">
      <c r="B32" s="14" t="s">
        <v>183</v>
      </c>
      <c r="C32" s="51" t="s">
        <v>153</v>
      </c>
      <c r="D32" s="52" t="n">
        <v>60</v>
      </c>
      <c r="E32" s="53" t="n">
        <v>0.85</v>
      </c>
      <c r="F32" s="52" t="n">
        <v>121751663</v>
      </c>
      <c r="G32" s="52" t="n">
        <v>57671840</v>
      </c>
      <c r="H32" s="52" t="n">
        <v>32039911</v>
      </c>
      <c r="I32" s="52" t="n">
        <v>22427938</v>
      </c>
    </row>
    <row r="33" customFormat="false" ht="18" hidden="false" customHeight="true" outlineLevel="0" collapsed="false">
      <c r="B33" s="54" t="s">
        <v>194</v>
      </c>
      <c r="C33" s="55" t="s">
        <v>195</v>
      </c>
      <c r="D33" s="56" t="n">
        <v>150</v>
      </c>
      <c r="E33" s="57" t="n">
        <v>1</v>
      </c>
      <c r="F33" s="56" t="n">
        <v>358093126</v>
      </c>
      <c r="G33" s="56" t="n">
        <v>169623060</v>
      </c>
      <c r="H33" s="56" t="n">
        <v>94235033</v>
      </c>
      <c r="I33" s="56" t="n">
        <v>65964523</v>
      </c>
    </row>
    <row r="34" customFormat="false" ht="18" hidden="false" customHeight="true" outlineLevel="0" collapsed="false">
      <c r="B34" s="54" t="s">
        <v>204</v>
      </c>
      <c r="C34" s="55" t="s">
        <v>195</v>
      </c>
      <c r="D34" s="56" t="n">
        <v>150</v>
      </c>
      <c r="E34" s="57" t="n">
        <v>1</v>
      </c>
      <c r="F34" s="56" t="n">
        <v>358093126</v>
      </c>
      <c r="G34" s="56" t="n">
        <v>169623060</v>
      </c>
      <c r="H34" s="56" t="n">
        <v>94235033</v>
      </c>
      <c r="I34" s="56" t="n">
        <v>65964523</v>
      </c>
    </row>
    <row r="35" customFormat="false" ht="18" hidden="false" customHeight="true" outlineLevel="0" collapsed="false">
      <c r="B35" s="54" t="s">
        <v>214</v>
      </c>
      <c r="C35" s="55" t="s">
        <v>195</v>
      </c>
      <c r="D35" s="56" t="n">
        <v>60</v>
      </c>
      <c r="E35" s="57" t="n">
        <v>1</v>
      </c>
      <c r="F35" s="56" t="n">
        <v>143237251</v>
      </c>
      <c r="G35" s="56" t="n">
        <v>67849224</v>
      </c>
      <c r="H35" s="56" t="n">
        <v>37694013</v>
      </c>
      <c r="I35" s="56" t="n">
        <v>26385809</v>
      </c>
    </row>
    <row r="36" customFormat="false" ht="18" hidden="false" customHeight="true" outlineLevel="0" collapsed="false">
      <c r="B36" s="54" t="s">
        <v>223</v>
      </c>
      <c r="C36" s="55" t="s">
        <v>195</v>
      </c>
      <c r="D36" s="56" t="n">
        <v>60</v>
      </c>
      <c r="E36" s="57" t="n">
        <v>1</v>
      </c>
      <c r="F36" s="56" t="n">
        <v>143237251</v>
      </c>
      <c r="G36" s="56" t="n">
        <v>67849224</v>
      </c>
      <c r="H36" s="56" t="n">
        <v>37694013</v>
      </c>
      <c r="I36" s="56" t="n">
        <v>26385809</v>
      </c>
    </row>
    <row r="37" customFormat="false" ht="18" hidden="false" customHeight="true" outlineLevel="0" collapsed="false">
      <c r="B37" s="58" t="s">
        <v>232</v>
      </c>
      <c r="C37" s="59" t="s">
        <v>233</v>
      </c>
      <c r="D37" s="60" t="n">
        <v>200</v>
      </c>
      <c r="E37" s="61" t="n">
        <v>1.2</v>
      </c>
      <c r="F37" s="60" t="n">
        <v>572949002</v>
      </c>
      <c r="G37" s="60" t="n">
        <v>271396896</v>
      </c>
      <c r="H37" s="60" t="n">
        <v>150776053</v>
      </c>
      <c r="I37" s="60" t="n">
        <v>105543237</v>
      </c>
    </row>
    <row r="38" customFormat="false" ht="18" hidden="false" customHeight="true" outlineLevel="0" collapsed="false">
      <c r="B38" s="62" t="s">
        <v>242</v>
      </c>
      <c r="C38" s="63" t="s">
        <v>243</v>
      </c>
      <c r="D38" s="64" t="n">
        <v>200</v>
      </c>
      <c r="E38" s="65" t="n">
        <v>1.35</v>
      </c>
      <c r="F38" s="64" t="n">
        <v>644567627</v>
      </c>
      <c r="G38" s="64" t="n">
        <v>305321508</v>
      </c>
      <c r="H38" s="64" t="n">
        <v>169623060</v>
      </c>
      <c r="I38" s="64" t="n">
        <v>118736142</v>
      </c>
    </row>
    <row r="39" customFormat="false" ht="18" hidden="false" customHeight="true" outlineLevel="0" collapsed="false">
      <c r="B39" s="54" t="s">
        <v>480</v>
      </c>
      <c r="C39" s="55" t="s">
        <v>481</v>
      </c>
      <c r="D39" s="56" t="n">
        <v>100</v>
      </c>
      <c r="E39" s="57" t="n">
        <v>1</v>
      </c>
      <c r="F39" s="56" t="n">
        <v>238728751</v>
      </c>
      <c r="G39" s="56" t="n">
        <v>113082040</v>
      </c>
      <c r="H39" s="56" t="n">
        <v>62823356</v>
      </c>
      <c r="I39" s="56" t="n">
        <v>43976349</v>
      </c>
    </row>
    <row r="40" customFormat="false" ht="9.75" hidden="false" customHeight="true" outlineLevel="0" collapsed="false">
      <c r="B40" s="11"/>
      <c r="C40" s="11"/>
      <c r="D40" s="11"/>
      <c r="E40" s="11"/>
      <c r="F40" s="11"/>
      <c r="G40" s="11"/>
      <c r="H40" s="11"/>
      <c r="I40" s="11"/>
    </row>
    <row r="41" customFormat="false" ht="24" hidden="false" customHeight="true" outlineLevel="0" collapsed="false">
      <c r="B41" s="66" t="s">
        <v>482</v>
      </c>
      <c r="C41" s="66"/>
      <c r="D41" s="66"/>
      <c r="E41" s="66"/>
      <c r="F41" s="66"/>
      <c r="G41" s="66"/>
      <c r="H41" s="66"/>
      <c r="I41" s="66"/>
    </row>
    <row r="42" customFormat="false" ht="15" hidden="false" customHeight="true" outlineLevel="0" collapsed="false">
      <c r="B42" s="67" t="s">
        <v>483</v>
      </c>
      <c r="C42" s="67" t="s">
        <v>484</v>
      </c>
      <c r="D42" s="67" t="s">
        <v>485</v>
      </c>
      <c r="E42" s="67" t="s">
        <v>486</v>
      </c>
      <c r="F42" s="67" t="s">
        <v>487</v>
      </c>
      <c r="G42" s="67" t="s">
        <v>488</v>
      </c>
      <c r="H42" s="67" t="s">
        <v>489</v>
      </c>
      <c r="I42" s="11"/>
    </row>
    <row r="43" customFormat="false" ht="18" hidden="false" customHeight="true" outlineLevel="0" collapsed="false">
      <c r="B43" s="68" t="s">
        <v>490</v>
      </c>
      <c r="C43" s="69" t="s">
        <v>417</v>
      </c>
      <c r="D43" s="70" t="s">
        <v>491</v>
      </c>
      <c r="E43" s="70" t="s">
        <v>492</v>
      </c>
      <c r="F43" s="70" t="s">
        <v>493</v>
      </c>
      <c r="G43" s="70" t="s">
        <v>494</v>
      </c>
      <c r="H43" s="70" t="s">
        <v>495</v>
      </c>
      <c r="I43" s="11"/>
    </row>
    <row r="44" customFormat="false" ht="18" hidden="false" customHeight="true" outlineLevel="0" collapsed="false">
      <c r="B44" s="68" t="s">
        <v>496</v>
      </c>
      <c r="C44" s="69" t="s">
        <v>424</v>
      </c>
      <c r="D44" s="34" t="s">
        <v>497</v>
      </c>
      <c r="E44" s="34" t="s">
        <v>498</v>
      </c>
      <c r="F44" s="34" t="s">
        <v>499</v>
      </c>
      <c r="G44" s="34" t="s">
        <v>500</v>
      </c>
      <c r="H44" s="34" t="s">
        <v>501</v>
      </c>
      <c r="I44" s="11"/>
    </row>
    <row r="45" customFormat="false" ht="18" hidden="false" customHeight="true" outlineLevel="0" collapsed="false">
      <c r="B45" s="68" t="s">
        <v>502</v>
      </c>
      <c r="C45" s="69" t="s">
        <v>503</v>
      </c>
      <c r="D45" s="70" t="s">
        <v>504</v>
      </c>
      <c r="E45" s="70" t="s">
        <v>505</v>
      </c>
      <c r="F45" s="70" t="s">
        <v>494</v>
      </c>
      <c r="G45" s="70" t="s">
        <v>494</v>
      </c>
      <c r="H45" s="70" t="s">
        <v>506</v>
      </c>
      <c r="I45" s="11"/>
    </row>
    <row r="46" customFormat="false" ht="18" hidden="false" customHeight="true" outlineLevel="0" collapsed="false">
      <c r="B46" s="68" t="s">
        <v>507</v>
      </c>
      <c r="C46" s="69" t="s">
        <v>420</v>
      </c>
      <c r="D46" s="34" t="s">
        <v>508</v>
      </c>
      <c r="E46" s="34" t="s">
        <v>505</v>
      </c>
      <c r="F46" s="34" t="s">
        <v>509</v>
      </c>
      <c r="G46" s="34" t="s">
        <v>509</v>
      </c>
      <c r="H46" s="34" t="s">
        <v>510</v>
      </c>
      <c r="I46" s="11"/>
    </row>
    <row r="47" customFormat="false" ht="18" hidden="false" customHeight="true" outlineLevel="0" collapsed="false">
      <c r="B47" s="68" t="s">
        <v>511</v>
      </c>
      <c r="C47" s="69" t="s">
        <v>512</v>
      </c>
      <c r="D47" s="70" t="s">
        <v>513</v>
      </c>
      <c r="E47" s="70" t="s">
        <v>514</v>
      </c>
      <c r="F47" s="70" t="s">
        <v>509</v>
      </c>
      <c r="G47" s="70" t="s">
        <v>509</v>
      </c>
      <c r="H47" s="70" t="s">
        <v>515</v>
      </c>
      <c r="I47" s="11"/>
    </row>
    <row r="48" customFormat="false" ht="18" hidden="false" customHeight="true" outlineLevel="0" collapsed="false">
      <c r="B48" s="68" t="s">
        <v>516</v>
      </c>
      <c r="C48" s="69" t="s">
        <v>517</v>
      </c>
      <c r="D48" s="34" t="s">
        <v>518</v>
      </c>
      <c r="E48" s="34" t="s">
        <v>514</v>
      </c>
      <c r="F48" s="34" t="s">
        <v>509</v>
      </c>
      <c r="G48" s="34" t="s">
        <v>509</v>
      </c>
      <c r="H48" s="34" t="s">
        <v>515</v>
      </c>
      <c r="I48" s="11"/>
    </row>
    <row r="49" customFormat="false" ht="18" hidden="false" customHeight="true" outlineLevel="0" collapsed="false">
      <c r="B49" s="68" t="s">
        <v>519</v>
      </c>
      <c r="C49" s="69" t="s">
        <v>520</v>
      </c>
      <c r="D49" s="70" t="s">
        <v>521</v>
      </c>
      <c r="E49" s="70" t="s">
        <v>522</v>
      </c>
      <c r="F49" s="70" t="s">
        <v>509</v>
      </c>
      <c r="G49" s="70" t="s">
        <v>509</v>
      </c>
      <c r="H49" s="70" t="s">
        <v>515</v>
      </c>
      <c r="I49" s="11"/>
    </row>
    <row r="50" customFormat="false" ht="18" hidden="false" customHeight="true" outlineLevel="0" collapsed="false">
      <c r="B50" s="68" t="s">
        <v>523</v>
      </c>
      <c r="C50" s="69" t="s">
        <v>524</v>
      </c>
      <c r="D50" s="34" t="s">
        <v>525</v>
      </c>
      <c r="E50" s="34" t="s">
        <v>526</v>
      </c>
      <c r="F50" s="34" t="s">
        <v>527</v>
      </c>
      <c r="G50" s="34" t="s">
        <v>528</v>
      </c>
      <c r="H50" s="34" t="s">
        <v>529</v>
      </c>
      <c r="I50" s="11"/>
    </row>
    <row r="51" customFormat="false" ht="18" hidden="false" customHeight="true" outlineLevel="0" collapsed="false">
      <c r="B51" s="68" t="s">
        <v>530</v>
      </c>
      <c r="C51" s="69" t="s">
        <v>531</v>
      </c>
      <c r="D51" s="70" t="s">
        <v>532</v>
      </c>
      <c r="E51" s="70" t="s">
        <v>533</v>
      </c>
      <c r="F51" s="70" t="s">
        <v>527</v>
      </c>
      <c r="G51" s="70" t="s">
        <v>528</v>
      </c>
      <c r="H51" s="70" t="s">
        <v>534</v>
      </c>
      <c r="I51" s="11"/>
    </row>
    <row r="52" customFormat="false" ht="18" hidden="false" customHeight="true" outlineLevel="0" collapsed="false">
      <c r="B52" s="68" t="s">
        <v>535</v>
      </c>
      <c r="C52" s="69" t="s">
        <v>536</v>
      </c>
      <c r="D52" s="34" t="s">
        <v>537</v>
      </c>
      <c r="E52" s="34" t="s">
        <v>538</v>
      </c>
      <c r="F52" s="34" t="s">
        <v>539</v>
      </c>
      <c r="G52" s="34" t="s">
        <v>540</v>
      </c>
      <c r="H52" s="34" t="s">
        <v>541</v>
      </c>
      <c r="I52" s="11"/>
    </row>
    <row r="53" customFormat="false" ht="18" hidden="false" customHeight="true" outlineLevel="0" collapsed="false">
      <c r="B53" s="68" t="s">
        <v>542</v>
      </c>
      <c r="C53" s="69" t="s">
        <v>543</v>
      </c>
      <c r="D53" s="70" t="s">
        <v>544</v>
      </c>
      <c r="E53" s="70" t="s">
        <v>492</v>
      </c>
      <c r="F53" s="70" t="s">
        <v>499</v>
      </c>
      <c r="G53" s="70" t="s">
        <v>500</v>
      </c>
      <c r="H53" s="70" t="s">
        <v>545</v>
      </c>
      <c r="I53" s="11"/>
    </row>
    <row r="54" customFormat="false" ht="18" hidden="false" customHeight="true" outlineLevel="0" collapsed="false">
      <c r="B54" s="68" t="s">
        <v>546</v>
      </c>
      <c r="C54" s="69" t="s">
        <v>547</v>
      </c>
      <c r="D54" s="34" t="s">
        <v>548</v>
      </c>
      <c r="E54" s="34" t="s">
        <v>505</v>
      </c>
      <c r="F54" s="34" t="s">
        <v>527</v>
      </c>
      <c r="G54" s="34" t="s">
        <v>549</v>
      </c>
      <c r="H54" s="34" t="s">
        <v>550</v>
      </c>
      <c r="I54" s="11"/>
    </row>
    <row r="55" customFormat="false" ht="18" hidden="false" customHeight="true" outlineLevel="0" collapsed="false">
      <c r="B55" s="68" t="s">
        <v>551</v>
      </c>
      <c r="C55" s="69" t="s">
        <v>552</v>
      </c>
      <c r="D55" s="70" t="s">
        <v>553</v>
      </c>
      <c r="E55" s="70" t="s">
        <v>554</v>
      </c>
      <c r="F55" s="70" t="s">
        <v>509</v>
      </c>
      <c r="G55" s="70" t="s">
        <v>509</v>
      </c>
      <c r="H55" s="70" t="s">
        <v>555</v>
      </c>
      <c r="I55" s="11"/>
    </row>
    <row r="56" customFormat="false" ht="18" hidden="false" customHeight="true" outlineLevel="0" collapsed="false">
      <c r="B56" s="68" t="s">
        <v>556</v>
      </c>
      <c r="C56" s="69" t="s">
        <v>427</v>
      </c>
      <c r="D56" s="34" t="s">
        <v>557</v>
      </c>
      <c r="E56" s="34" t="s">
        <v>505</v>
      </c>
      <c r="F56" s="34" t="s">
        <v>509</v>
      </c>
      <c r="G56" s="34" t="s">
        <v>509</v>
      </c>
      <c r="H56" s="34" t="s">
        <v>558</v>
      </c>
      <c r="I56" s="11"/>
    </row>
    <row r="57" customFormat="false" ht="18" hidden="false" customHeight="true" outlineLevel="0" collapsed="false">
      <c r="B57" s="68" t="s">
        <v>559</v>
      </c>
      <c r="C57" s="69" t="s">
        <v>560</v>
      </c>
      <c r="D57" s="70" t="s">
        <v>561</v>
      </c>
      <c r="E57" s="70" t="s">
        <v>562</v>
      </c>
      <c r="F57" s="70" t="s">
        <v>509</v>
      </c>
      <c r="G57" s="70" t="s">
        <v>509</v>
      </c>
      <c r="H57" s="70" t="s">
        <v>510</v>
      </c>
      <c r="I57" s="11"/>
    </row>
    <row r="58" customFormat="false" ht="18" hidden="false" customHeight="true" outlineLevel="0" collapsed="false">
      <c r="B58" s="68" t="s">
        <v>563</v>
      </c>
      <c r="C58" s="69" t="s">
        <v>564</v>
      </c>
      <c r="D58" s="34" t="s">
        <v>565</v>
      </c>
      <c r="E58" s="34" t="s">
        <v>538</v>
      </c>
      <c r="F58" s="34" t="s">
        <v>566</v>
      </c>
      <c r="G58" s="34" t="s">
        <v>540</v>
      </c>
      <c r="H58" s="34" t="s">
        <v>567</v>
      </c>
      <c r="I58" s="11"/>
    </row>
    <row r="59" customFormat="false" ht="18" hidden="false" customHeight="true" outlineLevel="0" collapsed="false">
      <c r="B59" s="68" t="s">
        <v>568</v>
      </c>
      <c r="C59" s="69" t="s">
        <v>569</v>
      </c>
      <c r="D59" s="70" t="s">
        <v>570</v>
      </c>
      <c r="E59" s="70" t="s">
        <v>571</v>
      </c>
      <c r="F59" s="70" t="s">
        <v>509</v>
      </c>
      <c r="G59" s="70" t="s">
        <v>509</v>
      </c>
      <c r="H59" s="70" t="s">
        <v>567</v>
      </c>
      <c r="I59" s="11"/>
    </row>
    <row r="60" customFormat="false" ht="18" hidden="false" customHeight="true" outlineLevel="0" collapsed="false">
      <c r="B60" s="68" t="s">
        <v>572</v>
      </c>
      <c r="C60" s="69" t="s">
        <v>573</v>
      </c>
      <c r="D60" s="34" t="s">
        <v>574</v>
      </c>
      <c r="E60" s="34" t="s">
        <v>575</v>
      </c>
      <c r="F60" s="34" t="s">
        <v>500</v>
      </c>
      <c r="G60" s="34" t="s">
        <v>500</v>
      </c>
      <c r="H60" s="34" t="s">
        <v>576</v>
      </c>
      <c r="I60" s="11"/>
    </row>
    <row r="61" customFormat="false" ht="18" hidden="false" customHeight="true" outlineLevel="0" collapsed="false">
      <c r="B61" s="68" t="s">
        <v>577</v>
      </c>
      <c r="C61" s="69" t="s">
        <v>578</v>
      </c>
      <c r="D61" s="70" t="s">
        <v>579</v>
      </c>
      <c r="E61" s="70" t="s">
        <v>538</v>
      </c>
      <c r="F61" s="70" t="s">
        <v>509</v>
      </c>
      <c r="G61" s="70" t="s">
        <v>509</v>
      </c>
      <c r="H61" s="70" t="s">
        <v>515</v>
      </c>
      <c r="I61" s="11"/>
    </row>
    <row r="62" customFormat="false" ht="18" hidden="false" customHeight="true" outlineLevel="0" collapsed="false">
      <c r="B62" s="68" t="s">
        <v>580</v>
      </c>
      <c r="C62" s="69" t="s">
        <v>581</v>
      </c>
      <c r="D62" s="34" t="s">
        <v>582</v>
      </c>
      <c r="E62" s="34" t="s">
        <v>514</v>
      </c>
      <c r="F62" s="34" t="s">
        <v>500</v>
      </c>
      <c r="G62" s="34" t="s">
        <v>500</v>
      </c>
      <c r="H62" s="34" t="s">
        <v>515</v>
      </c>
      <c r="I62" s="11"/>
    </row>
    <row r="63" customFormat="false" ht="18" hidden="false" customHeight="true" outlineLevel="0" collapsed="false">
      <c r="B63" s="68" t="s">
        <v>583</v>
      </c>
      <c r="C63" s="69" t="s">
        <v>584</v>
      </c>
      <c r="D63" s="70" t="s">
        <v>585</v>
      </c>
      <c r="E63" s="70" t="s">
        <v>514</v>
      </c>
      <c r="F63" s="70" t="s">
        <v>500</v>
      </c>
      <c r="G63" s="70" t="s">
        <v>500</v>
      </c>
      <c r="H63" s="70" t="s">
        <v>515</v>
      </c>
      <c r="I63" s="11"/>
    </row>
    <row r="64" customFormat="false" ht="18" hidden="false" customHeight="true" outlineLevel="0" collapsed="false">
      <c r="B64" s="68" t="s">
        <v>586</v>
      </c>
      <c r="C64" s="69" t="s">
        <v>587</v>
      </c>
      <c r="D64" s="34" t="s">
        <v>588</v>
      </c>
      <c r="E64" s="34" t="s">
        <v>589</v>
      </c>
      <c r="F64" s="34" t="s">
        <v>527</v>
      </c>
      <c r="G64" s="34" t="s">
        <v>528</v>
      </c>
      <c r="H64" s="34" t="s">
        <v>590</v>
      </c>
      <c r="I64" s="11"/>
    </row>
    <row r="66" customFormat="false" ht="15" hidden="false" customHeight="true" outlineLevel="0" collapsed="false">
      <c r="B66" s="6" t="s">
        <v>591</v>
      </c>
    </row>
    <row r="67" customFormat="false" ht="45.75" hidden="false" customHeight="true" outlineLevel="0" collapsed="false">
      <c r="A67" s="4"/>
      <c r="B67" s="4" t="s">
        <v>592</v>
      </c>
      <c r="C67" s="4" t="s">
        <v>593</v>
      </c>
      <c r="D67" s="4" t="s">
        <v>594</v>
      </c>
      <c r="E67" s="4" t="s">
        <v>571</v>
      </c>
      <c r="F67" s="4" t="s">
        <v>494</v>
      </c>
      <c r="G67" s="4" t="s">
        <v>528</v>
      </c>
      <c r="H67" s="4" t="s">
        <v>595</v>
      </c>
      <c r="I67" s="4"/>
    </row>
    <row r="68" customFormat="false" ht="34.5" hidden="false" customHeight="true" outlineLevel="0" collapsed="false">
      <c r="A68" s="5"/>
      <c r="B68" s="5" t="s">
        <v>596</v>
      </c>
      <c r="C68" s="5" t="s">
        <v>597</v>
      </c>
      <c r="D68" s="5" t="s">
        <v>598</v>
      </c>
      <c r="E68" s="5" t="s">
        <v>599</v>
      </c>
      <c r="F68" s="5" t="s">
        <v>499</v>
      </c>
      <c r="G68" s="5" t="s">
        <v>500</v>
      </c>
      <c r="H68" s="5" t="s">
        <v>600</v>
      </c>
      <c r="I68" s="5"/>
    </row>
    <row r="69" customFormat="false" ht="34.5" hidden="false" customHeight="true" outlineLevel="0" collapsed="false">
      <c r="A69" s="4"/>
      <c r="B69" s="4" t="s">
        <v>601</v>
      </c>
      <c r="C69" s="4" t="s">
        <v>602</v>
      </c>
      <c r="D69" s="4" t="s">
        <v>603</v>
      </c>
      <c r="E69" s="4" t="s">
        <v>604</v>
      </c>
      <c r="F69" s="4" t="s">
        <v>605</v>
      </c>
      <c r="G69" s="4" t="s">
        <v>509</v>
      </c>
      <c r="H69" s="4" t="s">
        <v>606</v>
      </c>
      <c r="I69" s="4"/>
    </row>
    <row r="70" customFormat="false" ht="57" hidden="false" customHeight="true" outlineLevel="0" collapsed="false">
      <c r="A70" s="5"/>
      <c r="B70" s="5" t="s">
        <v>607</v>
      </c>
      <c r="C70" s="5" t="s">
        <v>608</v>
      </c>
      <c r="D70" s="5" t="s">
        <v>609</v>
      </c>
      <c r="E70" s="5" t="s">
        <v>610</v>
      </c>
      <c r="F70" s="5" t="s">
        <v>605</v>
      </c>
      <c r="G70" s="5" t="s">
        <v>509</v>
      </c>
      <c r="H70" s="5" t="s">
        <v>611</v>
      </c>
      <c r="I70" s="5"/>
    </row>
    <row r="73" customFormat="false" ht="15" hidden="false" customHeight="true" outlineLevel="0" collapsed="false">
      <c r="B73" s="6" t="s">
        <v>612</v>
      </c>
    </row>
    <row r="74" customFormat="false" ht="15" hidden="false" customHeight="true" outlineLevel="0" collapsed="false">
      <c r="A74" s="3"/>
      <c r="B74" s="3" t="s">
        <v>434</v>
      </c>
      <c r="C74" s="3" t="s">
        <v>613</v>
      </c>
      <c r="D74" s="3" t="s">
        <v>435</v>
      </c>
      <c r="E74" s="3" t="s">
        <v>614</v>
      </c>
      <c r="F74" s="3" t="s">
        <v>615</v>
      </c>
      <c r="G74" s="3" t="s">
        <v>616</v>
      </c>
      <c r="H74" s="3" t="s">
        <v>617</v>
      </c>
      <c r="I74" s="3" t="s">
        <v>618</v>
      </c>
    </row>
    <row r="75" customFormat="false" ht="23.25" hidden="false" customHeight="true" outlineLevel="0" collapsed="false">
      <c r="A75" s="4"/>
      <c r="B75" s="4" t="s">
        <v>619</v>
      </c>
      <c r="C75" s="4" t="n">
        <v>3230000000</v>
      </c>
      <c r="D75" s="4" t="s">
        <v>620</v>
      </c>
      <c r="E75" s="4" t="n">
        <v>120000</v>
      </c>
      <c r="F75" s="4" t="n">
        <v>4250</v>
      </c>
      <c r="G75" s="4" t="n">
        <v>1275</v>
      </c>
      <c r="H75" s="4" t="s">
        <v>621</v>
      </c>
      <c r="I75" s="4" t="s">
        <v>622</v>
      </c>
    </row>
    <row r="76" customFormat="false" ht="23.25" hidden="false" customHeight="true" outlineLevel="0" collapsed="false">
      <c r="A76" s="5"/>
      <c r="B76" s="5" t="s">
        <v>445</v>
      </c>
      <c r="C76" s="5" t="n">
        <v>1530000000</v>
      </c>
      <c r="D76" s="5" t="s">
        <v>623</v>
      </c>
      <c r="E76" s="5" t="n">
        <v>180000</v>
      </c>
      <c r="F76" s="5" t="n">
        <v>2010</v>
      </c>
      <c r="G76" s="5" t="n">
        <v>603</v>
      </c>
      <c r="H76" s="5" t="s">
        <v>624</v>
      </c>
      <c r="I76" s="5" t="s">
        <v>625</v>
      </c>
    </row>
    <row r="77" customFormat="false" ht="23.25" hidden="false" customHeight="true" outlineLevel="0" collapsed="false">
      <c r="A77" s="4"/>
      <c r="B77" s="4" t="s">
        <v>626</v>
      </c>
      <c r="C77" s="4" t="n">
        <v>595000000</v>
      </c>
      <c r="D77" s="4" t="s">
        <v>627</v>
      </c>
      <c r="E77" s="4" t="s">
        <v>550</v>
      </c>
      <c r="F77" s="4" t="s">
        <v>550</v>
      </c>
      <c r="G77" s="4" t="s">
        <v>550</v>
      </c>
      <c r="H77" s="4" t="s">
        <v>512</v>
      </c>
      <c r="I77" s="4" t="s">
        <v>447</v>
      </c>
    </row>
    <row r="78" customFormat="false" ht="23.25" hidden="false" customHeight="true" outlineLevel="0" collapsed="false">
      <c r="A78" s="5"/>
      <c r="B78" s="5" t="s">
        <v>453</v>
      </c>
      <c r="C78" s="5" t="n">
        <v>850000000</v>
      </c>
      <c r="D78" s="5" t="s">
        <v>628</v>
      </c>
      <c r="E78" s="5" t="n">
        <v>90000</v>
      </c>
      <c r="F78" s="5" t="n">
        <v>1420</v>
      </c>
      <c r="G78" s="5" t="n">
        <v>426</v>
      </c>
      <c r="H78" s="5" t="s">
        <v>520</v>
      </c>
      <c r="I78" s="5" t="s">
        <v>629</v>
      </c>
    </row>
    <row r="79" customFormat="false" ht="23.25" hidden="false" customHeight="true" outlineLevel="0" collapsed="false">
      <c r="A79" s="4"/>
      <c r="B79" s="4" t="s">
        <v>630</v>
      </c>
      <c r="C79" s="4" t="n">
        <v>595000000</v>
      </c>
      <c r="D79" s="4" t="s">
        <v>627</v>
      </c>
      <c r="E79" s="4" t="n">
        <v>80000</v>
      </c>
      <c r="F79" s="4" t="n">
        <v>1120</v>
      </c>
      <c r="G79" s="4" t="n">
        <v>336</v>
      </c>
      <c r="H79" s="4" t="s">
        <v>552</v>
      </c>
      <c r="I79" s="4" t="s">
        <v>631</v>
      </c>
    </row>
    <row r="80" customFormat="false" ht="23.25" hidden="false" customHeight="true" outlineLevel="0" collapsed="false">
      <c r="A80" s="5"/>
      <c r="B80" s="5" t="s">
        <v>460</v>
      </c>
      <c r="C80" s="5" t="n">
        <v>425000000</v>
      </c>
      <c r="D80" s="5" t="s">
        <v>632</v>
      </c>
      <c r="E80" s="5" t="n">
        <v>50000</v>
      </c>
      <c r="F80" s="5" t="n">
        <v>1060</v>
      </c>
      <c r="G80" s="5" t="n">
        <v>256</v>
      </c>
      <c r="H80" s="5" t="s">
        <v>597</v>
      </c>
      <c r="I80" s="5" t="s">
        <v>462</v>
      </c>
    </row>
    <row r="81" customFormat="false" ht="23.25" hidden="false" customHeight="true" outlineLevel="0" collapsed="false">
      <c r="A81" s="4"/>
      <c r="B81" s="4" t="s">
        <v>633</v>
      </c>
      <c r="C81" s="4" t="n">
        <v>1020000000</v>
      </c>
      <c r="D81" s="4" t="s">
        <v>465</v>
      </c>
      <c r="E81" s="4" t="n">
        <v>150000</v>
      </c>
      <c r="F81" s="4" t="s">
        <v>550</v>
      </c>
      <c r="G81" s="4" t="s">
        <v>550</v>
      </c>
      <c r="H81" s="4" t="s">
        <v>608</v>
      </c>
      <c r="I81" s="4" t="s">
        <v>634</v>
      </c>
    </row>
    <row r="82" customFormat="false" ht="15" hidden="false" customHeight="true" outlineLevel="0" collapsed="false">
      <c r="A82" s="5"/>
      <c r="B82" s="5" t="s">
        <v>635</v>
      </c>
      <c r="C82" s="5" t="n">
        <v>425000000</v>
      </c>
      <c r="D82" s="5" t="s">
        <v>632</v>
      </c>
      <c r="E82" s="5" t="s">
        <v>550</v>
      </c>
      <c r="F82" s="5" t="s">
        <v>550</v>
      </c>
      <c r="G82" s="5" t="s">
        <v>550</v>
      </c>
      <c r="H82" s="5" t="s">
        <v>547</v>
      </c>
      <c r="I82" s="5" t="s">
        <v>468</v>
      </c>
    </row>
    <row r="85" customFormat="false" ht="17.35" hidden="false" customHeight="false" outlineLevel="0" collapsed="false">
      <c r="A85" s="71" t="s">
        <v>636</v>
      </c>
    </row>
    <row r="87" customFormat="false" ht="15" hidden="false" customHeight="false" outlineLevel="0" collapsed="false">
      <c r="A87" s="72" t="s">
        <v>637</v>
      </c>
    </row>
    <row r="88" customFormat="false" ht="39.55" hidden="false" customHeight="false" outlineLevel="0" collapsed="false">
      <c r="A88" s="3" t="s">
        <v>638</v>
      </c>
      <c r="B88" s="3" t="s">
        <v>639</v>
      </c>
      <c r="C88" s="3" t="s">
        <v>485</v>
      </c>
      <c r="D88" s="3" t="s">
        <v>640</v>
      </c>
      <c r="E88" s="3" t="s">
        <v>412</v>
      </c>
    </row>
    <row r="89" customFormat="false" ht="57.45" hidden="false" customHeight="false" outlineLevel="0" collapsed="false">
      <c r="A89" s="73" t="s">
        <v>490</v>
      </c>
      <c r="B89" s="74" t="s">
        <v>593</v>
      </c>
      <c r="C89" s="73" t="s">
        <v>641</v>
      </c>
      <c r="D89" s="73" t="s">
        <v>642</v>
      </c>
      <c r="E89" s="73" t="s">
        <v>643</v>
      </c>
    </row>
    <row r="90" customFormat="false" ht="35.05" hidden="false" customHeight="false" outlineLevel="0" collapsed="false">
      <c r="A90" s="75" t="s">
        <v>496</v>
      </c>
      <c r="B90" s="76" t="s">
        <v>644</v>
      </c>
      <c r="C90" s="75" t="s">
        <v>645</v>
      </c>
      <c r="D90" s="75" t="s">
        <v>646</v>
      </c>
      <c r="E90" s="75" t="s">
        <v>647</v>
      </c>
    </row>
    <row r="91" customFormat="false" ht="35.05" hidden="false" customHeight="false" outlineLevel="0" collapsed="false">
      <c r="A91" s="73" t="s">
        <v>502</v>
      </c>
      <c r="B91" s="74" t="s">
        <v>417</v>
      </c>
      <c r="C91" s="73" t="s">
        <v>648</v>
      </c>
      <c r="D91" s="73" t="s">
        <v>646</v>
      </c>
      <c r="E91" s="73" t="s">
        <v>643</v>
      </c>
    </row>
    <row r="92" customFormat="false" ht="35.05" hidden="false" customHeight="false" outlineLevel="0" collapsed="false">
      <c r="A92" s="75" t="s">
        <v>507</v>
      </c>
      <c r="B92" s="76" t="s">
        <v>424</v>
      </c>
      <c r="C92" s="75" t="s">
        <v>649</v>
      </c>
      <c r="D92" s="75" t="s">
        <v>650</v>
      </c>
      <c r="E92" s="75" t="s">
        <v>643</v>
      </c>
    </row>
    <row r="93" customFormat="false" ht="35.05" hidden="false" customHeight="false" outlineLevel="0" collapsed="false">
      <c r="A93" s="73" t="s">
        <v>511</v>
      </c>
      <c r="B93" s="74" t="s">
        <v>503</v>
      </c>
      <c r="C93" s="73" t="s">
        <v>651</v>
      </c>
      <c r="D93" s="73" t="s">
        <v>646</v>
      </c>
      <c r="E93" s="73" t="s">
        <v>652</v>
      </c>
    </row>
    <row r="94" customFormat="false" ht="35.05" hidden="false" customHeight="false" outlineLevel="0" collapsed="false">
      <c r="A94" s="75" t="s">
        <v>516</v>
      </c>
      <c r="B94" s="76" t="s">
        <v>420</v>
      </c>
      <c r="C94" s="75" t="s">
        <v>653</v>
      </c>
      <c r="D94" s="75" t="s">
        <v>642</v>
      </c>
      <c r="E94" s="75" t="s">
        <v>643</v>
      </c>
    </row>
    <row r="95" customFormat="false" ht="46.25" hidden="false" customHeight="false" outlineLevel="0" collapsed="false">
      <c r="A95" s="73" t="s">
        <v>519</v>
      </c>
      <c r="B95" s="74" t="s">
        <v>512</v>
      </c>
      <c r="C95" s="73" t="s">
        <v>654</v>
      </c>
      <c r="D95" s="73" t="s">
        <v>650</v>
      </c>
      <c r="E95" s="73" t="s">
        <v>643</v>
      </c>
    </row>
    <row r="96" customFormat="false" ht="46.25" hidden="false" customHeight="false" outlineLevel="0" collapsed="false">
      <c r="A96" s="75" t="s">
        <v>523</v>
      </c>
      <c r="B96" s="76" t="s">
        <v>517</v>
      </c>
      <c r="C96" s="75" t="s">
        <v>655</v>
      </c>
      <c r="D96" s="75" t="s">
        <v>650</v>
      </c>
      <c r="E96" s="75" t="s">
        <v>643</v>
      </c>
    </row>
    <row r="97" customFormat="false" ht="46.25" hidden="false" customHeight="false" outlineLevel="0" collapsed="false">
      <c r="A97" s="73" t="s">
        <v>530</v>
      </c>
      <c r="B97" s="74" t="s">
        <v>520</v>
      </c>
      <c r="C97" s="73" t="s">
        <v>656</v>
      </c>
      <c r="D97" s="73" t="s">
        <v>650</v>
      </c>
      <c r="E97" s="73" t="s">
        <v>657</v>
      </c>
    </row>
    <row r="98" customFormat="false" ht="35.05" hidden="false" customHeight="false" outlineLevel="0" collapsed="false">
      <c r="A98" s="75" t="s">
        <v>535</v>
      </c>
      <c r="B98" s="76" t="s">
        <v>524</v>
      </c>
      <c r="C98" s="75" t="s">
        <v>658</v>
      </c>
      <c r="D98" s="75" t="s">
        <v>659</v>
      </c>
      <c r="E98" s="75" t="s">
        <v>643</v>
      </c>
    </row>
    <row r="99" customFormat="false" ht="35.05" hidden="false" customHeight="false" outlineLevel="0" collapsed="false">
      <c r="A99" s="73" t="s">
        <v>542</v>
      </c>
      <c r="B99" s="74" t="s">
        <v>531</v>
      </c>
      <c r="C99" s="73" t="s">
        <v>660</v>
      </c>
      <c r="D99" s="73" t="s">
        <v>659</v>
      </c>
      <c r="E99" s="73" t="s">
        <v>657</v>
      </c>
    </row>
    <row r="100" customFormat="false" ht="23.85" hidden="false" customHeight="false" outlineLevel="0" collapsed="false">
      <c r="A100" s="75" t="s">
        <v>546</v>
      </c>
      <c r="B100" s="76" t="s">
        <v>661</v>
      </c>
      <c r="C100" s="75" t="s">
        <v>662</v>
      </c>
      <c r="D100" s="75" t="s">
        <v>663</v>
      </c>
      <c r="E100" s="75" t="s">
        <v>652</v>
      </c>
    </row>
    <row r="101" customFormat="false" ht="23.85" hidden="false" customHeight="false" outlineLevel="0" collapsed="false">
      <c r="A101" s="73" t="s">
        <v>551</v>
      </c>
      <c r="B101" s="74" t="s">
        <v>543</v>
      </c>
      <c r="C101" s="73" t="s">
        <v>664</v>
      </c>
      <c r="D101" s="73" t="s">
        <v>663</v>
      </c>
      <c r="E101" s="73" t="s">
        <v>652</v>
      </c>
    </row>
    <row r="102" customFormat="false" ht="23.85" hidden="false" customHeight="false" outlineLevel="0" collapsed="false">
      <c r="A102" s="75" t="s">
        <v>556</v>
      </c>
      <c r="B102" s="76" t="s">
        <v>547</v>
      </c>
      <c r="C102" s="75" t="s">
        <v>665</v>
      </c>
      <c r="D102" s="75" t="s">
        <v>646</v>
      </c>
      <c r="E102" s="75" t="s">
        <v>652</v>
      </c>
    </row>
    <row r="103" customFormat="false" ht="35.05" hidden="false" customHeight="false" outlineLevel="0" collapsed="false">
      <c r="A103" s="73" t="s">
        <v>666</v>
      </c>
      <c r="B103" s="74" t="s">
        <v>552</v>
      </c>
      <c r="C103" s="73" t="s">
        <v>667</v>
      </c>
      <c r="D103" s="73" t="s">
        <v>650</v>
      </c>
      <c r="E103" s="73" t="s">
        <v>643</v>
      </c>
    </row>
    <row r="104" customFormat="false" ht="23.85" hidden="false" customHeight="false" outlineLevel="0" collapsed="false">
      <c r="A104" s="75" t="s">
        <v>668</v>
      </c>
      <c r="B104" s="76" t="s">
        <v>427</v>
      </c>
      <c r="C104" s="75" t="s">
        <v>669</v>
      </c>
      <c r="D104" s="75" t="s">
        <v>663</v>
      </c>
      <c r="E104" s="75" t="s">
        <v>657</v>
      </c>
    </row>
    <row r="105" customFormat="false" ht="23.85" hidden="false" customHeight="false" outlineLevel="0" collapsed="false">
      <c r="A105" s="73" t="s">
        <v>670</v>
      </c>
      <c r="B105" s="74" t="s">
        <v>560</v>
      </c>
      <c r="C105" s="73" t="s">
        <v>671</v>
      </c>
      <c r="D105" s="73" t="s">
        <v>672</v>
      </c>
      <c r="E105" s="73" t="s">
        <v>657</v>
      </c>
    </row>
    <row r="106" customFormat="false" ht="35.05" hidden="false" customHeight="false" outlineLevel="0" collapsed="false">
      <c r="A106" s="75" t="s">
        <v>673</v>
      </c>
      <c r="B106" s="76" t="s">
        <v>564</v>
      </c>
      <c r="C106" s="75" t="s">
        <v>674</v>
      </c>
      <c r="D106" s="75" t="s">
        <v>663</v>
      </c>
      <c r="E106" s="75" t="s">
        <v>675</v>
      </c>
    </row>
    <row r="107" customFormat="false" ht="35.05" hidden="false" customHeight="false" outlineLevel="0" collapsed="false">
      <c r="A107" s="73" t="s">
        <v>676</v>
      </c>
      <c r="B107" s="74" t="s">
        <v>677</v>
      </c>
      <c r="C107" s="73" t="s">
        <v>678</v>
      </c>
      <c r="D107" s="73" t="s">
        <v>663</v>
      </c>
      <c r="E107" s="73" t="s">
        <v>675</v>
      </c>
    </row>
    <row r="108" customFormat="false" ht="35.05" hidden="false" customHeight="false" outlineLevel="0" collapsed="false">
      <c r="A108" s="75" t="s">
        <v>679</v>
      </c>
      <c r="B108" s="76" t="s">
        <v>680</v>
      </c>
      <c r="C108" s="75" t="s">
        <v>681</v>
      </c>
      <c r="D108" s="75" t="s">
        <v>663</v>
      </c>
      <c r="E108" s="75" t="s">
        <v>675</v>
      </c>
    </row>
    <row r="109" customFormat="false" ht="23.85" hidden="false" customHeight="false" outlineLevel="0" collapsed="false">
      <c r="A109" s="73" t="s">
        <v>682</v>
      </c>
      <c r="B109" s="74" t="s">
        <v>683</v>
      </c>
      <c r="C109" s="73" t="s">
        <v>684</v>
      </c>
      <c r="D109" s="73" t="s">
        <v>672</v>
      </c>
      <c r="E109" s="73" t="s">
        <v>657</v>
      </c>
    </row>
    <row r="110" customFormat="false" ht="23.85" hidden="false" customHeight="false" outlineLevel="0" collapsed="false">
      <c r="A110" s="75" t="s">
        <v>685</v>
      </c>
      <c r="B110" s="76" t="s">
        <v>621</v>
      </c>
      <c r="C110" s="75" t="s">
        <v>686</v>
      </c>
      <c r="D110" s="75" t="s">
        <v>650</v>
      </c>
      <c r="E110" s="75" t="s">
        <v>657</v>
      </c>
    </row>
    <row r="111" customFormat="false" ht="35.05" hidden="false" customHeight="false" outlineLevel="0" collapsed="false">
      <c r="A111" s="73" t="s">
        <v>687</v>
      </c>
      <c r="B111" s="74" t="s">
        <v>624</v>
      </c>
      <c r="C111" s="73" t="s">
        <v>688</v>
      </c>
      <c r="D111" s="73" t="s">
        <v>650</v>
      </c>
      <c r="E111" s="73" t="s">
        <v>657</v>
      </c>
    </row>
    <row r="112" customFormat="false" ht="23.85" hidden="false" customHeight="false" outlineLevel="0" collapsed="false">
      <c r="A112" s="75" t="s">
        <v>689</v>
      </c>
      <c r="B112" s="76" t="s">
        <v>690</v>
      </c>
      <c r="C112" s="75" t="s">
        <v>691</v>
      </c>
      <c r="D112" s="75" t="s">
        <v>659</v>
      </c>
      <c r="E112" s="75" t="s">
        <v>643</v>
      </c>
    </row>
    <row r="113" customFormat="false" ht="35.05" hidden="false" customHeight="false" outlineLevel="0" collapsed="false">
      <c r="A113" s="73" t="s">
        <v>692</v>
      </c>
      <c r="B113" s="74" t="s">
        <v>597</v>
      </c>
      <c r="C113" s="73" t="s">
        <v>693</v>
      </c>
      <c r="D113" s="73" t="s">
        <v>694</v>
      </c>
      <c r="E113" s="73" t="s">
        <v>643</v>
      </c>
    </row>
    <row r="114" customFormat="false" ht="23.85" hidden="false" customHeight="false" outlineLevel="0" collapsed="false">
      <c r="A114" s="75" t="s">
        <v>695</v>
      </c>
      <c r="B114" s="76" t="s">
        <v>602</v>
      </c>
      <c r="C114" s="75" t="s">
        <v>696</v>
      </c>
      <c r="D114" s="75" t="s">
        <v>697</v>
      </c>
      <c r="E114" s="75" t="s">
        <v>643</v>
      </c>
    </row>
    <row r="115" customFormat="false" ht="35.05" hidden="false" customHeight="false" outlineLevel="0" collapsed="false">
      <c r="A115" s="73" t="s">
        <v>698</v>
      </c>
      <c r="B115" s="74" t="s">
        <v>608</v>
      </c>
      <c r="C115" s="73" t="s">
        <v>699</v>
      </c>
      <c r="D115" s="73" t="s">
        <v>659</v>
      </c>
      <c r="E115" s="73" t="s">
        <v>643</v>
      </c>
    </row>
    <row r="116" customFormat="false" ht="46.25" hidden="false" customHeight="false" outlineLevel="0" collapsed="false">
      <c r="A116" s="75" t="s">
        <v>700</v>
      </c>
      <c r="B116" s="76" t="s">
        <v>701</v>
      </c>
      <c r="C116" s="75" t="s">
        <v>702</v>
      </c>
      <c r="D116" s="75" t="s">
        <v>606</v>
      </c>
      <c r="E116" s="75" t="s">
        <v>703</v>
      </c>
    </row>
    <row r="117" customFormat="false" ht="57.45" hidden="false" customHeight="false" outlineLevel="0" collapsed="false">
      <c r="A117" s="73" t="s">
        <v>704</v>
      </c>
      <c r="B117" s="74" t="s">
        <v>705</v>
      </c>
      <c r="C117" s="73" t="s">
        <v>706</v>
      </c>
      <c r="D117" s="73" t="s">
        <v>606</v>
      </c>
      <c r="E117" s="73" t="s">
        <v>703</v>
      </c>
    </row>
    <row r="118" customFormat="false" ht="35.05" hidden="false" customHeight="false" outlineLevel="0" collapsed="false">
      <c r="A118" s="75" t="s">
        <v>707</v>
      </c>
      <c r="B118" s="76" t="s">
        <v>708</v>
      </c>
      <c r="C118" s="75" t="s">
        <v>709</v>
      </c>
      <c r="D118" s="75" t="s">
        <v>697</v>
      </c>
      <c r="E118" s="75" t="s">
        <v>703</v>
      </c>
    </row>
    <row r="119" customFormat="false" ht="57.45" hidden="false" customHeight="false" outlineLevel="0" collapsed="false">
      <c r="A119" s="73" t="s">
        <v>710</v>
      </c>
      <c r="B119" s="74" t="s">
        <v>711</v>
      </c>
      <c r="C119" s="73" t="s">
        <v>712</v>
      </c>
      <c r="D119" s="73" t="s">
        <v>659</v>
      </c>
      <c r="E119" s="73" t="s">
        <v>703</v>
      </c>
    </row>
    <row r="122" customFormat="false" ht="15" hidden="false" customHeight="false" outlineLevel="0" collapsed="false">
      <c r="A122" s="72" t="s">
        <v>713</v>
      </c>
    </row>
    <row r="123" customFormat="false" ht="64.9" hidden="false" customHeight="false" outlineLevel="0" collapsed="false">
      <c r="A123" s="3" t="s">
        <v>714</v>
      </c>
      <c r="B123" s="3" t="s">
        <v>458</v>
      </c>
      <c r="C123" s="3" t="s">
        <v>715</v>
      </c>
      <c r="D123" s="3" t="s">
        <v>716</v>
      </c>
      <c r="E123" s="3" t="s">
        <v>717</v>
      </c>
      <c r="F123" s="3" t="s">
        <v>718</v>
      </c>
      <c r="G123" s="3" t="s">
        <v>719</v>
      </c>
      <c r="H123" s="3" t="s">
        <v>720</v>
      </c>
      <c r="I123" s="3" t="s">
        <v>721</v>
      </c>
      <c r="J123" s="3" t="s">
        <v>722</v>
      </c>
      <c r="K123" s="3" t="s">
        <v>723</v>
      </c>
    </row>
    <row r="124" customFormat="false" ht="102.2" hidden="false" customHeight="false" outlineLevel="0" collapsed="false">
      <c r="A124" s="73" t="s">
        <v>724</v>
      </c>
      <c r="B124" s="73" t="s">
        <v>725</v>
      </c>
      <c r="C124" s="73" t="s">
        <v>726</v>
      </c>
      <c r="D124" s="73" t="s">
        <v>727</v>
      </c>
      <c r="E124" s="73" t="s">
        <v>728</v>
      </c>
      <c r="F124" s="73" t="s">
        <v>729</v>
      </c>
      <c r="G124" s="73" t="s">
        <v>730</v>
      </c>
      <c r="H124" s="73" t="s">
        <v>731</v>
      </c>
      <c r="I124" s="73" t="s">
        <v>732</v>
      </c>
      <c r="J124" s="73" t="s">
        <v>733</v>
      </c>
      <c r="K124" s="73" t="s">
        <v>733</v>
      </c>
    </row>
    <row r="125" customFormat="false" ht="135.8" hidden="false" customHeight="false" outlineLevel="0" collapsed="false">
      <c r="A125" s="75" t="s">
        <v>734</v>
      </c>
      <c r="B125" s="75" t="s">
        <v>735</v>
      </c>
      <c r="C125" s="75" t="s">
        <v>736</v>
      </c>
      <c r="D125" s="75" t="s">
        <v>737</v>
      </c>
      <c r="E125" s="75" t="s">
        <v>738</v>
      </c>
      <c r="F125" s="75" t="s">
        <v>739</v>
      </c>
      <c r="G125" s="75" t="s">
        <v>740</v>
      </c>
      <c r="H125" s="75" t="s">
        <v>741</v>
      </c>
      <c r="I125" s="75" t="s">
        <v>742</v>
      </c>
      <c r="J125" s="75" t="s">
        <v>738</v>
      </c>
      <c r="K125" s="75" t="s">
        <v>743</v>
      </c>
    </row>
    <row r="126" customFormat="false" ht="124.6" hidden="false" customHeight="false" outlineLevel="0" collapsed="false">
      <c r="A126" s="73" t="s">
        <v>744</v>
      </c>
      <c r="B126" s="73" t="s">
        <v>745</v>
      </c>
      <c r="C126" s="73" t="s">
        <v>746</v>
      </c>
      <c r="D126" s="73" t="s">
        <v>747</v>
      </c>
      <c r="E126" s="73" t="s">
        <v>748</v>
      </c>
      <c r="F126" s="73" t="s">
        <v>749</v>
      </c>
      <c r="G126" s="73" t="s">
        <v>750</v>
      </c>
      <c r="H126" s="73" t="s">
        <v>751</v>
      </c>
      <c r="I126" s="73" t="s">
        <v>752</v>
      </c>
      <c r="J126" s="73" t="s">
        <v>748</v>
      </c>
      <c r="K126" s="73" t="s">
        <v>753</v>
      </c>
    </row>
    <row r="127" customFormat="false" ht="91" hidden="false" customHeight="false" outlineLevel="0" collapsed="false">
      <c r="A127" s="75" t="s">
        <v>754</v>
      </c>
      <c r="B127" s="75" t="s">
        <v>745</v>
      </c>
      <c r="C127" s="75" t="s">
        <v>746</v>
      </c>
      <c r="D127" s="75" t="s">
        <v>747</v>
      </c>
      <c r="E127" s="75" t="s">
        <v>707</v>
      </c>
      <c r="F127" s="75" t="s">
        <v>755</v>
      </c>
      <c r="G127" s="75" t="s">
        <v>752</v>
      </c>
      <c r="H127" s="75" t="s">
        <v>738</v>
      </c>
      <c r="I127" s="75" t="s">
        <v>756</v>
      </c>
      <c r="J127" s="75" t="s">
        <v>707</v>
      </c>
      <c r="K127" s="75" t="s">
        <v>741</v>
      </c>
    </row>
    <row r="128" customFormat="false" ht="102.2" hidden="false" customHeight="false" outlineLevel="0" collapsed="false">
      <c r="A128" s="73" t="s">
        <v>757</v>
      </c>
      <c r="B128" s="73" t="s">
        <v>746</v>
      </c>
      <c r="C128" s="73" t="s">
        <v>758</v>
      </c>
      <c r="D128" s="73" t="s">
        <v>759</v>
      </c>
      <c r="E128" s="73" t="s">
        <v>679</v>
      </c>
      <c r="F128" s="73" t="s">
        <v>748</v>
      </c>
      <c r="G128" s="73" t="s">
        <v>749</v>
      </c>
      <c r="H128" s="73" t="s">
        <v>752</v>
      </c>
      <c r="I128" s="73" t="s">
        <v>748</v>
      </c>
      <c r="J128" s="73" t="s">
        <v>679</v>
      </c>
      <c r="K128" s="73" t="s">
        <v>760</v>
      </c>
    </row>
    <row r="129" customFormat="false" ht="258.95" hidden="false" customHeight="false" outlineLevel="0" collapsed="false">
      <c r="A129" s="75" t="s">
        <v>761</v>
      </c>
      <c r="B129" s="75" t="s">
        <v>762</v>
      </c>
      <c r="C129" s="75" t="s">
        <v>763</v>
      </c>
      <c r="D129" s="75" t="s">
        <v>764</v>
      </c>
      <c r="E129" s="75" t="s">
        <v>535</v>
      </c>
      <c r="F129" s="75" t="s">
        <v>679</v>
      </c>
      <c r="G129" s="75" t="s">
        <v>707</v>
      </c>
      <c r="H129" s="75" t="s">
        <v>707</v>
      </c>
      <c r="I129" s="75" t="s">
        <v>679</v>
      </c>
      <c r="J129" s="75" t="s">
        <v>535</v>
      </c>
      <c r="K129" s="75" t="s">
        <v>750</v>
      </c>
    </row>
    <row r="130" customFormat="false" ht="113.4" hidden="false" customHeight="false" outlineLevel="0" collapsed="false">
      <c r="A130" s="73" t="s">
        <v>765</v>
      </c>
      <c r="B130" s="73" t="s">
        <v>766</v>
      </c>
      <c r="C130" s="73" t="s">
        <v>767</v>
      </c>
      <c r="D130" s="73" t="s">
        <v>768</v>
      </c>
      <c r="E130" s="73" t="s">
        <v>707</v>
      </c>
      <c r="F130" s="73" t="s">
        <v>756</v>
      </c>
      <c r="G130" s="73" t="s">
        <v>750</v>
      </c>
      <c r="H130" s="73" t="s">
        <v>769</v>
      </c>
      <c r="I130" s="73" t="s">
        <v>752</v>
      </c>
      <c r="J130" s="73" t="s">
        <v>707</v>
      </c>
      <c r="K130" s="73" t="s">
        <v>770</v>
      </c>
    </row>
    <row r="131" customFormat="false" ht="102.2" hidden="false" customHeight="false" outlineLevel="0" collapsed="false">
      <c r="A131" s="75" t="s">
        <v>771</v>
      </c>
      <c r="B131" s="75" t="s">
        <v>772</v>
      </c>
      <c r="C131" s="75" t="s">
        <v>773</v>
      </c>
      <c r="D131" s="75" t="s">
        <v>774</v>
      </c>
      <c r="E131" s="75" t="s">
        <v>666</v>
      </c>
      <c r="F131" s="75" t="s">
        <v>748</v>
      </c>
      <c r="G131" s="75" t="s">
        <v>752</v>
      </c>
      <c r="H131" s="75" t="s">
        <v>750</v>
      </c>
      <c r="I131" s="75" t="s">
        <v>738</v>
      </c>
      <c r="J131" s="75" t="s">
        <v>755</v>
      </c>
      <c r="K131" s="75" t="s">
        <v>775</v>
      </c>
    </row>
    <row r="132" customFormat="false" ht="180.55" hidden="false" customHeight="false" outlineLevel="0" collapsed="false">
      <c r="A132" s="73" t="s">
        <v>776</v>
      </c>
      <c r="B132" s="73" t="s">
        <v>451</v>
      </c>
      <c r="C132" s="73" t="s">
        <v>777</v>
      </c>
      <c r="D132" s="73" t="s">
        <v>778</v>
      </c>
      <c r="E132" s="73" t="s">
        <v>779</v>
      </c>
      <c r="F132" s="73" t="s">
        <v>780</v>
      </c>
      <c r="G132" s="73" t="s">
        <v>781</v>
      </c>
      <c r="H132" s="73" t="s">
        <v>781</v>
      </c>
      <c r="I132" s="73" t="s">
        <v>780</v>
      </c>
      <c r="J132" s="73" t="s">
        <v>779</v>
      </c>
      <c r="K132" s="73" t="s">
        <v>780</v>
      </c>
    </row>
    <row r="133" customFormat="false" ht="147" hidden="false" customHeight="false" outlineLevel="0" collapsed="false">
      <c r="A133" s="75" t="s">
        <v>782</v>
      </c>
      <c r="B133" s="75" t="s">
        <v>746</v>
      </c>
      <c r="C133" s="75" t="s">
        <v>451</v>
      </c>
      <c r="D133" s="75" t="s">
        <v>783</v>
      </c>
      <c r="E133" s="75" t="s">
        <v>728</v>
      </c>
      <c r="F133" s="75" t="s">
        <v>784</v>
      </c>
      <c r="G133" s="75" t="s">
        <v>785</v>
      </c>
      <c r="H133" s="75" t="s">
        <v>731</v>
      </c>
      <c r="I133" s="75" t="s">
        <v>730</v>
      </c>
      <c r="J133" s="75" t="s">
        <v>786</v>
      </c>
      <c r="K133" s="75" t="s">
        <v>787</v>
      </c>
    </row>
    <row r="134" customFormat="false" ht="68.65" hidden="false" customHeight="false" outlineLevel="0" collapsed="false">
      <c r="A134" s="73" t="s">
        <v>788</v>
      </c>
      <c r="B134" s="73" t="s">
        <v>746</v>
      </c>
      <c r="C134" s="73" t="s">
        <v>451</v>
      </c>
      <c r="D134" s="73" t="s">
        <v>783</v>
      </c>
      <c r="E134" s="73" t="s">
        <v>742</v>
      </c>
      <c r="F134" s="73" t="s">
        <v>728</v>
      </c>
      <c r="G134" s="73" t="s">
        <v>786</v>
      </c>
      <c r="H134" s="73" t="s">
        <v>729</v>
      </c>
      <c r="I134" s="73" t="s">
        <v>789</v>
      </c>
      <c r="J134" s="73" t="s">
        <v>790</v>
      </c>
      <c r="K134" s="73" t="s">
        <v>791</v>
      </c>
    </row>
    <row r="135" customFormat="false" ht="214.15" hidden="false" customHeight="false" outlineLevel="0" collapsed="false">
      <c r="A135" s="75" t="s">
        <v>792</v>
      </c>
      <c r="B135" s="75" t="s">
        <v>451</v>
      </c>
      <c r="C135" s="75" t="s">
        <v>451</v>
      </c>
      <c r="D135" s="75" t="s">
        <v>793</v>
      </c>
      <c r="E135" s="75" t="s">
        <v>794</v>
      </c>
      <c r="F135" s="75" t="s">
        <v>731</v>
      </c>
      <c r="G135" s="75" t="s">
        <v>795</v>
      </c>
      <c r="H135" s="75" t="s">
        <v>796</v>
      </c>
      <c r="I135" s="75" t="s">
        <v>732</v>
      </c>
      <c r="J135" s="75" t="s">
        <v>785</v>
      </c>
      <c r="K135" s="75" t="s">
        <v>797</v>
      </c>
    </row>
    <row r="138" customFormat="false" ht="15" hidden="false" customHeight="false" outlineLevel="0" collapsed="false">
      <c r="A138" s="72" t="s">
        <v>798</v>
      </c>
    </row>
    <row r="139" customFormat="false" ht="128.35" hidden="false" customHeight="false" outlineLevel="0" collapsed="false">
      <c r="A139" s="3" t="s">
        <v>434</v>
      </c>
      <c r="B139" s="3" t="s">
        <v>799</v>
      </c>
      <c r="C139" s="3" t="s">
        <v>800</v>
      </c>
      <c r="D139" s="3" t="s">
        <v>717</v>
      </c>
      <c r="E139" s="3" t="s">
        <v>718</v>
      </c>
      <c r="F139" s="3" t="s">
        <v>719</v>
      </c>
      <c r="G139" s="3" t="s">
        <v>720</v>
      </c>
      <c r="H139" s="3" t="s">
        <v>721</v>
      </c>
      <c r="I139" s="3" t="s">
        <v>722</v>
      </c>
      <c r="J139" s="3" t="s">
        <v>801</v>
      </c>
    </row>
    <row r="140" customFormat="false" ht="135.8" hidden="false" customHeight="false" outlineLevel="0" collapsed="false">
      <c r="A140" s="73" t="s">
        <v>802</v>
      </c>
      <c r="B140" s="73" t="s">
        <v>803</v>
      </c>
      <c r="C140" s="73" t="s">
        <v>804</v>
      </c>
      <c r="D140" s="73" t="s">
        <v>805</v>
      </c>
      <c r="E140" s="73" t="s">
        <v>806</v>
      </c>
      <c r="F140" s="73" t="s">
        <v>807</v>
      </c>
      <c r="G140" s="73" t="s">
        <v>808</v>
      </c>
      <c r="H140" s="73" t="s">
        <v>809</v>
      </c>
      <c r="I140" s="73" t="s">
        <v>810</v>
      </c>
      <c r="J140" s="73" t="s">
        <v>810</v>
      </c>
    </row>
    <row r="141" customFormat="false" ht="135.8" hidden="false" customHeight="false" outlineLevel="0" collapsed="false">
      <c r="A141" s="75" t="s">
        <v>802</v>
      </c>
      <c r="B141" s="75" t="s">
        <v>811</v>
      </c>
      <c r="C141" s="75" t="s">
        <v>812</v>
      </c>
      <c r="D141" s="75" t="s">
        <v>813</v>
      </c>
      <c r="E141" s="75" t="s">
        <v>814</v>
      </c>
      <c r="F141" s="75" t="s">
        <v>815</v>
      </c>
      <c r="G141" s="75" t="s">
        <v>815</v>
      </c>
      <c r="H141" s="75" t="s">
        <v>816</v>
      </c>
      <c r="I141" s="75" t="s">
        <v>813</v>
      </c>
      <c r="J141" s="75" t="s">
        <v>817</v>
      </c>
    </row>
    <row r="142" customFormat="false" ht="158.2" hidden="false" customHeight="false" outlineLevel="0" collapsed="false">
      <c r="A142" s="73" t="s">
        <v>818</v>
      </c>
      <c r="B142" s="73" t="s">
        <v>819</v>
      </c>
      <c r="C142" s="73" t="s">
        <v>796</v>
      </c>
      <c r="D142" s="73" t="s">
        <v>820</v>
      </c>
      <c r="E142" s="73" t="s">
        <v>821</v>
      </c>
      <c r="F142" s="73" t="s">
        <v>822</v>
      </c>
      <c r="G142" s="73" t="s">
        <v>823</v>
      </c>
      <c r="H142" s="73" t="s">
        <v>824</v>
      </c>
      <c r="I142" s="73" t="s">
        <v>825</v>
      </c>
      <c r="J142" s="73" t="s">
        <v>825</v>
      </c>
    </row>
    <row r="143" customFormat="false" ht="57.45" hidden="false" customHeight="false" outlineLevel="0" collapsed="false">
      <c r="A143" s="75" t="s">
        <v>826</v>
      </c>
      <c r="B143" s="75" t="s">
        <v>803</v>
      </c>
      <c r="C143" s="75" t="s">
        <v>805</v>
      </c>
      <c r="D143" s="75" t="s">
        <v>822</v>
      </c>
      <c r="E143" s="75" t="s">
        <v>823</v>
      </c>
      <c r="F143" s="75" t="s">
        <v>807</v>
      </c>
      <c r="G143" s="75" t="s">
        <v>827</v>
      </c>
      <c r="H143" s="75" t="s">
        <v>828</v>
      </c>
      <c r="I143" s="75" t="s">
        <v>829</v>
      </c>
      <c r="J143" s="75" t="s">
        <v>829</v>
      </c>
    </row>
    <row r="144" customFormat="false" ht="57.45" hidden="false" customHeight="false" outlineLevel="0" collapsed="false">
      <c r="A144" s="73" t="s">
        <v>826</v>
      </c>
      <c r="B144" s="73" t="s">
        <v>830</v>
      </c>
      <c r="C144" s="73" t="s">
        <v>831</v>
      </c>
      <c r="D144" s="73" t="s">
        <v>832</v>
      </c>
      <c r="E144" s="73" t="s">
        <v>833</v>
      </c>
      <c r="F144" s="73" t="s">
        <v>831</v>
      </c>
      <c r="G144" s="73" t="s">
        <v>834</v>
      </c>
      <c r="H144" s="73" t="s">
        <v>834</v>
      </c>
      <c r="I144" s="73" t="s">
        <v>620</v>
      </c>
      <c r="J144" s="73" t="s">
        <v>835</v>
      </c>
    </row>
    <row r="145" customFormat="false" ht="79.85" hidden="false" customHeight="false" outlineLevel="0" collapsed="false">
      <c r="A145" s="75" t="s">
        <v>836</v>
      </c>
      <c r="B145" s="75" t="s">
        <v>837</v>
      </c>
      <c r="C145" s="75" t="s">
        <v>729</v>
      </c>
      <c r="D145" s="75" t="s">
        <v>794</v>
      </c>
      <c r="E145" s="75" t="s">
        <v>838</v>
      </c>
      <c r="F145" s="75" t="s">
        <v>732</v>
      </c>
      <c r="G145" s="75" t="s">
        <v>839</v>
      </c>
      <c r="H145" s="75" t="s">
        <v>796</v>
      </c>
      <c r="I145" s="75" t="s">
        <v>820</v>
      </c>
      <c r="J145" s="75" t="s">
        <v>820</v>
      </c>
    </row>
    <row r="146" customFormat="false" ht="79.85" hidden="false" customHeight="false" outlineLevel="0" collapsed="false">
      <c r="A146" s="73" t="s">
        <v>836</v>
      </c>
      <c r="B146" s="73" t="s">
        <v>840</v>
      </c>
      <c r="C146" s="73" t="s">
        <v>732</v>
      </c>
      <c r="D146" s="73" t="s">
        <v>806</v>
      </c>
      <c r="E146" s="73" t="s">
        <v>808</v>
      </c>
      <c r="F146" s="73" t="s">
        <v>841</v>
      </c>
      <c r="G146" s="73" t="s">
        <v>842</v>
      </c>
      <c r="H146" s="73" t="s">
        <v>843</v>
      </c>
      <c r="I146" s="73" t="s">
        <v>810</v>
      </c>
      <c r="J146" s="73" t="s">
        <v>844</v>
      </c>
    </row>
    <row r="147" customFormat="false" ht="57.45" hidden="false" customHeight="false" outlineLevel="0" collapsed="false">
      <c r="A147" s="75" t="s">
        <v>845</v>
      </c>
      <c r="B147" s="75" t="s">
        <v>803</v>
      </c>
      <c r="C147" s="75" t="s">
        <v>838</v>
      </c>
      <c r="D147" s="75" t="s">
        <v>846</v>
      </c>
      <c r="E147" s="75" t="s">
        <v>820</v>
      </c>
      <c r="F147" s="75" t="s">
        <v>847</v>
      </c>
      <c r="G147" s="75" t="s">
        <v>823</v>
      </c>
      <c r="H147" s="75" t="s">
        <v>824</v>
      </c>
      <c r="I147" s="75" t="s">
        <v>825</v>
      </c>
      <c r="J147" s="75" t="s">
        <v>825</v>
      </c>
    </row>
    <row r="148" customFormat="false" ht="57.45" hidden="false" customHeight="false" outlineLevel="0" collapsed="false">
      <c r="A148" s="73" t="s">
        <v>845</v>
      </c>
      <c r="B148" s="73" t="s">
        <v>840</v>
      </c>
      <c r="C148" s="73" t="s">
        <v>810</v>
      </c>
      <c r="D148" s="73" t="s">
        <v>848</v>
      </c>
      <c r="E148" s="73" t="s">
        <v>849</v>
      </c>
      <c r="F148" s="73" t="s">
        <v>850</v>
      </c>
      <c r="G148" s="73" t="s">
        <v>851</v>
      </c>
      <c r="H148" s="73" t="s">
        <v>850</v>
      </c>
      <c r="I148" s="73" t="s">
        <v>852</v>
      </c>
      <c r="J148" s="73" t="s">
        <v>853</v>
      </c>
    </row>
    <row r="149" customFormat="false" ht="79.85" hidden="false" customHeight="false" outlineLevel="0" collapsed="false">
      <c r="A149" s="75" t="s">
        <v>854</v>
      </c>
      <c r="B149" s="75" t="s">
        <v>803</v>
      </c>
      <c r="C149" s="75" t="s">
        <v>794</v>
      </c>
      <c r="D149" s="75" t="s">
        <v>785</v>
      </c>
      <c r="E149" s="75" t="s">
        <v>732</v>
      </c>
      <c r="F149" s="75" t="s">
        <v>796</v>
      </c>
      <c r="G149" s="75" t="s">
        <v>820</v>
      </c>
      <c r="H149" s="75" t="s">
        <v>804</v>
      </c>
      <c r="I149" s="75" t="s">
        <v>805</v>
      </c>
      <c r="J149" s="75" t="s">
        <v>805</v>
      </c>
    </row>
    <row r="150" customFormat="false" ht="46.25" hidden="false" customHeight="false" outlineLevel="0" collapsed="false">
      <c r="A150" s="73" t="s">
        <v>855</v>
      </c>
      <c r="B150" s="73" t="s">
        <v>856</v>
      </c>
      <c r="C150" s="73" t="s">
        <v>550</v>
      </c>
      <c r="D150" s="73" t="s">
        <v>752</v>
      </c>
      <c r="E150" s="73" t="s">
        <v>750</v>
      </c>
      <c r="F150" s="73" t="s">
        <v>742</v>
      </c>
      <c r="G150" s="73" t="s">
        <v>857</v>
      </c>
      <c r="H150" s="73" t="s">
        <v>742</v>
      </c>
      <c r="I150" s="73" t="s">
        <v>769</v>
      </c>
      <c r="J150" s="73" t="s">
        <v>786</v>
      </c>
    </row>
    <row r="151" customFormat="false" ht="46.25" hidden="false" customHeight="false" outlineLevel="0" collapsed="false">
      <c r="A151" s="75" t="s">
        <v>855</v>
      </c>
      <c r="B151" s="75" t="s">
        <v>858</v>
      </c>
      <c r="C151" s="75" t="s">
        <v>550</v>
      </c>
      <c r="D151" s="75" t="s">
        <v>859</v>
      </c>
      <c r="E151" s="75" t="s">
        <v>860</v>
      </c>
      <c r="F151" s="75" t="s">
        <v>861</v>
      </c>
      <c r="G151" s="75" t="s">
        <v>862</v>
      </c>
      <c r="H151" s="75" t="s">
        <v>863</v>
      </c>
      <c r="I151" s="75" t="s">
        <v>860</v>
      </c>
      <c r="J151" s="75" t="s">
        <v>864</v>
      </c>
    </row>
    <row r="154" customFormat="false" ht="15" hidden="false" customHeight="false" outlineLevel="0" collapsed="false">
      <c r="A154" s="72" t="s">
        <v>865</v>
      </c>
    </row>
    <row r="155" customFormat="false" ht="52.2" hidden="false" customHeight="false" outlineLevel="0" collapsed="false">
      <c r="A155" s="3" t="s">
        <v>434</v>
      </c>
      <c r="B155" s="3" t="s">
        <v>714</v>
      </c>
      <c r="C155" s="3" t="s">
        <v>717</v>
      </c>
      <c r="D155" s="3" t="s">
        <v>718</v>
      </c>
      <c r="E155" s="3" t="s">
        <v>719</v>
      </c>
      <c r="F155" s="3" t="s">
        <v>720</v>
      </c>
      <c r="G155" s="3" t="s">
        <v>721</v>
      </c>
      <c r="H155" s="3" t="s">
        <v>722</v>
      </c>
      <c r="I155" s="3" t="s">
        <v>723</v>
      </c>
    </row>
    <row r="156" customFormat="false" ht="46.25" hidden="false" customHeight="false" outlineLevel="0" collapsed="false">
      <c r="A156" s="73" t="s">
        <v>866</v>
      </c>
      <c r="B156" s="73" t="s">
        <v>867</v>
      </c>
      <c r="C156" s="73" t="s">
        <v>666</v>
      </c>
      <c r="D156" s="73" t="s">
        <v>679</v>
      </c>
      <c r="E156" s="73" t="s">
        <v>692</v>
      </c>
      <c r="F156" s="73" t="s">
        <v>679</v>
      </c>
      <c r="G156" s="73" t="s">
        <v>666</v>
      </c>
      <c r="H156" s="73" t="s">
        <v>535</v>
      </c>
      <c r="I156" s="73" t="s">
        <v>868</v>
      </c>
    </row>
    <row r="157" customFormat="false" ht="46.25" hidden="false" customHeight="false" outlineLevel="0" collapsed="false">
      <c r="A157" s="75" t="s">
        <v>866</v>
      </c>
      <c r="B157" s="75" t="s">
        <v>869</v>
      </c>
      <c r="C157" s="75" t="s">
        <v>810</v>
      </c>
      <c r="D157" s="75" t="s">
        <v>870</v>
      </c>
      <c r="E157" s="75" t="s">
        <v>849</v>
      </c>
      <c r="F157" s="75" t="s">
        <v>871</v>
      </c>
      <c r="G157" s="75" t="s">
        <v>849</v>
      </c>
      <c r="H157" s="75" t="s">
        <v>848</v>
      </c>
      <c r="I157" s="75" t="s">
        <v>872</v>
      </c>
    </row>
    <row r="158" customFormat="false" ht="46.25" hidden="false" customHeight="false" outlineLevel="0" collapsed="false">
      <c r="A158" s="73" t="s">
        <v>866</v>
      </c>
      <c r="B158" s="73" t="s">
        <v>873</v>
      </c>
      <c r="C158" s="73" t="s">
        <v>535</v>
      </c>
      <c r="D158" s="73" t="s">
        <v>692</v>
      </c>
      <c r="E158" s="73" t="s">
        <v>755</v>
      </c>
      <c r="F158" s="73" t="s">
        <v>756</v>
      </c>
      <c r="G158" s="73" t="s">
        <v>748</v>
      </c>
      <c r="H158" s="73" t="s">
        <v>679</v>
      </c>
      <c r="I158" s="73" t="s">
        <v>874</v>
      </c>
    </row>
    <row r="159" customFormat="false" ht="46.25" hidden="false" customHeight="false" outlineLevel="0" collapsed="false">
      <c r="A159" s="75" t="s">
        <v>875</v>
      </c>
      <c r="B159" s="75" t="s">
        <v>876</v>
      </c>
      <c r="C159" s="75" t="s">
        <v>877</v>
      </c>
      <c r="D159" s="75" t="s">
        <v>794</v>
      </c>
      <c r="E159" s="75" t="s">
        <v>731</v>
      </c>
      <c r="F159" s="75" t="s">
        <v>878</v>
      </c>
      <c r="G159" s="75" t="s">
        <v>879</v>
      </c>
      <c r="H159" s="75" t="s">
        <v>880</v>
      </c>
      <c r="I159" s="75" t="s">
        <v>881</v>
      </c>
    </row>
    <row r="160" customFormat="false" ht="46.25" hidden="false" customHeight="false" outlineLevel="0" collapsed="false">
      <c r="A160" s="73" t="s">
        <v>875</v>
      </c>
      <c r="B160" s="73" t="s">
        <v>882</v>
      </c>
      <c r="C160" s="73" t="s">
        <v>883</v>
      </c>
      <c r="D160" s="73" t="s">
        <v>884</v>
      </c>
      <c r="E160" s="73" t="s">
        <v>885</v>
      </c>
      <c r="F160" s="73" t="s">
        <v>886</v>
      </c>
      <c r="G160" s="73" t="s">
        <v>886</v>
      </c>
      <c r="H160" s="73" t="s">
        <v>887</v>
      </c>
      <c r="I160" s="73" t="s">
        <v>888</v>
      </c>
    </row>
    <row r="161" customFormat="false" ht="46.25" hidden="false" customHeight="false" outlineLevel="0" collapsed="false">
      <c r="A161" s="75" t="s">
        <v>875</v>
      </c>
      <c r="B161" s="75" t="s">
        <v>889</v>
      </c>
      <c r="C161" s="75" t="s">
        <v>890</v>
      </c>
      <c r="D161" s="75" t="s">
        <v>627</v>
      </c>
      <c r="E161" s="75" t="s">
        <v>627</v>
      </c>
      <c r="F161" s="75" t="s">
        <v>891</v>
      </c>
      <c r="G161" s="75" t="s">
        <v>891</v>
      </c>
      <c r="H161" s="75" t="s">
        <v>632</v>
      </c>
      <c r="I161" s="75" t="s">
        <v>892</v>
      </c>
    </row>
    <row r="162" customFormat="false" ht="46.25" hidden="false" customHeight="false" outlineLevel="0" collapsed="false">
      <c r="A162" s="73" t="s">
        <v>875</v>
      </c>
      <c r="B162" s="73" t="s">
        <v>893</v>
      </c>
      <c r="C162" s="73" t="s">
        <v>666</v>
      </c>
      <c r="D162" s="73" t="s">
        <v>707</v>
      </c>
      <c r="E162" s="73" t="s">
        <v>755</v>
      </c>
      <c r="F162" s="73" t="s">
        <v>756</v>
      </c>
      <c r="G162" s="73" t="s">
        <v>748</v>
      </c>
      <c r="H162" s="73" t="s">
        <v>679</v>
      </c>
      <c r="I162" s="73" t="s">
        <v>894</v>
      </c>
    </row>
    <row r="165" customFormat="false" ht="15" hidden="false" customHeight="false" outlineLevel="0" collapsed="false">
      <c r="A165" s="72" t="s">
        <v>895</v>
      </c>
    </row>
    <row r="166" customFormat="false" ht="90.25" hidden="false" customHeight="false" outlineLevel="0" collapsed="false">
      <c r="A166" s="3" t="s">
        <v>896</v>
      </c>
      <c r="B166" s="3" t="s">
        <v>717</v>
      </c>
      <c r="C166" s="3" t="s">
        <v>718</v>
      </c>
      <c r="D166" s="3" t="s">
        <v>719</v>
      </c>
      <c r="E166" s="3" t="s">
        <v>720</v>
      </c>
      <c r="F166" s="3" t="s">
        <v>721</v>
      </c>
      <c r="G166" s="3" t="s">
        <v>722</v>
      </c>
      <c r="H166" s="3" t="s">
        <v>723</v>
      </c>
      <c r="I166" s="3" t="s">
        <v>897</v>
      </c>
    </row>
    <row r="167" customFormat="false" ht="147" hidden="false" customHeight="false" outlineLevel="0" collapsed="false">
      <c r="A167" s="73" t="s">
        <v>898</v>
      </c>
      <c r="B167" s="73" t="s">
        <v>899</v>
      </c>
      <c r="C167" s="73" t="s">
        <v>900</v>
      </c>
      <c r="D167" s="73" t="s">
        <v>901</v>
      </c>
      <c r="E167" s="73" t="s">
        <v>901</v>
      </c>
      <c r="F167" s="73" t="s">
        <v>900</v>
      </c>
      <c r="G167" s="73" t="s">
        <v>899</v>
      </c>
      <c r="H167" s="73" t="s">
        <v>902</v>
      </c>
      <c r="I167" s="73" t="s">
        <v>903</v>
      </c>
    </row>
    <row r="168" customFormat="false" ht="91" hidden="false" customHeight="false" outlineLevel="0" collapsed="false">
      <c r="A168" s="75" t="s">
        <v>904</v>
      </c>
      <c r="B168" s="75" t="s">
        <v>905</v>
      </c>
      <c r="C168" s="75" t="s">
        <v>899</v>
      </c>
      <c r="D168" s="75" t="s">
        <v>900</v>
      </c>
      <c r="E168" s="75" t="s">
        <v>900</v>
      </c>
      <c r="F168" s="75" t="s">
        <v>899</v>
      </c>
      <c r="G168" s="75" t="s">
        <v>906</v>
      </c>
      <c r="H168" s="75" t="s">
        <v>907</v>
      </c>
      <c r="I168" s="75" t="s">
        <v>908</v>
      </c>
    </row>
    <row r="169" customFormat="false" ht="91" hidden="false" customHeight="false" outlineLevel="0" collapsed="false">
      <c r="A169" s="73" t="s">
        <v>453</v>
      </c>
      <c r="B169" s="73" t="s">
        <v>909</v>
      </c>
      <c r="C169" s="73" t="s">
        <v>906</v>
      </c>
      <c r="D169" s="73" t="s">
        <v>899</v>
      </c>
      <c r="E169" s="73" t="s">
        <v>899</v>
      </c>
      <c r="F169" s="73" t="s">
        <v>906</v>
      </c>
      <c r="G169" s="73" t="s">
        <v>909</v>
      </c>
      <c r="H169" s="73" t="s">
        <v>910</v>
      </c>
      <c r="I169" s="73" t="s">
        <v>911</v>
      </c>
    </row>
    <row r="170" customFormat="false" ht="68.65" hidden="false" customHeight="false" outlineLevel="0" collapsed="false">
      <c r="A170" s="75" t="s">
        <v>912</v>
      </c>
      <c r="B170" s="75" t="s">
        <v>913</v>
      </c>
      <c r="C170" s="75" t="s">
        <v>906</v>
      </c>
      <c r="D170" s="75" t="s">
        <v>905</v>
      </c>
      <c r="E170" s="75" t="s">
        <v>905</v>
      </c>
      <c r="F170" s="75" t="s">
        <v>906</v>
      </c>
      <c r="G170" s="75" t="s">
        <v>909</v>
      </c>
      <c r="H170" s="75" t="s">
        <v>914</v>
      </c>
      <c r="I170" s="75" t="s">
        <v>915</v>
      </c>
    </row>
    <row r="171" customFormat="false" ht="270.1" hidden="false" customHeight="false" outlineLevel="0" collapsed="false">
      <c r="A171" s="73" t="s">
        <v>916</v>
      </c>
      <c r="B171" s="73" t="s">
        <v>909</v>
      </c>
      <c r="C171" s="73" t="s">
        <v>909</v>
      </c>
      <c r="D171" s="73" t="s">
        <v>913</v>
      </c>
      <c r="E171" s="73" t="s">
        <v>913</v>
      </c>
      <c r="F171" s="73" t="s">
        <v>909</v>
      </c>
      <c r="G171" s="73" t="s">
        <v>917</v>
      </c>
      <c r="H171" s="73" t="s">
        <v>918</v>
      </c>
      <c r="I171" s="73" t="s">
        <v>919</v>
      </c>
    </row>
    <row r="172" customFormat="false" ht="214.15" hidden="false" customHeight="false" outlineLevel="0" collapsed="false">
      <c r="A172" s="75" t="s">
        <v>920</v>
      </c>
      <c r="B172" s="75" t="s">
        <v>909</v>
      </c>
      <c r="C172" s="75" t="s">
        <v>909</v>
      </c>
      <c r="D172" s="75" t="s">
        <v>906</v>
      </c>
      <c r="E172" s="75" t="s">
        <v>913</v>
      </c>
      <c r="F172" s="75" t="s">
        <v>909</v>
      </c>
      <c r="G172" s="75" t="s">
        <v>917</v>
      </c>
      <c r="H172" s="75" t="s">
        <v>921</v>
      </c>
      <c r="I172" s="75" t="s">
        <v>922</v>
      </c>
    </row>
    <row r="173" customFormat="false" ht="158.2" hidden="false" customHeight="false" outlineLevel="0" collapsed="false">
      <c r="A173" s="73" t="s">
        <v>923</v>
      </c>
      <c r="B173" s="73" t="s">
        <v>924</v>
      </c>
      <c r="C173" s="73" t="s">
        <v>925</v>
      </c>
      <c r="D173" s="73" t="s">
        <v>917</v>
      </c>
      <c r="E173" s="73" t="s">
        <v>917</v>
      </c>
      <c r="F173" s="73" t="s">
        <v>926</v>
      </c>
      <c r="G173" s="73" t="s">
        <v>924</v>
      </c>
      <c r="H173" s="73" t="s">
        <v>927</v>
      </c>
      <c r="I173" s="73" t="s">
        <v>928</v>
      </c>
    </row>
    <row r="174" customFormat="false" ht="337.3" hidden="false" customHeight="false" outlineLevel="0" collapsed="false">
      <c r="A174" s="75" t="s">
        <v>929</v>
      </c>
      <c r="B174" s="75" t="s">
        <v>926</v>
      </c>
      <c r="C174" s="75" t="s">
        <v>926</v>
      </c>
      <c r="D174" s="75" t="s">
        <v>926</v>
      </c>
      <c r="E174" s="75" t="s">
        <v>926</v>
      </c>
      <c r="F174" s="75" t="s">
        <v>926</v>
      </c>
      <c r="G174" s="75" t="s">
        <v>926</v>
      </c>
      <c r="H174" s="75" t="s">
        <v>930</v>
      </c>
      <c r="I174" s="75" t="s">
        <v>931</v>
      </c>
    </row>
    <row r="175" customFormat="false" ht="169.4" hidden="false" customHeight="false" outlineLevel="0" collapsed="false">
      <c r="A175" s="73" t="s">
        <v>932</v>
      </c>
      <c r="B175" s="73" t="s">
        <v>933</v>
      </c>
      <c r="C175" s="73" t="s">
        <v>926</v>
      </c>
      <c r="D175" s="73" t="s">
        <v>917</v>
      </c>
      <c r="E175" s="73" t="s">
        <v>917</v>
      </c>
      <c r="F175" s="73" t="s">
        <v>926</v>
      </c>
      <c r="G175" s="73" t="s">
        <v>933</v>
      </c>
      <c r="H175" s="73" t="s">
        <v>906</v>
      </c>
      <c r="I175" s="73" t="s">
        <v>934</v>
      </c>
    </row>
    <row r="176" customFormat="false" ht="135.8" hidden="false" customHeight="false" outlineLevel="0" collapsed="false">
      <c r="A176" s="75" t="s">
        <v>935</v>
      </c>
      <c r="B176" s="75" t="s">
        <v>924</v>
      </c>
      <c r="C176" s="75" t="s">
        <v>917</v>
      </c>
      <c r="D176" s="75" t="s">
        <v>909</v>
      </c>
      <c r="E176" s="75" t="s">
        <v>913</v>
      </c>
      <c r="F176" s="75" t="s">
        <v>909</v>
      </c>
      <c r="G176" s="75" t="s">
        <v>917</v>
      </c>
      <c r="H176" s="75" t="s">
        <v>936</v>
      </c>
      <c r="I176" s="75" t="s">
        <v>815</v>
      </c>
    </row>
    <row r="177" customFormat="false" ht="158.2" hidden="false" customHeight="false" outlineLevel="0" collapsed="false">
      <c r="A177" s="73" t="s">
        <v>937</v>
      </c>
      <c r="B177" s="73" t="s">
        <v>938</v>
      </c>
      <c r="C177" s="73" t="s">
        <v>939</v>
      </c>
      <c r="D177" s="73" t="s">
        <v>940</v>
      </c>
      <c r="E177" s="73" t="s">
        <v>940</v>
      </c>
      <c r="F177" s="73" t="s">
        <v>930</v>
      </c>
      <c r="G177" s="73" t="s">
        <v>909</v>
      </c>
      <c r="H177" s="73" t="s">
        <v>941</v>
      </c>
      <c r="I177" s="73" t="s">
        <v>942</v>
      </c>
    </row>
    <row r="178" customFormat="false" ht="115.65" hidden="false" customHeight="false" outlineLevel="0" collapsed="false">
      <c r="A178" s="77" t="s">
        <v>943</v>
      </c>
      <c r="B178" s="77" t="s">
        <v>944</v>
      </c>
      <c r="C178" s="77" t="s">
        <v>945</v>
      </c>
      <c r="D178" s="77" t="s">
        <v>946</v>
      </c>
      <c r="E178" s="77" t="s">
        <v>946</v>
      </c>
      <c r="F178" s="77" t="s">
        <v>947</v>
      </c>
      <c r="G178" s="77" t="s">
        <v>948</v>
      </c>
      <c r="H178" s="77" t="s">
        <v>949</v>
      </c>
      <c r="I178" s="77" t="s">
        <v>950</v>
      </c>
    </row>
    <row r="181" customFormat="false" ht="15" hidden="false" customHeight="false" outlineLevel="0" collapsed="false">
      <c r="A181" s="78" t="s">
        <v>951</v>
      </c>
      <c r="B181" s="78"/>
      <c r="C181" s="78"/>
      <c r="D181" s="78"/>
    </row>
    <row r="182" customFormat="false" ht="15" hidden="false" customHeight="false" outlineLevel="0" collapsed="false">
      <c r="A182" s="79" t="s">
        <v>952</v>
      </c>
    </row>
    <row r="184" customFormat="false" ht="15" hidden="false" customHeight="false" outlineLevel="0" collapsed="false">
      <c r="A184" s="78" t="s">
        <v>953</v>
      </c>
      <c r="B184" s="78"/>
      <c r="C184" s="78"/>
      <c r="D184" s="78"/>
    </row>
    <row r="185" customFormat="false" ht="15" hidden="false" customHeight="false" outlineLevel="0" collapsed="false">
      <c r="A185" s="79" t="s">
        <v>954</v>
      </c>
    </row>
  </sheetData>
  <mergeCells count="8">
    <mergeCell ref="B1:I1"/>
    <mergeCell ref="B2:I2"/>
    <mergeCell ref="B4:I4"/>
    <mergeCell ref="B15:I15"/>
    <mergeCell ref="B27:I27"/>
    <mergeCell ref="B41:I41"/>
    <mergeCell ref="A181:D181"/>
    <mergeCell ref="A184:D184"/>
  </mergeCells>
  <hyperlinks>
    <hyperlink ref="B89" r:id="rId1" location="'I.%20Chân%20Dung%20KH'!A1" display="I. Chân Dung KH"/>
    <hyperlink ref="B90" r:id="rId2" location="'0.%20Dashboard'!A1" display="0. Dashboard"/>
    <hyperlink ref="B91" r:id="rId3" location="'1.%20Input'!A1" display="1. Input"/>
    <hyperlink ref="B92" r:id="rId4" location="'2.%20Paid%20Media'!A1" display="2. Paid Media"/>
    <hyperlink ref="B93" r:id="rId5" location="'3.%20Master%20Table'!A1" display="3. Master Table"/>
    <hyperlink ref="B94" r:id="rId6" location="'4.%20Funnel'!A1" display="4. Funnel"/>
    <hyperlink ref="B95" r:id="rId7" location="'5.%20Google%20Ads%20Chi%20Tiết'!A1" display="5. Google Ads Chi Tiết"/>
    <hyperlink ref="B96" r:id="rId8" location="'6.%20Meta%20Ads%20Chi%20Tiết'!A1" display="6. Meta Ads Chi Tiết"/>
    <hyperlink ref="B97" r:id="rId9" location="'7.%20TikTok%20Ads%20Chi%20Tiết'!A1" display="7. TikTok Ads Chi Tiết"/>
    <hyperlink ref="B98" r:id="rId10" location="'8.%20GoHighLevel%20Setup'!A1" display="8. GoHighLevel Setup"/>
    <hyperlink ref="B99" r:id="rId11" location="'9.%20GTM%20Tracking'!A1" display="9. GTM Tracking"/>
    <hyperlink ref="B100" r:id="rId12" location="'10.%20Lịch%20Công%20Việc%20Marketer'!A1" display="10. Lịch Công Việc Marketer"/>
    <hyperlink ref="B101" r:id="rId13" location="'11.%20Timeline'!A1" display="11. Timeline"/>
    <hyperlink ref="B102" r:id="rId14" location="'12.%20Danh%20bạ'!A1" display="12. Danh bạ"/>
    <hyperlink ref="B103" r:id="rId15" location="'13.%20Zalo%20Ads%20+%20OA'!A1" display="13. Zalo Ads + OA"/>
    <hyperlink ref="B104" r:id="rId16" location="'14.%20Weekly%20Battleplan'!A1" display="14. Weekly Battleplan"/>
    <hyperlink ref="B105" r:id="rId17" location="'A.%20KPI%20Weekly%20Tracker'!A1" display="A. KPI Weekly Tracker"/>
    <hyperlink ref="B106" r:id="rId18" location="'B.%20Todo%20Daily'!A1" display="B. Todo Daily"/>
    <hyperlink ref="B107" r:id="rId19" location="'C.%20Todo%20Weekly'!A1" display="C. Todo Weekly"/>
    <hyperlink ref="B108" r:id="rId20" location="'D.%20Todo%20Monthly'!A1" display="D. Todo Monthly"/>
    <hyperlink ref="B109" r:id="rId21" location="'E.%20Campaign%20Tracker'!A1" display="E. Campaign Tracker"/>
    <hyperlink ref="B110" r:id="rId22" location="'F.%20Meta%20Ads%20Plan'!A1" display="F. Meta Ads Plan"/>
    <hyperlink ref="B111" r:id="rId23" location="'G.%20Google%20Ads%20Plan'!A1" display="G. Google Ads Plan"/>
    <hyperlink ref="B112" r:id="rId24" location="'H.%20Birch%20+%20GHL%20Integration'!A1" display="H. Birch + GHL Integration"/>
    <hyperlink ref="B113" r:id="rId25" location="'J.%20Webinar%20Chi%20Tiết'!A1" display="J. Webinar Chi Tiết"/>
    <hyperlink ref="B114" r:id="rId26" location="'K.%20Social%20Media%20Calendar'!A1" display="K. Social Media Calendar"/>
    <hyperlink ref="B115" r:id="rId27" location="'L.%20Analytics%20&amp;%20Remarketing'!A1" display="L. Analytics &amp; Remarketing"/>
    <hyperlink ref="B116" r:id="rId28" location="'M.%20Video%20Marketing'!A1" display="M. Video Marketing"/>
    <hyperlink ref="B117" r:id="rId29" location="'N.%20Email%20Marketing'!A1" display="N. Email Marketing"/>
    <hyperlink ref="B118" r:id="rId30" location="'O.%20Nuôi%20Kênh%20Social%20Media'!A1" display="O. Nuôi Kênh Social Media"/>
    <hyperlink ref="B119" r:id="rId31" location="'P.%20Setup%20&amp;%20Đồng%20Bộ'!A1" display="P. Setup &amp; Đồng Bộ"/>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833A"/>
    <pageSetUpPr fitToPage="false"/>
  </sheetPr>
  <dimension ref="A1:G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10"/>
    <col collapsed="false" customWidth="true" hidden="false" outlineLevel="0" max="4" min="4" style="1" width="35"/>
    <col collapsed="false" customWidth="true" hidden="false" outlineLevel="0" max="5" min="5" style="1" width="30"/>
    <col collapsed="false" customWidth="true" hidden="false" outlineLevel="0" max="6" min="6" style="1" width="35"/>
    <col collapsed="false" customWidth="true" hidden="false" outlineLevel="0" max="7" min="7" style="1" width="15"/>
  </cols>
  <sheetData>
    <row r="1" customFormat="false" ht="15" hidden="false" customHeight="true" outlineLevel="0" collapsed="false">
      <c r="A1" s="80" t="s">
        <v>955</v>
      </c>
      <c r="B1" s="80"/>
      <c r="C1" s="80"/>
      <c r="D1" s="80"/>
    </row>
    <row r="2" customFormat="false" ht="15" hidden="false" customHeight="true" outlineLevel="0" collapsed="false">
      <c r="A2" s="81" t="s">
        <v>956</v>
      </c>
      <c r="B2" s="81"/>
      <c r="C2" s="81"/>
      <c r="D2" s="81"/>
    </row>
    <row r="3" customFormat="false" ht="15" hidden="false" customHeight="true" outlineLevel="0" collapsed="false">
      <c r="A3" s="82" t="s">
        <v>896</v>
      </c>
      <c r="B3" s="82" t="s">
        <v>957</v>
      </c>
      <c r="C3" s="82" t="s">
        <v>958</v>
      </c>
      <c r="D3" s="82" t="s">
        <v>440</v>
      </c>
    </row>
    <row r="4" customFormat="false" ht="15" hidden="false" customHeight="true" outlineLevel="0" collapsed="false">
      <c r="A4" s="83" t="s">
        <v>959</v>
      </c>
      <c r="B4" s="84" t="n">
        <v>13000000000</v>
      </c>
      <c r="C4" s="83" t="s">
        <v>960</v>
      </c>
      <c r="D4" s="83" t="s">
        <v>961</v>
      </c>
    </row>
    <row r="5" customFormat="false" ht="15" hidden="false" customHeight="true" outlineLevel="0" collapsed="false">
      <c r="A5" s="85" t="s">
        <v>962</v>
      </c>
      <c r="B5" s="86" t="n">
        <v>1300</v>
      </c>
      <c r="C5" s="85" t="s">
        <v>963</v>
      </c>
      <c r="D5" s="85" t="s">
        <v>964</v>
      </c>
    </row>
    <row r="6" customFormat="false" ht="15" hidden="false" customHeight="true" outlineLevel="0" collapsed="false">
      <c r="A6" s="83" t="s">
        <v>965</v>
      </c>
      <c r="B6" s="87" t="n">
        <v>0.2</v>
      </c>
      <c r="C6" s="83" t="s">
        <v>966</v>
      </c>
      <c r="D6" s="83" t="s">
        <v>967</v>
      </c>
    </row>
    <row r="7" customFormat="false" ht="15" hidden="false" customHeight="true" outlineLevel="0" collapsed="false">
      <c r="A7" s="85" t="s">
        <v>968</v>
      </c>
      <c r="B7" s="88" t="n">
        <v>0.3</v>
      </c>
      <c r="C7" s="85" t="s">
        <v>966</v>
      </c>
      <c r="D7" s="85" t="s">
        <v>969</v>
      </c>
    </row>
    <row r="8" customFormat="false" ht="15" hidden="false" customHeight="true" outlineLevel="0" collapsed="false">
      <c r="A8" s="83" t="s">
        <v>970</v>
      </c>
      <c r="B8" s="87" t="n">
        <v>0.35</v>
      </c>
      <c r="C8" s="83" t="s">
        <v>966</v>
      </c>
      <c r="D8" s="83" t="s">
        <v>971</v>
      </c>
    </row>
    <row r="9" customFormat="false" ht="15" hidden="false" customHeight="true" outlineLevel="0" collapsed="false">
      <c r="A9" s="85" t="s">
        <v>972</v>
      </c>
      <c r="B9" s="89" t="n">
        <v>200000000</v>
      </c>
      <c r="C9" s="85" t="s">
        <v>960</v>
      </c>
      <c r="D9" s="85" t="s">
        <v>973</v>
      </c>
    </row>
    <row r="10" customFormat="false" ht="15" hidden="false" customHeight="true" outlineLevel="0" collapsed="false">
      <c r="A10" s="83" t="s">
        <v>974</v>
      </c>
      <c r="B10" s="84" t="n">
        <v>800000000</v>
      </c>
      <c r="C10" s="83" t="s">
        <v>960</v>
      </c>
      <c r="D10" s="83" t="s">
        <v>975</v>
      </c>
    </row>
    <row r="11" customFormat="false" ht="15" hidden="false" customHeight="true" outlineLevel="0" collapsed="false">
      <c r="A11" s="85" t="s">
        <v>976</v>
      </c>
      <c r="B11" s="89" t="n">
        <v>800000000</v>
      </c>
      <c r="C11" s="85" t="s">
        <v>960</v>
      </c>
      <c r="D11" s="85" t="s">
        <v>977</v>
      </c>
    </row>
    <row r="12" customFormat="false" ht="15" hidden="false" customHeight="true" outlineLevel="0" collapsed="false">
      <c r="A12" s="83" t="s">
        <v>978</v>
      </c>
      <c r="B12" s="84" t="n">
        <v>700000000</v>
      </c>
      <c r="C12" s="83" t="s">
        <v>960</v>
      </c>
      <c r="D12" s="83" t="s">
        <v>979</v>
      </c>
    </row>
    <row r="13" customFormat="false" ht="15" hidden="false" customHeight="true" outlineLevel="0" collapsed="false">
      <c r="A13" s="85" t="s">
        <v>980</v>
      </c>
      <c r="B13" s="89" t="n">
        <v>450000000</v>
      </c>
      <c r="C13" s="85" t="s">
        <v>960</v>
      </c>
      <c r="D13" s="85" t="s">
        <v>981</v>
      </c>
    </row>
    <row r="14" customFormat="false" ht="15" hidden="false" customHeight="true" outlineLevel="0" collapsed="false">
      <c r="A14" s="83" t="s">
        <v>982</v>
      </c>
      <c r="B14" s="84" t="n">
        <v>1000000000</v>
      </c>
      <c r="C14" s="83" t="s">
        <v>960</v>
      </c>
      <c r="D14" s="83" t="s">
        <v>983</v>
      </c>
    </row>
    <row r="15" customFormat="false" ht="15" hidden="false" customHeight="true" outlineLevel="0" collapsed="false">
      <c r="A15" s="85" t="s">
        <v>984</v>
      </c>
      <c r="B15" s="89" t="n">
        <v>8500000000</v>
      </c>
      <c r="C15" s="85" t="s">
        <v>960</v>
      </c>
      <c r="D15" s="85" t="s">
        <v>985</v>
      </c>
    </row>
    <row r="16" customFormat="false" ht="15" hidden="false" customHeight="true" outlineLevel="0" collapsed="false">
      <c r="A16" s="83" t="s">
        <v>986</v>
      </c>
      <c r="B16" s="84" t="n">
        <v>550000000</v>
      </c>
      <c r="C16" s="83" t="s">
        <v>960</v>
      </c>
      <c r="D16" s="83" t="s">
        <v>987</v>
      </c>
    </row>
    <row r="18" customFormat="false" ht="15" hidden="false" customHeight="true" outlineLevel="0" collapsed="false">
      <c r="A18" s="90" t="s">
        <v>988</v>
      </c>
      <c r="B18" s="91" t="n">
        <f aca="false">SUM(B9:B16)</f>
        <v>13000000000</v>
      </c>
    </row>
    <row r="19" customFormat="false" ht="15" hidden="false" customHeight="true" outlineLevel="0" collapsed="false">
      <c r="A19" s="90" t="s">
        <v>989</v>
      </c>
      <c r="B19" s="91" t="n">
        <f aca="false">B4-B18</f>
        <v>0</v>
      </c>
    </row>
    <row r="20" customFormat="false" ht="15" hidden="false" customHeight="true" outlineLevel="0" collapsed="false">
      <c r="A20" s="90" t="s">
        <v>412</v>
      </c>
      <c r="B20" s="1" t="str">
        <f aca="false">IF(ABS(B19)&lt;1000,"✅ Khớp 13 tỷ","❌ LỆCH")</f>
        <v>✅ Khớp 13 tỷ</v>
      </c>
    </row>
    <row r="22" customFormat="false" ht="15" hidden="false" customHeight="true" outlineLevel="0" collapsed="false">
      <c r="A22" s="6" t="s">
        <v>990</v>
      </c>
    </row>
    <row r="23" customFormat="false" ht="15" hidden="false" customHeight="true" outlineLevel="0" collapsed="false">
      <c r="A23" s="4" t="s">
        <v>991</v>
      </c>
      <c r="B23" s="4" t="n">
        <v>6</v>
      </c>
      <c r="C23" s="4" t="s">
        <v>992</v>
      </c>
      <c r="D23" s="4" t="s">
        <v>993</v>
      </c>
    </row>
    <row r="24" customFormat="false" ht="15" hidden="false" customHeight="true" outlineLevel="0" collapsed="false">
      <c r="A24" s="5" t="s">
        <v>994</v>
      </c>
      <c r="B24" s="5" t="n">
        <v>4</v>
      </c>
      <c r="C24" s="5" t="s">
        <v>995</v>
      </c>
      <c r="D24" s="5" t="s">
        <v>996</v>
      </c>
    </row>
    <row r="25" customFormat="false" ht="23.25" hidden="false" customHeight="true" outlineLevel="0" collapsed="false">
      <c r="A25" s="4" t="s">
        <v>997</v>
      </c>
      <c r="B25" s="4" t="n">
        <v>8</v>
      </c>
      <c r="C25" s="4" t="s">
        <v>998</v>
      </c>
      <c r="D25" s="4" t="s">
        <v>999</v>
      </c>
    </row>
    <row r="26" customFormat="false" ht="15" hidden="false" customHeight="true" outlineLevel="0" collapsed="false">
      <c r="A26" s="5" t="s">
        <v>1000</v>
      </c>
      <c r="B26" s="5" t="n">
        <v>4</v>
      </c>
      <c r="C26" s="5" t="s">
        <v>1001</v>
      </c>
      <c r="D26" s="5" t="s">
        <v>996</v>
      </c>
    </row>
    <row r="27" customFormat="false" ht="15" hidden="false" customHeight="true" outlineLevel="0" collapsed="false">
      <c r="A27" s="4" t="s">
        <v>1002</v>
      </c>
      <c r="B27" s="4" t="n">
        <v>7</v>
      </c>
      <c r="C27" s="4" t="s">
        <v>1003</v>
      </c>
      <c r="D27" s="4" t="s">
        <v>1004</v>
      </c>
    </row>
    <row r="28" customFormat="false" ht="15" hidden="false" customHeight="true" outlineLevel="0" collapsed="false">
      <c r="A28" s="5" t="s">
        <v>1005</v>
      </c>
      <c r="B28" s="5" t="n">
        <v>28</v>
      </c>
      <c r="C28" s="5" t="s">
        <v>1006</v>
      </c>
      <c r="D28" s="5" t="s">
        <v>1007</v>
      </c>
    </row>
    <row r="29" customFormat="false" ht="23.25" hidden="false" customHeight="true" outlineLevel="0" collapsed="false">
      <c r="A29" s="4" t="s">
        <v>1008</v>
      </c>
      <c r="B29" s="4" t="n">
        <v>5</v>
      </c>
      <c r="C29" s="4" t="s">
        <v>1009</v>
      </c>
      <c r="D29" s="4" t="s">
        <v>1010</v>
      </c>
    </row>
    <row r="30" customFormat="false" ht="23.25" hidden="false" customHeight="true" outlineLevel="0" collapsed="false">
      <c r="A30" s="5" t="s">
        <v>1011</v>
      </c>
      <c r="B30" s="5" t="n">
        <v>6</v>
      </c>
      <c r="C30" s="5" t="s">
        <v>1009</v>
      </c>
      <c r="D30" s="5" t="s">
        <v>1012</v>
      </c>
    </row>
    <row r="31" customFormat="false" ht="15" hidden="false" customHeight="true" outlineLevel="0" collapsed="false">
      <c r="A31" s="4" t="s">
        <v>1013</v>
      </c>
      <c r="B31" s="4" t="n">
        <v>2000</v>
      </c>
      <c r="C31" s="4" t="s">
        <v>1014</v>
      </c>
      <c r="D31" s="4" t="s">
        <v>1015</v>
      </c>
    </row>
    <row r="32" customFormat="false" ht="15" hidden="false" customHeight="true" outlineLevel="0" collapsed="false">
      <c r="A32" s="5" t="s">
        <v>1016</v>
      </c>
      <c r="B32" s="5" t="n">
        <v>100</v>
      </c>
      <c r="C32" s="5" t="s">
        <v>1017</v>
      </c>
      <c r="D32" s="5" t="s">
        <v>1018</v>
      </c>
    </row>
    <row r="33" customFormat="false" ht="15" hidden="false" customHeight="true" outlineLevel="0" collapsed="false">
      <c r="A33" s="4" t="s">
        <v>1019</v>
      </c>
      <c r="B33" s="4" t="n">
        <v>8</v>
      </c>
      <c r="C33" s="4" t="s">
        <v>1020</v>
      </c>
      <c r="D33" s="4" t="s">
        <v>1021</v>
      </c>
    </row>
    <row r="34" customFormat="false" ht="15" hidden="false" customHeight="true" outlineLevel="0" collapsed="false">
      <c r="A34" s="5" t="s">
        <v>1022</v>
      </c>
      <c r="B34" s="5" t="n">
        <v>2</v>
      </c>
      <c r="C34" s="5" t="s">
        <v>1023</v>
      </c>
      <c r="D34" s="5" t="s">
        <v>1024</v>
      </c>
    </row>
    <row r="35" customFormat="false" ht="15" hidden="false" customHeight="true" outlineLevel="0" collapsed="false">
      <c r="A35" s="4" t="s">
        <v>1025</v>
      </c>
      <c r="B35" s="4" t="n">
        <v>5</v>
      </c>
      <c r="C35" s="4" t="s">
        <v>1026</v>
      </c>
      <c r="D35" s="4" t="s">
        <v>1027</v>
      </c>
    </row>
    <row r="36" customFormat="false" ht="15" hidden="false" customHeight="true" outlineLevel="0" collapsed="false">
      <c r="A36" s="5" t="s">
        <v>1028</v>
      </c>
      <c r="B36" s="5" t="s">
        <v>1029</v>
      </c>
      <c r="C36" s="5" t="s">
        <v>966</v>
      </c>
      <c r="D36" s="5" t="s">
        <v>1030</v>
      </c>
    </row>
    <row r="37" customFormat="false" ht="15" hidden="false" customHeight="true" outlineLevel="0" collapsed="false">
      <c r="A37" s="4" t="s">
        <v>1031</v>
      </c>
      <c r="B37" s="4" t="s">
        <v>1032</v>
      </c>
      <c r="C37" s="4" t="s">
        <v>966</v>
      </c>
      <c r="D37" s="4" t="s">
        <v>1033</v>
      </c>
    </row>
    <row r="38" customFormat="false" ht="15" hidden="false" customHeight="true" outlineLevel="0" collapsed="false">
      <c r="A38" s="5" t="s">
        <v>1034</v>
      </c>
      <c r="B38" s="5" t="s">
        <v>1035</v>
      </c>
      <c r="C38" s="5" t="s">
        <v>966</v>
      </c>
      <c r="D38" s="5" t="s">
        <v>1036</v>
      </c>
    </row>
    <row r="40" customFormat="false" ht="15" hidden="false" customHeight="true" outlineLevel="0" collapsed="false">
      <c r="A40" s="6" t="s">
        <v>1037</v>
      </c>
    </row>
    <row r="41" customFormat="false" ht="15" hidden="false" customHeight="true" outlineLevel="0" collapsed="false">
      <c r="A41" s="3" t="s">
        <v>638</v>
      </c>
      <c r="B41" s="3" t="s">
        <v>1038</v>
      </c>
      <c r="C41" s="3" t="s">
        <v>473</v>
      </c>
      <c r="D41" s="3" t="s">
        <v>1039</v>
      </c>
      <c r="E41" s="3" t="s">
        <v>1040</v>
      </c>
      <c r="F41" s="3" t="s">
        <v>1041</v>
      </c>
      <c r="G41" s="3" t="s">
        <v>1042</v>
      </c>
    </row>
    <row r="42" customFormat="false" ht="15" hidden="false" customHeight="true" outlineLevel="0" collapsed="false">
      <c r="A42" s="4" t="n">
        <v>1</v>
      </c>
      <c r="B42" s="4" t="s">
        <v>151</v>
      </c>
      <c r="C42" s="4" t="s">
        <v>153</v>
      </c>
      <c r="D42" s="4" t="s">
        <v>1043</v>
      </c>
      <c r="E42" s="4" t="s">
        <v>152</v>
      </c>
      <c r="F42" s="4" t="s">
        <v>1044</v>
      </c>
      <c r="G42" s="4" t="s">
        <v>1045</v>
      </c>
    </row>
    <row r="43" customFormat="false" ht="15" hidden="false" customHeight="true" outlineLevel="0" collapsed="false">
      <c r="A43" s="5" t="n">
        <v>2</v>
      </c>
      <c r="B43" s="5" t="s">
        <v>162</v>
      </c>
      <c r="C43" s="5" t="s">
        <v>153</v>
      </c>
      <c r="D43" s="5" t="s">
        <v>1046</v>
      </c>
      <c r="E43" s="5" t="s">
        <v>1047</v>
      </c>
      <c r="F43" s="5" t="s">
        <v>1048</v>
      </c>
      <c r="G43" s="5" t="s">
        <v>1045</v>
      </c>
    </row>
    <row r="44" customFormat="false" ht="15" hidden="false" customHeight="true" outlineLevel="0" collapsed="false">
      <c r="A44" s="4" t="n">
        <v>3</v>
      </c>
      <c r="B44" s="4" t="s">
        <v>1049</v>
      </c>
      <c r="C44" s="4" t="s">
        <v>174</v>
      </c>
      <c r="D44" s="4" t="s">
        <v>1050</v>
      </c>
      <c r="E44" s="4" t="s">
        <v>1047</v>
      </c>
      <c r="F44" s="4" t="s">
        <v>1048</v>
      </c>
      <c r="G44" s="4" t="s">
        <v>1045</v>
      </c>
    </row>
    <row r="45" customFormat="false" ht="15" hidden="false" customHeight="true" outlineLevel="0" collapsed="false">
      <c r="A45" s="5" t="n">
        <v>4</v>
      </c>
      <c r="B45" s="5" t="s">
        <v>1051</v>
      </c>
      <c r="C45" s="5" t="s">
        <v>174</v>
      </c>
      <c r="D45" s="5" t="s">
        <v>1052</v>
      </c>
      <c r="E45" s="5" t="s">
        <v>1053</v>
      </c>
      <c r="F45" s="5" t="s">
        <v>1054</v>
      </c>
      <c r="G45" s="5" t="s">
        <v>1045</v>
      </c>
    </row>
    <row r="46" customFormat="false" ht="15" hidden="false" customHeight="true" outlineLevel="0" collapsed="false">
      <c r="A46" s="4" t="n">
        <v>5</v>
      </c>
      <c r="B46" s="4" t="s">
        <v>194</v>
      </c>
      <c r="C46" s="4" t="s">
        <v>195</v>
      </c>
      <c r="D46" s="4" t="s">
        <v>1055</v>
      </c>
      <c r="E46" s="4" t="s">
        <v>152</v>
      </c>
      <c r="F46" s="4" t="s">
        <v>1044</v>
      </c>
      <c r="G46" s="4" t="s">
        <v>1045</v>
      </c>
    </row>
    <row r="47" customFormat="false" ht="15" hidden="false" customHeight="true" outlineLevel="0" collapsed="false">
      <c r="A47" s="5" t="n">
        <v>6</v>
      </c>
      <c r="B47" s="5" t="s">
        <v>204</v>
      </c>
      <c r="C47" s="5" t="s">
        <v>195</v>
      </c>
      <c r="D47" s="5" t="s">
        <v>1056</v>
      </c>
      <c r="E47" s="5" t="s">
        <v>205</v>
      </c>
      <c r="F47" s="5" t="s">
        <v>1057</v>
      </c>
      <c r="G47" s="5" t="s">
        <v>1045</v>
      </c>
    </row>
    <row r="48" customFormat="false" ht="15" hidden="false" customHeight="true" outlineLevel="0" collapsed="false">
      <c r="A48" s="4" t="n">
        <v>7</v>
      </c>
      <c r="B48" s="4" t="s">
        <v>232</v>
      </c>
      <c r="C48" s="4" t="s">
        <v>233</v>
      </c>
      <c r="D48" s="4" t="s">
        <v>1055</v>
      </c>
      <c r="E48" s="4" t="s">
        <v>152</v>
      </c>
      <c r="F48" s="4" t="s">
        <v>1044</v>
      </c>
      <c r="G48" s="4" t="s">
        <v>1058</v>
      </c>
    </row>
    <row r="49" customFormat="false" ht="15" hidden="false" customHeight="true" outlineLevel="0" collapsed="false">
      <c r="A49" s="5" t="n">
        <v>8</v>
      </c>
      <c r="B49" s="5" t="s">
        <v>242</v>
      </c>
      <c r="C49" s="5" t="s">
        <v>243</v>
      </c>
      <c r="D49" s="5" t="s">
        <v>1055</v>
      </c>
      <c r="E49" s="5" t="s">
        <v>152</v>
      </c>
      <c r="F49" s="5" t="s">
        <v>1044</v>
      </c>
      <c r="G49" s="5" t="s">
        <v>1058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1E63"/>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7" min="1" style="1" width="24"/>
    <col collapsed="false" customWidth="true" hidden="false" outlineLevel="0" max="8" min="8" style="1" width="30"/>
  </cols>
  <sheetData>
    <row r="1" customFormat="false" ht="15" hidden="false" customHeight="true" outlineLevel="0" collapsed="false">
      <c r="A1" s="92" t="s">
        <v>1059</v>
      </c>
      <c r="B1" s="92"/>
      <c r="C1" s="92"/>
      <c r="D1" s="92"/>
      <c r="E1" s="92"/>
      <c r="F1" s="92"/>
      <c r="G1" s="92"/>
      <c r="H1" s="92"/>
    </row>
    <row r="2" customFormat="false" ht="15" hidden="false" customHeight="true" outlineLevel="0" collapsed="false">
      <c r="A2" s="93" t="s">
        <v>434</v>
      </c>
      <c r="B2" s="93" t="s">
        <v>435</v>
      </c>
      <c r="C2" s="93" t="s">
        <v>436</v>
      </c>
      <c r="D2" s="93" t="s">
        <v>437</v>
      </c>
      <c r="E2" s="93" t="s">
        <v>291</v>
      </c>
      <c r="F2" s="93" t="s">
        <v>1060</v>
      </c>
      <c r="G2" s="93" t="s">
        <v>1061</v>
      </c>
      <c r="H2" s="93" t="s">
        <v>440</v>
      </c>
    </row>
    <row r="3" customFormat="false" ht="15" hidden="false" customHeight="true" outlineLevel="0" collapsed="false">
      <c r="A3" s="83" t="s">
        <v>441</v>
      </c>
      <c r="B3" s="87" t="n">
        <v>0.38</v>
      </c>
      <c r="C3" s="94" t="n">
        <f aca="false">B3*'1. Input'!B15</f>
        <v>3230000000</v>
      </c>
      <c r="D3" s="83" t="s">
        <v>442</v>
      </c>
      <c r="E3" s="83" t="s">
        <v>1062</v>
      </c>
      <c r="F3" s="94" t="n">
        <v>120000</v>
      </c>
      <c r="G3" s="83" t="s">
        <v>443</v>
      </c>
      <c r="H3" s="83" t="s">
        <v>444</v>
      </c>
    </row>
    <row r="4" customFormat="false" ht="15" hidden="false" customHeight="true" outlineLevel="0" collapsed="false">
      <c r="A4" s="85" t="s">
        <v>1063</v>
      </c>
      <c r="B4" s="88" t="n">
        <v>0.18</v>
      </c>
      <c r="C4" s="89" t="n">
        <f aca="false">B4*'1. Input'!B15</f>
        <v>1530000000</v>
      </c>
      <c r="D4" s="85" t="s">
        <v>446</v>
      </c>
      <c r="E4" s="85" t="s">
        <v>1064</v>
      </c>
      <c r="F4" s="89" t="n">
        <v>180000</v>
      </c>
      <c r="G4" s="85" t="s">
        <v>447</v>
      </c>
      <c r="H4" s="85" t="s">
        <v>1065</v>
      </c>
    </row>
    <row r="5" customFormat="false" ht="15" hidden="false" customHeight="true" outlineLevel="0" collapsed="false">
      <c r="A5" s="83" t="s">
        <v>449</v>
      </c>
      <c r="B5" s="87" t="n">
        <v>0.07</v>
      </c>
      <c r="C5" s="94" t="n">
        <f aca="false">B5*'1. Input'!B15</f>
        <v>595000000</v>
      </c>
      <c r="D5" s="83" t="s">
        <v>450</v>
      </c>
      <c r="E5" s="83" t="s">
        <v>1066</v>
      </c>
      <c r="F5" s="83"/>
      <c r="G5" s="83" t="s">
        <v>447</v>
      </c>
      <c r="H5" s="83" t="s">
        <v>1067</v>
      </c>
    </row>
    <row r="6" customFormat="false" ht="15" hidden="false" customHeight="true" outlineLevel="0" collapsed="false">
      <c r="A6" s="85" t="s">
        <v>453</v>
      </c>
      <c r="B6" s="88" t="n">
        <v>0.1</v>
      </c>
      <c r="C6" s="89" t="n">
        <f aca="false">B6*'1. Input'!B15</f>
        <v>850000000</v>
      </c>
      <c r="D6" s="85" t="s">
        <v>454</v>
      </c>
      <c r="E6" s="85" t="s">
        <v>1068</v>
      </c>
      <c r="F6" s="89" t="n">
        <v>90000</v>
      </c>
      <c r="G6" s="85" t="s">
        <v>443</v>
      </c>
      <c r="H6" s="85" t="s">
        <v>1069</v>
      </c>
    </row>
    <row r="7" customFormat="false" ht="15" hidden="false" customHeight="true" outlineLevel="0" collapsed="false">
      <c r="A7" s="83" t="s">
        <v>456</v>
      </c>
      <c r="B7" s="87" t="n">
        <v>0.07</v>
      </c>
      <c r="C7" s="94" t="n">
        <f aca="false">B7*'1. Input'!B15</f>
        <v>595000000</v>
      </c>
      <c r="D7" s="83" t="s">
        <v>457</v>
      </c>
      <c r="E7" s="83" t="s">
        <v>1070</v>
      </c>
      <c r="F7" s="94" t="n">
        <v>80000</v>
      </c>
      <c r="G7" s="83" t="s">
        <v>1071</v>
      </c>
      <c r="H7" s="83" t="s">
        <v>1072</v>
      </c>
    </row>
    <row r="8" customFormat="false" ht="15" hidden="false" customHeight="true" outlineLevel="0" collapsed="false">
      <c r="A8" s="85" t="s">
        <v>1073</v>
      </c>
      <c r="B8" s="88" t="n">
        <v>0.05</v>
      </c>
      <c r="C8" s="89" t="n">
        <f aca="false">B8*'1. Input'!B15</f>
        <v>425000000</v>
      </c>
      <c r="D8" s="85" t="s">
        <v>461</v>
      </c>
      <c r="E8" s="85" t="s">
        <v>1074</v>
      </c>
      <c r="F8" s="89" t="n">
        <v>50000</v>
      </c>
      <c r="G8" s="85" t="s">
        <v>462</v>
      </c>
      <c r="H8" s="85" t="s">
        <v>1075</v>
      </c>
    </row>
    <row r="9" customFormat="false" ht="15" hidden="false" customHeight="true" outlineLevel="0" collapsed="false">
      <c r="A9" s="83" t="s">
        <v>463</v>
      </c>
      <c r="B9" s="87" t="n">
        <v>0.12</v>
      </c>
      <c r="C9" s="94" t="n">
        <f aca="false">B9*'1. Input'!B15</f>
        <v>1020000000</v>
      </c>
      <c r="D9" s="83" t="s">
        <v>464</v>
      </c>
      <c r="E9" s="83" t="s">
        <v>1076</v>
      </c>
      <c r="F9" s="94" t="n">
        <v>150000</v>
      </c>
      <c r="G9" s="83" t="s">
        <v>447</v>
      </c>
      <c r="H9" s="83" t="s">
        <v>1077</v>
      </c>
    </row>
    <row r="10" customFormat="false" ht="15" hidden="false" customHeight="true" outlineLevel="0" collapsed="false">
      <c r="A10" s="85" t="s">
        <v>1078</v>
      </c>
      <c r="B10" s="88" t="n">
        <v>0.05</v>
      </c>
      <c r="C10" s="89" t="n">
        <f aca="false">B10*'1. Input'!B15</f>
        <v>425000000</v>
      </c>
      <c r="D10" s="85" t="s">
        <v>467</v>
      </c>
      <c r="E10" s="85" t="s">
        <v>1079</v>
      </c>
      <c r="F10" s="85"/>
      <c r="G10" s="85" t="s">
        <v>468</v>
      </c>
      <c r="H10" s="85" t="s">
        <v>469</v>
      </c>
    </row>
    <row r="11" customFormat="false" ht="15" hidden="false" customHeight="true" outlineLevel="0" collapsed="false">
      <c r="A11" s="95" t="s">
        <v>855</v>
      </c>
      <c r="B11" s="96" t="n">
        <f aca="false">SUM(B3:B10)</f>
        <v>1.02</v>
      </c>
      <c r="C11" s="97" t="n">
        <f aca="false">SUM(C3:C10)</f>
        <v>8670000000</v>
      </c>
      <c r="D11" s="95"/>
      <c r="E11" s="95"/>
      <c r="F11" s="95"/>
      <c r="G11" s="95"/>
      <c r="H11" s="95"/>
    </row>
    <row r="13" customFormat="false" ht="15" hidden="false" customHeight="true" outlineLevel="0" collapsed="false">
      <c r="A13" s="6" t="s">
        <v>1080</v>
      </c>
    </row>
    <row r="14" customFormat="false" ht="15" hidden="false" customHeight="true" outlineLevel="0" collapsed="false">
      <c r="A14" s="3" t="s">
        <v>434</v>
      </c>
      <c r="B14" s="3" t="s">
        <v>1081</v>
      </c>
      <c r="C14" s="3" t="s">
        <v>1082</v>
      </c>
      <c r="D14" s="3" t="s">
        <v>1083</v>
      </c>
      <c r="E14" s="3" t="s">
        <v>1084</v>
      </c>
      <c r="F14" s="3" t="s">
        <v>1085</v>
      </c>
      <c r="G14" s="3" t="s">
        <v>1086</v>
      </c>
      <c r="H14" s="3" t="s">
        <v>1087</v>
      </c>
    </row>
    <row r="15" customFormat="false" ht="15" hidden="false" customHeight="true" outlineLevel="0" collapsed="false">
      <c r="A15" s="4" t="s">
        <v>1088</v>
      </c>
      <c r="B15" s="4" t="n">
        <f aca="false">0.12*C3</f>
        <v>387600000</v>
      </c>
      <c r="C15" s="4" t="n">
        <f aca="false">0.24*C3</f>
        <v>775200000</v>
      </c>
      <c r="D15" s="4" t="n">
        <f aca="false">0.28*C3</f>
        <v>904400000</v>
      </c>
      <c r="E15" s="4" t="n">
        <f aca="false">0.24*C3</f>
        <v>775200000</v>
      </c>
      <c r="F15" s="4" t="n">
        <f aca="false">0.08*C3</f>
        <v>258400000</v>
      </c>
      <c r="G15" s="4" t="n">
        <f aca="false">0.02*C3</f>
        <v>64600000</v>
      </c>
      <c r="H15" s="4" t="n">
        <f aca="false">SUM(B15:G15)</f>
        <v>3165400000</v>
      </c>
    </row>
    <row r="16" customFormat="false" ht="15" hidden="false" customHeight="true" outlineLevel="0" collapsed="false">
      <c r="A16" s="5" t="s">
        <v>445</v>
      </c>
      <c r="B16" s="5" t="n">
        <f aca="false">0.12*C4</f>
        <v>183600000</v>
      </c>
      <c r="C16" s="5" t="n">
        <f aca="false">0.24*C4</f>
        <v>367200000</v>
      </c>
      <c r="D16" s="5" t="n">
        <f aca="false">0.28*C4</f>
        <v>428400000</v>
      </c>
      <c r="E16" s="5" t="n">
        <f aca="false">0.24*C4</f>
        <v>367200000</v>
      </c>
      <c r="F16" s="5" t="n">
        <f aca="false">0.08*C4</f>
        <v>122400000</v>
      </c>
      <c r="G16" s="5" t="n">
        <f aca="false">0.02*C4</f>
        <v>30600000</v>
      </c>
      <c r="H16" s="5" t="n">
        <f aca="false">SUM(B16:G16)</f>
        <v>1499400000</v>
      </c>
    </row>
    <row r="17" customFormat="false" ht="15" hidden="false" customHeight="true" outlineLevel="0" collapsed="false">
      <c r="A17" s="4" t="s">
        <v>626</v>
      </c>
      <c r="B17" s="4" t="n">
        <f aca="false">0.12*C5</f>
        <v>71400000</v>
      </c>
      <c r="C17" s="4" t="n">
        <f aca="false">0.24*C5</f>
        <v>142800000</v>
      </c>
      <c r="D17" s="4" t="n">
        <f aca="false">0.28*C5</f>
        <v>166600000</v>
      </c>
      <c r="E17" s="4" t="n">
        <f aca="false">0.24*C5</f>
        <v>142800000</v>
      </c>
      <c r="F17" s="4" t="n">
        <f aca="false">0.08*C5</f>
        <v>47600000</v>
      </c>
      <c r="G17" s="4" t="n">
        <f aca="false">0.02*C5</f>
        <v>11900000</v>
      </c>
      <c r="H17" s="4" t="n">
        <f aca="false">SUM(B17:G17)</f>
        <v>583100000</v>
      </c>
    </row>
    <row r="18" customFormat="false" ht="15" hidden="false" customHeight="true" outlineLevel="0" collapsed="false">
      <c r="A18" s="5" t="s">
        <v>453</v>
      </c>
      <c r="B18" s="5" t="n">
        <f aca="false">0.12*C6</f>
        <v>102000000</v>
      </c>
      <c r="C18" s="5" t="n">
        <f aca="false">0.24*C6</f>
        <v>204000000</v>
      </c>
      <c r="D18" s="5" t="n">
        <f aca="false">0.28*C6</f>
        <v>238000000</v>
      </c>
      <c r="E18" s="5" t="n">
        <f aca="false">0.24*C6</f>
        <v>204000000</v>
      </c>
      <c r="F18" s="5" t="n">
        <f aca="false">0.08*C6</f>
        <v>68000000</v>
      </c>
      <c r="G18" s="5" t="n">
        <f aca="false">0.02*C6</f>
        <v>17000000</v>
      </c>
      <c r="H18" s="5" t="n">
        <f aca="false">SUM(B18:G18)</f>
        <v>833000000</v>
      </c>
    </row>
    <row r="19" customFormat="false" ht="15" hidden="false" customHeight="true" outlineLevel="0" collapsed="false">
      <c r="A19" s="4" t="s">
        <v>630</v>
      </c>
      <c r="B19" s="4" t="n">
        <f aca="false">0.12*C7</f>
        <v>71400000</v>
      </c>
      <c r="C19" s="4" t="n">
        <f aca="false">0.24*C7</f>
        <v>142800000</v>
      </c>
      <c r="D19" s="4" t="n">
        <f aca="false">0.28*C7</f>
        <v>166600000</v>
      </c>
      <c r="E19" s="4" t="n">
        <f aca="false">0.24*C7</f>
        <v>142800000</v>
      </c>
      <c r="F19" s="4" t="n">
        <f aca="false">0.08*C7</f>
        <v>47600000</v>
      </c>
      <c r="G19" s="4" t="n">
        <f aca="false">0.02*C7</f>
        <v>11900000</v>
      </c>
      <c r="H19" s="4" t="n">
        <f aca="false">SUM(B19:G19)</f>
        <v>583100000</v>
      </c>
    </row>
    <row r="20" customFormat="false" ht="15" hidden="false" customHeight="true" outlineLevel="0" collapsed="false">
      <c r="A20" s="5" t="s">
        <v>460</v>
      </c>
      <c r="B20" s="5" t="n">
        <f aca="false">0.12*C8</f>
        <v>51000000</v>
      </c>
      <c r="C20" s="5" t="n">
        <f aca="false">0.24*C8</f>
        <v>102000000</v>
      </c>
      <c r="D20" s="5" t="n">
        <f aca="false">0.28*C8</f>
        <v>119000000</v>
      </c>
      <c r="E20" s="5" t="n">
        <f aca="false">0.24*C8</f>
        <v>102000000</v>
      </c>
      <c r="F20" s="5" t="n">
        <f aca="false">0.08*C8</f>
        <v>34000000</v>
      </c>
      <c r="G20" s="5" t="n">
        <f aca="false">0.02*C8</f>
        <v>8500000</v>
      </c>
      <c r="H20" s="5" t="n">
        <f aca="false">SUM(B20:G20)</f>
        <v>416500000</v>
      </c>
    </row>
    <row r="21" customFormat="false" ht="15" hidden="false" customHeight="true" outlineLevel="0" collapsed="false">
      <c r="A21" s="4" t="s">
        <v>633</v>
      </c>
      <c r="B21" s="4" t="n">
        <f aca="false">0.12*C9</f>
        <v>122400000</v>
      </c>
      <c r="C21" s="4" t="n">
        <f aca="false">0.24*C9</f>
        <v>244800000</v>
      </c>
      <c r="D21" s="4" t="n">
        <f aca="false">0.28*C9</f>
        <v>285600000</v>
      </c>
      <c r="E21" s="4" t="n">
        <f aca="false">0.24*C9</f>
        <v>244800000</v>
      </c>
      <c r="F21" s="4" t="n">
        <f aca="false">0.08*C9</f>
        <v>81600000</v>
      </c>
      <c r="G21" s="4" t="n">
        <f aca="false">0.02*C9</f>
        <v>20400000</v>
      </c>
      <c r="H21" s="4" t="n">
        <f aca="false">SUM(B21:G21)</f>
        <v>999600000</v>
      </c>
    </row>
    <row r="22" customFormat="false" ht="15" hidden="false" customHeight="true" outlineLevel="0" collapsed="false">
      <c r="A22" s="5" t="s">
        <v>635</v>
      </c>
      <c r="B22" s="5" t="n">
        <f aca="false">0.12*C10</f>
        <v>51000000</v>
      </c>
      <c r="C22" s="5" t="n">
        <f aca="false">0.24*C10</f>
        <v>102000000</v>
      </c>
      <c r="D22" s="5" t="n">
        <f aca="false">0.28*C10</f>
        <v>119000000</v>
      </c>
      <c r="E22" s="5" t="n">
        <f aca="false">0.24*C10</f>
        <v>102000000</v>
      </c>
      <c r="F22" s="5" t="n">
        <f aca="false">0.08*C10</f>
        <v>34000000</v>
      </c>
      <c r="G22" s="5" t="n">
        <f aca="false">0.02*C10</f>
        <v>8500000</v>
      </c>
      <c r="H22" s="5" t="n">
        <f aca="false">SUM(B22:G22)</f>
        <v>416500000</v>
      </c>
    </row>
    <row r="24" customFormat="false" ht="15" hidden="false" customHeight="true" outlineLevel="0" collapsed="false">
      <c r="A24" s="6" t="s">
        <v>1089</v>
      </c>
    </row>
    <row r="25" customFormat="false" ht="15" hidden="false" customHeight="true" outlineLevel="0" collapsed="false">
      <c r="A25" s="3" t="s">
        <v>434</v>
      </c>
      <c r="B25" s="3" t="s">
        <v>1090</v>
      </c>
      <c r="C25" s="3" t="s">
        <v>1091</v>
      </c>
      <c r="D25" s="3" t="s">
        <v>1092</v>
      </c>
      <c r="E25" s="3" t="s">
        <v>1093</v>
      </c>
      <c r="F25" s="3" t="s">
        <v>1094</v>
      </c>
      <c r="G25" s="3" t="s">
        <v>1095</v>
      </c>
    </row>
    <row r="26" customFormat="false" ht="23.25" hidden="false" customHeight="true" outlineLevel="0" collapsed="false">
      <c r="A26" s="4" t="s">
        <v>619</v>
      </c>
      <c r="B26" s="4" t="s">
        <v>1096</v>
      </c>
      <c r="C26" s="4" t="s">
        <v>1097</v>
      </c>
      <c r="D26" s="4" t="s">
        <v>1098</v>
      </c>
      <c r="E26" s="4" t="s">
        <v>1099</v>
      </c>
      <c r="F26" s="4" t="s">
        <v>1100</v>
      </c>
      <c r="G26" s="4" t="s">
        <v>1101</v>
      </c>
    </row>
    <row r="27" customFormat="false" ht="23.25" hidden="false" customHeight="true" outlineLevel="0" collapsed="false">
      <c r="A27" s="5" t="s">
        <v>445</v>
      </c>
      <c r="B27" s="5" t="s">
        <v>1102</v>
      </c>
      <c r="C27" s="5" t="s">
        <v>1103</v>
      </c>
      <c r="D27" s="5" t="s">
        <v>1104</v>
      </c>
      <c r="E27" s="5" t="s">
        <v>1105</v>
      </c>
      <c r="F27" s="5" t="s">
        <v>1106</v>
      </c>
      <c r="G27" s="5" t="s">
        <v>1107</v>
      </c>
    </row>
    <row r="28" customFormat="false" ht="23.25" hidden="false" customHeight="true" outlineLevel="0" collapsed="false">
      <c r="A28" s="4" t="s">
        <v>626</v>
      </c>
      <c r="B28" s="4" t="s">
        <v>1108</v>
      </c>
      <c r="C28" s="4" t="s">
        <v>1109</v>
      </c>
      <c r="D28" s="4" t="s">
        <v>1110</v>
      </c>
      <c r="E28" s="4" t="s">
        <v>1111</v>
      </c>
      <c r="F28" s="4" t="s">
        <v>1112</v>
      </c>
      <c r="G28" s="4" t="s">
        <v>1107</v>
      </c>
    </row>
    <row r="29" customFormat="false" ht="23.25" hidden="false" customHeight="true" outlineLevel="0" collapsed="false">
      <c r="A29" s="5" t="s">
        <v>453</v>
      </c>
      <c r="B29" s="5" t="s">
        <v>1113</v>
      </c>
      <c r="C29" s="5" t="s">
        <v>1114</v>
      </c>
      <c r="D29" s="5" t="s">
        <v>1115</v>
      </c>
      <c r="E29" s="5" t="s">
        <v>1116</v>
      </c>
      <c r="F29" s="5" t="s">
        <v>1117</v>
      </c>
      <c r="G29" s="5" t="s">
        <v>1118</v>
      </c>
    </row>
    <row r="30" customFormat="false" ht="23.25" hidden="false" customHeight="true" outlineLevel="0" collapsed="false">
      <c r="A30" s="4" t="s">
        <v>630</v>
      </c>
      <c r="B30" s="4" t="s">
        <v>1119</v>
      </c>
      <c r="C30" s="4" t="s">
        <v>1103</v>
      </c>
      <c r="D30" s="4" t="s">
        <v>1120</v>
      </c>
      <c r="E30" s="4" t="s">
        <v>1121</v>
      </c>
      <c r="F30" s="4" t="s">
        <v>1122</v>
      </c>
      <c r="G30" s="4" t="s">
        <v>1123</v>
      </c>
    </row>
    <row r="31" customFormat="false" ht="23.25" hidden="false" customHeight="true" outlineLevel="0" collapsed="false">
      <c r="A31" s="5" t="s">
        <v>460</v>
      </c>
      <c r="B31" s="5" t="s">
        <v>1124</v>
      </c>
      <c r="C31" s="5" t="s">
        <v>1103</v>
      </c>
      <c r="D31" s="5" t="s">
        <v>1125</v>
      </c>
      <c r="E31" s="5" t="s">
        <v>1126</v>
      </c>
      <c r="F31" s="5" t="s">
        <v>1127</v>
      </c>
      <c r="G31" s="5" t="s">
        <v>1128</v>
      </c>
    </row>
    <row r="32" customFormat="false" ht="23.25" hidden="false" customHeight="true" outlineLevel="0" collapsed="false">
      <c r="A32" s="4" t="s">
        <v>633</v>
      </c>
      <c r="B32" s="4" t="s">
        <v>1129</v>
      </c>
      <c r="C32" s="4" t="s">
        <v>1130</v>
      </c>
      <c r="D32" s="4" t="s">
        <v>1131</v>
      </c>
      <c r="E32" s="4" t="s">
        <v>1132</v>
      </c>
      <c r="F32" s="4" t="s">
        <v>1133</v>
      </c>
      <c r="G32" s="4" t="s">
        <v>1134</v>
      </c>
    </row>
    <row r="33" customFormat="false" ht="23.25" hidden="false" customHeight="true" outlineLevel="0" collapsed="false">
      <c r="A33" s="5" t="s">
        <v>635</v>
      </c>
      <c r="B33" s="5" t="s">
        <v>1135</v>
      </c>
      <c r="C33" s="5" t="s">
        <v>1136</v>
      </c>
      <c r="D33" s="5" t="s">
        <v>1137</v>
      </c>
      <c r="E33" s="5" t="s">
        <v>1138</v>
      </c>
      <c r="F33" s="5" t="s">
        <v>1139</v>
      </c>
      <c r="G33" s="5" t="s">
        <v>1140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AF50"/>
    <pageSetUpPr fitToPage="false"/>
  </sheetPr>
  <dimension ref="A1:R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40"/>
    <col collapsed="false" customWidth="true" hidden="false" outlineLevel="0" max="18" min="4" style="1" width="14"/>
  </cols>
  <sheetData>
    <row r="1" customFormat="false" ht="15" hidden="false" customHeight="true" outlineLevel="0" collapsed="false">
      <c r="A1" s="98" t="s">
        <v>1141</v>
      </c>
      <c r="B1" s="98"/>
      <c r="C1" s="98"/>
      <c r="D1" s="98"/>
      <c r="E1" s="98"/>
      <c r="F1" s="98"/>
      <c r="G1" s="98"/>
      <c r="H1" s="98"/>
      <c r="I1" s="98"/>
      <c r="J1" s="98"/>
      <c r="K1" s="98"/>
      <c r="L1" s="98"/>
      <c r="M1" s="98"/>
      <c r="N1" s="98"/>
      <c r="O1" s="98"/>
      <c r="P1" s="98"/>
      <c r="Q1" s="98"/>
      <c r="R1" s="98"/>
    </row>
    <row r="2" customFormat="false" ht="15" hidden="false" customHeight="true" outlineLevel="0" collapsed="false">
      <c r="A2" s="99" t="s">
        <v>473</v>
      </c>
      <c r="B2" s="99" t="s">
        <v>140</v>
      </c>
      <c r="C2" s="99" t="s">
        <v>1142</v>
      </c>
      <c r="D2" s="99" t="s">
        <v>963</v>
      </c>
      <c r="E2" s="99" t="s">
        <v>475</v>
      </c>
      <c r="F2" s="99" t="s">
        <v>1143</v>
      </c>
      <c r="G2" s="99" t="s">
        <v>966</v>
      </c>
      <c r="H2" s="99" t="s">
        <v>1144</v>
      </c>
      <c r="I2" s="99" t="s">
        <v>1145</v>
      </c>
      <c r="J2" s="99" t="s">
        <v>1146</v>
      </c>
      <c r="K2" s="99" t="s">
        <v>1147</v>
      </c>
      <c r="L2" s="99" t="s">
        <v>1148</v>
      </c>
      <c r="M2" s="99" t="s">
        <v>1149</v>
      </c>
      <c r="N2" s="99" t="s">
        <v>845</v>
      </c>
      <c r="O2" s="99" t="s">
        <v>1150</v>
      </c>
      <c r="P2" s="99" t="s">
        <v>1151</v>
      </c>
      <c r="Q2" s="99" t="s">
        <v>1152</v>
      </c>
      <c r="R2" s="99" t="s">
        <v>1153</v>
      </c>
    </row>
    <row r="3" customFormat="false" ht="15" hidden="false" customHeight="true" outlineLevel="0" collapsed="false">
      <c r="A3" s="83" t="s">
        <v>153</v>
      </c>
      <c r="B3" s="83" t="s">
        <v>151</v>
      </c>
      <c r="C3" s="83" t="s">
        <v>1154</v>
      </c>
      <c r="D3" s="100" t="n">
        <v>200</v>
      </c>
      <c r="E3" s="101" t="n">
        <v>0.85</v>
      </c>
      <c r="F3" s="102" t="n">
        <f aca="false">D3*E3</f>
        <v>170</v>
      </c>
      <c r="G3" s="101" t="n">
        <f aca="false">F3/F$14</f>
        <v>0.125646711012565</v>
      </c>
      <c r="H3" s="94" t="n">
        <f aca="false">G3*'1. Input'!B4</f>
        <v>1633407243.16334</v>
      </c>
      <c r="I3" s="94" t="n">
        <f aca="false">G3*'1. Input'!B15</f>
        <v>1067997043.6068</v>
      </c>
      <c r="J3" s="94" t="n">
        <f aca="false">G3*'1. Input'!B10</f>
        <v>100517368.810052</v>
      </c>
      <c r="K3" s="94" t="n">
        <f aca="false">I3*'2. Paid Media'!B3</f>
        <v>405838876.570584</v>
      </c>
      <c r="L3" s="94" t="n">
        <f aca="false">I3*'2. Paid Media'!B4</f>
        <v>192239467.849224</v>
      </c>
      <c r="M3" s="94" t="n">
        <f aca="false">I3*'2. Paid Media'!B5</f>
        <v>74759793.052476</v>
      </c>
      <c r="N3" s="94" t="n">
        <f aca="false">I3*'2. Paid Media'!B6</f>
        <v>106799704.36068</v>
      </c>
      <c r="O3" s="94" t="n">
        <f aca="false">I3*'2. Paid Media'!B7</f>
        <v>74759793.052476</v>
      </c>
      <c r="P3" s="94" t="n">
        <f aca="false">I3*'2. Paid Media'!B8</f>
        <v>53399852.18034</v>
      </c>
      <c r="Q3" s="94" t="n">
        <f aca="false">I3*'2. Paid Media'!B9</f>
        <v>128159645.232816</v>
      </c>
      <c r="R3" s="94" t="n">
        <f aca="false">I3*'2. Paid Media'!B10</f>
        <v>53399852.18034</v>
      </c>
    </row>
    <row r="4" customFormat="false" ht="15" hidden="false" customHeight="true" outlineLevel="0" collapsed="false">
      <c r="A4" s="85" t="s">
        <v>153</v>
      </c>
      <c r="B4" s="85" t="s">
        <v>162</v>
      </c>
      <c r="C4" s="85" t="s">
        <v>1155</v>
      </c>
      <c r="D4" s="86" t="n">
        <v>60</v>
      </c>
      <c r="E4" s="88" t="n">
        <v>0.85</v>
      </c>
      <c r="F4" s="86" t="n">
        <f aca="false">D4*E4</f>
        <v>51</v>
      </c>
      <c r="G4" s="88" t="n">
        <f aca="false">F4/F$14</f>
        <v>0.0376940133037694</v>
      </c>
      <c r="H4" s="89" t="n">
        <f aca="false">G4*'1. Input'!B4</f>
        <v>490022172.949002</v>
      </c>
      <c r="I4" s="89" t="n">
        <f aca="false">G4*'1. Input'!B15</f>
        <v>320399113.08204</v>
      </c>
      <c r="J4" s="89" t="n">
        <f aca="false">G4*'1. Input'!B10</f>
        <v>30155210.6430155</v>
      </c>
      <c r="K4" s="89" t="n">
        <f aca="false">I4*'2. Paid Media'!B3</f>
        <v>121751662.971175</v>
      </c>
      <c r="L4" s="89" t="n">
        <f aca="false">I4*'2. Paid Media'!B4</f>
        <v>57671840.3547672</v>
      </c>
      <c r="M4" s="89" t="n">
        <f aca="false">I4*'2. Paid Media'!B5</f>
        <v>22427937.9157428</v>
      </c>
      <c r="N4" s="89" t="n">
        <f aca="false">I4*'2. Paid Media'!B6</f>
        <v>32039911.308204</v>
      </c>
      <c r="O4" s="89" t="n">
        <f aca="false">I4*'2. Paid Media'!B7</f>
        <v>22427937.9157428</v>
      </c>
      <c r="P4" s="89" t="n">
        <f aca="false">I4*'2. Paid Media'!B8</f>
        <v>16019955.654102</v>
      </c>
      <c r="Q4" s="89" t="n">
        <f aca="false">I4*'2. Paid Media'!B9</f>
        <v>38447893.5698448</v>
      </c>
      <c r="R4" s="89" t="n">
        <f aca="false">I4*'2. Paid Media'!B10</f>
        <v>16019955.654102</v>
      </c>
    </row>
    <row r="5" customFormat="false" ht="15" hidden="false" customHeight="true" outlineLevel="0" collapsed="false">
      <c r="A5" s="83" t="s">
        <v>153</v>
      </c>
      <c r="B5" s="83" t="s">
        <v>173</v>
      </c>
      <c r="C5" s="83" t="s">
        <v>1156</v>
      </c>
      <c r="D5" s="100" t="n">
        <v>60</v>
      </c>
      <c r="E5" s="101" t="n">
        <v>0.85</v>
      </c>
      <c r="F5" s="102" t="n">
        <f aca="false">D5*E5</f>
        <v>51</v>
      </c>
      <c r="G5" s="101" t="n">
        <f aca="false">F5/F$14</f>
        <v>0.0376940133037694</v>
      </c>
      <c r="H5" s="94" t="n">
        <f aca="false">G5*'1. Input'!B4</f>
        <v>490022172.949002</v>
      </c>
      <c r="I5" s="94" t="n">
        <f aca="false">G5*'1. Input'!B15</f>
        <v>320399113.08204</v>
      </c>
      <c r="J5" s="94" t="n">
        <f aca="false">G5*'1. Input'!B10</f>
        <v>30155210.6430155</v>
      </c>
      <c r="K5" s="94" t="n">
        <f aca="false">I5*'2. Paid Media'!B3</f>
        <v>121751662.971175</v>
      </c>
      <c r="L5" s="94" t="n">
        <f aca="false">I5*'2. Paid Media'!B4</f>
        <v>57671840.3547672</v>
      </c>
      <c r="M5" s="94" t="n">
        <f aca="false">I5*'2. Paid Media'!B5</f>
        <v>22427937.9157428</v>
      </c>
      <c r="N5" s="94" t="n">
        <f aca="false">I5*'2. Paid Media'!B6</f>
        <v>32039911.308204</v>
      </c>
      <c r="O5" s="94" t="n">
        <f aca="false">I5*'2. Paid Media'!B7</f>
        <v>22427937.9157428</v>
      </c>
      <c r="P5" s="94" t="n">
        <f aca="false">I5*'2. Paid Media'!B8</f>
        <v>16019955.654102</v>
      </c>
      <c r="Q5" s="94" t="n">
        <f aca="false">I5*'2. Paid Media'!B9</f>
        <v>38447893.5698448</v>
      </c>
      <c r="R5" s="94" t="n">
        <f aca="false">I5*'2. Paid Media'!B10</f>
        <v>16019955.654102</v>
      </c>
    </row>
    <row r="6" customFormat="false" ht="15" hidden="false" customHeight="true" outlineLevel="0" collapsed="false">
      <c r="A6" s="85" t="s">
        <v>153</v>
      </c>
      <c r="B6" s="85" t="s">
        <v>183</v>
      </c>
      <c r="C6" s="85" t="s">
        <v>1157</v>
      </c>
      <c r="D6" s="86" t="n">
        <v>60</v>
      </c>
      <c r="E6" s="88" t="n">
        <v>0.85</v>
      </c>
      <c r="F6" s="86" t="n">
        <f aca="false">D6*E6</f>
        <v>51</v>
      </c>
      <c r="G6" s="88" t="n">
        <f aca="false">F6/F$14</f>
        <v>0.0376940133037694</v>
      </c>
      <c r="H6" s="89" t="n">
        <f aca="false">G6*'1. Input'!B4</f>
        <v>490022172.949002</v>
      </c>
      <c r="I6" s="89" t="n">
        <f aca="false">G6*'1. Input'!B15</f>
        <v>320399113.08204</v>
      </c>
      <c r="J6" s="89" t="n">
        <f aca="false">G6*'1. Input'!B10</f>
        <v>30155210.6430155</v>
      </c>
      <c r="K6" s="89" t="n">
        <f aca="false">I6*'2. Paid Media'!B3</f>
        <v>121751662.971175</v>
      </c>
      <c r="L6" s="89" t="n">
        <f aca="false">I6*'2. Paid Media'!B4</f>
        <v>57671840.3547672</v>
      </c>
      <c r="M6" s="89" t="n">
        <f aca="false">I6*'2. Paid Media'!B5</f>
        <v>22427937.9157428</v>
      </c>
      <c r="N6" s="89" t="n">
        <f aca="false">I6*'2. Paid Media'!B6</f>
        <v>32039911.308204</v>
      </c>
      <c r="O6" s="89" t="n">
        <f aca="false">I6*'2. Paid Media'!B7</f>
        <v>22427937.9157428</v>
      </c>
      <c r="P6" s="89" t="n">
        <f aca="false">I6*'2. Paid Media'!B8</f>
        <v>16019955.654102</v>
      </c>
      <c r="Q6" s="89" t="n">
        <f aca="false">I6*'2. Paid Media'!B9</f>
        <v>38447893.5698448</v>
      </c>
      <c r="R6" s="89" t="n">
        <f aca="false">I6*'2. Paid Media'!B10</f>
        <v>16019955.654102</v>
      </c>
    </row>
    <row r="7" customFormat="false" ht="15" hidden="false" customHeight="true" outlineLevel="0" collapsed="false">
      <c r="A7" s="83" t="s">
        <v>195</v>
      </c>
      <c r="B7" s="83" t="s">
        <v>194</v>
      </c>
      <c r="C7" s="83" t="s">
        <v>1158</v>
      </c>
      <c r="D7" s="100" t="n">
        <v>150</v>
      </c>
      <c r="E7" s="101" t="n">
        <v>1</v>
      </c>
      <c r="F7" s="102" t="n">
        <f aca="false">D7*E7</f>
        <v>150</v>
      </c>
      <c r="G7" s="101" t="n">
        <f aca="false">F7/F$14</f>
        <v>0.110864745011086</v>
      </c>
      <c r="H7" s="94" t="n">
        <f aca="false">G7*'1. Input'!B4</f>
        <v>1441241685.14412</v>
      </c>
      <c r="I7" s="94" t="n">
        <f aca="false">G7*'1. Input'!B15</f>
        <v>942350332.594235</v>
      </c>
      <c r="J7" s="94" t="n">
        <f aca="false">G7*'1. Input'!B10</f>
        <v>88691796.0088692</v>
      </c>
      <c r="K7" s="94" t="n">
        <f aca="false">I7*'2. Paid Media'!B3</f>
        <v>358093126.385809</v>
      </c>
      <c r="L7" s="94" t="n">
        <f aca="false">I7*'2. Paid Media'!B4</f>
        <v>169623059.866962</v>
      </c>
      <c r="M7" s="94" t="n">
        <f aca="false">I7*'2. Paid Media'!B5</f>
        <v>65964523.2815965</v>
      </c>
      <c r="N7" s="94" t="n">
        <f aca="false">I7*'2. Paid Media'!B6</f>
        <v>94235033.2594235</v>
      </c>
      <c r="O7" s="94" t="n">
        <f aca="false">I7*'2. Paid Media'!B7</f>
        <v>65964523.2815965</v>
      </c>
      <c r="P7" s="94" t="n">
        <f aca="false">I7*'2. Paid Media'!B8</f>
        <v>47117516.6297118</v>
      </c>
      <c r="Q7" s="94" t="n">
        <f aca="false">I7*'2. Paid Media'!B9</f>
        <v>113082039.911308</v>
      </c>
      <c r="R7" s="94" t="n">
        <f aca="false">I7*'2. Paid Media'!B10</f>
        <v>47117516.6297118</v>
      </c>
    </row>
    <row r="8" customFormat="false" ht="15" hidden="false" customHeight="true" outlineLevel="0" collapsed="false">
      <c r="A8" s="85" t="s">
        <v>195</v>
      </c>
      <c r="B8" s="85" t="s">
        <v>204</v>
      </c>
      <c r="C8" s="85" t="s">
        <v>1159</v>
      </c>
      <c r="D8" s="86" t="n">
        <v>150</v>
      </c>
      <c r="E8" s="88" t="n">
        <v>1</v>
      </c>
      <c r="F8" s="86" t="n">
        <f aca="false">D8*E8</f>
        <v>150</v>
      </c>
      <c r="G8" s="88" t="n">
        <f aca="false">F8/F$14</f>
        <v>0.110864745011086</v>
      </c>
      <c r="H8" s="89" t="n">
        <f aca="false">G8*'1. Input'!B4</f>
        <v>1441241685.14412</v>
      </c>
      <c r="I8" s="89" t="n">
        <f aca="false">G8*'1. Input'!B15</f>
        <v>942350332.594235</v>
      </c>
      <c r="J8" s="89" t="n">
        <f aca="false">G8*'1. Input'!B10</f>
        <v>88691796.0088692</v>
      </c>
      <c r="K8" s="89" t="n">
        <f aca="false">I8*'2. Paid Media'!B3</f>
        <v>358093126.385809</v>
      </c>
      <c r="L8" s="89" t="n">
        <f aca="false">I8*'2. Paid Media'!B4</f>
        <v>169623059.866962</v>
      </c>
      <c r="M8" s="89" t="n">
        <f aca="false">I8*'2. Paid Media'!B5</f>
        <v>65964523.2815965</v>
      </c>
      <c r="N8" s="89" t="n">
        <f aca="false">I8*'2. Paid Media'!B6</f>
        <v>94235033.2594235</v>
      </c>
      <c r="O8" s="89" t="n">
        <f aca="false">I8*'2. Paid Media'!B7</f>
        <v>65964523.2815965</v>
      </c>
      <c r="P8" s="89" t="n">
        <f aca="false">I8*'2. Paid Media'!B8</f>
        <v>47117516.6297118</v>
      </c>
      <c r="Q8" s="89" t="n">
        <f aca="false">I8*'2. Paid Media'!B9</f>
        <v>113082039.911308</v>
      </c>
      <c r="R8" s="89" t="n">
        <f aca="false">I8*'2. Paid Media'!B10</f>
        <v>47117516.6297118</v>
      </c>
    </row>
    <row r="9" customFormat="false" ht="15" hidden="false" customHeight="true" outlineLevel="0" collapsed="false">
      <c r="A9" s="83" t="s">
        <v>195</v>
      </c>
      <c r="B9" s="83" t="s">
        <v>214</v>
      </c>
      <c r="C9" s="83" t="s">
        <v>1156</v>
      </c>
      <c r="D9" s="100" t="n">
        <v>60</v>
      </c>
      <c r="E9" s="101" t="n">
        <v>1</v>
      </c>
      <c r="F9" s="102" t="n">
        <f aca="false">D9*E9</f>
        <v>60</v>
      </c>
      <c r="G9" s="101" t="n">
        <f aca="false">F9/F$14</f>
        <v>0.0443458980044346</v>
      </c>
      <c r="H9" s="94" t="n">
        <f aca="false">G9*'1. Input'!B4</f>
        <v>576496674.05765</v>
      </c>
      <c r="I9" s="94" t="n">
        <f aca="false">G9*'1. Input'!B15</f>
        <v>376940133.037694</v>
      </c>
      <c r="J9" s="94" t="n">
        <f aca="false">G9*'1. Input'!B10</f>
        <v>35476718.4035477</v>
      </c>
      <c r="K9" s="94" t="n">
        <f aca="false">I9*'2. Paid Media'!B3</f>
        <v>143237250.554324</v>
      </c>
      <c r="L9" s="94" t="n">
        <f aca="false">I9*'2. Paid Media'!B4</f>
        <v>67849223.9467849</v>
      </c>
      <c r="M9" s="94" t="n">
        <f aca="false">I9*'2. Paid Media'!B5</f>
        <v>26385809.3126386</v>
      </c>
      <c r="N9" s="94" t="n">
        <f aca="false">I9*'2. Paid Media'!B6</f>
        <v>37694013.3037694</v>
      </c>
      <c r="O9" s="94" t="n">
        <f aca="false">I9*'2. Paid Media'!B7</f>
        <v>26385809.3126386</v>
      </c>
      <c r="P9" s="94" t="n">
        <f aca="false">I9*'2. Paid Media'!B8</f>
        <v>18847006.6518847</v>
      </c>
      <c r="Q9" s="94" t="n">
        <f aca="false">I9*'2. Paid Media'!B9</f>
        <v>45232815.9645233</v>
      </c>
      <c r="R9" s="94" t="n">
        <f aca="false">I9*'2. Paid Media'!B10</f>
        <v>18847006.6518847</v>
      </c>
    </row>
    <row r="10" customFormat="false" ht="15" hidden="false" customHeight="true" outlineLevel="0" collapsed="false">
      <c r="A10" s="85" t="s">
        <v>195</v>
      </c>
      <c r="B10" s="85" t="s">
        <v>223</v>
      </c>
      <c r="C10" s="85" t="s">
        <v>1157</v>
      </c>
      <c r="D10" s="86" t="n">
        <v>60</v>
      </c>
      <c r="E10" s="88" t="n">
        <v>1</v>
      </c>
      <c r="F10" s="86" t="n">
        <f aca="false">D10*E10</f>
        <v>60</v>
      </c>
      <c r="G10" s="88" t="n">
        <f aca="false">F10/F$14</f>
        <v>0.0443458980044346</v>
      </c>
      <c r="H10" s="89" t="n">
        <f aca="false">G10*'1. Input'!B4</f>
        <v>576496674.05765</v>
      </c>
      <c r="I10" s="89" t="n">
        <f aca="false">G10*'1. Input'!B15</f>
        <v>376940133.037694</v>
      </c>
      <c r="J10" s="89" t="n">
        <f aca="false">G10*'1. Input'!B10</f>
        <v>35476718.4035477</v>
      </c>
      <c r="K10" s="89" t="n">
        <f aca="false">I10*'2. Paid Media'!B3</f>
        <v>143237250.554324</v>
      </c>
      <c r="L10" s="89" t="n">
        <f aca="false">I10*'2. Paid Media'!B4</f>
        <v>67849223.9467849</v>
      </c>
      <c r="M10" s="89" t="n">
        <f aca="false">I10*'2. Paid Media'!B5</f>
        <v>26385809.3126386</v>
      </c>
      <c r="N10" s="89" t="n">
        <f aca="false">I10*'2. Paid Media'!B6</f>
        <v>37694013.3037694</v>
      </c>
      <c r="O10" s="89" t="n">
        <f aca="false">I10*'2. Paid Media'!B7</f>
        <v>26385809.3126386</v>
      </c>
      <c r="P10" s="89" t="n">
        <f aca="false">I10*'2. Paid Media'!B8</f>
        <v>18847006.6518847</v>
      </c>
      <c r="Q10" s="89" t="n">
        <f aca="false">I10*'2. Paid Media'!B9</f>
        <v>45232815.9645233</v>
      </c>
      <c r="R10" s="89" t="n">
        <f aca="false">I10*'2. Paid Media'!B10</f>
        <v>18847006.6518847</v>
      </c>
    </row>
    <row r="11" customFormat="false" ht="15" hidden="false" customHeight="true" outlineLevel="0" collapsed="false">
      <c r="A11" s="83" t="s">
        <v>233</v>
      </c>
      <c r="B11" s="83" t="s">
        <v>232</v>
      </c>
      <c r="C11" s="83" t="s">
        <v>1158</v>
      </c>
      <c r="D11" s="100" t="n">
        <v>200</v>
      </c>
      <c r="E11" s="101" t="n">
        <v>1.2</v>
      </c>
      <c r="F11" s="102" t="n">
        <f aca="false">D11*E11</f>
        <v>240</v>
      </c>
      <c r="G11" s="101" t="n">
        <f aca="false">F11/F$14</f>
        <v>0.177383592017738</v>
      </c>
      <c r="H11" s="94" t="n">
        <f aca="false">G11*'1. Input'!B4</f>
        <v>2305986696.2306</v>
      </c>
      <c r="I11" s="94" t="n">
        <f aca="false">G11*'1. Input'!B15</f>
        <v>1507760532.15078</v>
      </c>
      <c r="J11" s="94" t="n">
        <f aca="false">G11*'1. Input'!B10</f>
        <v>141906873.614191</v>
      </c>
      <c r="K11" s="94" t="n">
        <f aca="false">I11*'2. Paid Media'!B3</f>
        <v>572949002.217295</v>
      </c>
      <c r="L11" s="94" t="n">
        <f aca="false">I11*'2. Paid Media'!B4</f>
        <v>271396895.78714</v>
      </c>
      <c r="M11" s="94" t="n">
        <f aca="false">I11*'2. Paid Media'!B5</f>
        <v>105543237.250554</v>
      </c>
      <c r="N11" s="94" t="n">
        <f aca="false">I11*'2. Paid Media'!B6</f>
        <v>150776053.215078</v>
      </c>
      <c r="O11" s="94" t="n">
        <f aca="false">I11*'2. Paid Media'!B7</f>
        <v>105543237.250554</v>
      </c>
      <c r="P11" s="94" t="n">
        <f aca="false">I11*'2. Paid Media'!B8</f>
        <v>75388026.6075388</v>
      </c>
      <c r="Q11" s="94" t="n">
        <f aca="false">I11*'2. Paid Media'!B9</f>
        <v>180931263.858093</v>
      </c>
      <c r="R11" s="94" t="n">
        <f aca="false">I11*'2. Paid Media'!B10</f>
        <v>75388026.6075388</v>
      </c>
    </row>
    <row r="12" customFormat="false" ht="15" hidden="false" customHeight="true" outlineLevel="0" collapsed="false">
      <c r="A12" s="85" t="s">
        <v>243</v>
      </c>
      <c r="B12" s="85" t="s">
        <v>242</v>
      </c>
      <c r="C12" s="85" t="s">
        <v>1158</v>
      </c>
      <c r="D12" s="86" t="n">
        <v>200</v>
      </c>
      <c r="E12" s="88" t="n">
        <v>1.35</v>
      </c>
      <c r="F12" s="86" t="n">
        <f aca="false">D12*E12</f>
        <v>270</v>
      </c>
      <c r="G12" s="88" t="n">
        <f aca="false">F12/F$14</f>
        <v>0.199556541019956</v>
      </c>
      <c r="H12" s="89" t="n">
        <f aca="false">G12*'1. Input'!B4</f>
        <v>2594235033.25942</v>
      </c>
      <c r="I12" s="89" t="n">
        <f aca="false">G12*'1. Input'!B15</f>
        <v>1696230598.66962</v>
      </c>
      <c r="J12" s="89" t="n">
        <f aca="false">G12*'1. Input'!B10</f>
        <v>159645232.815965</v>
      </c>
      <c r="K12" s="89" t="n">
        <f aca="false">I12*'2. Paid Media'!B3</f>
        <v>644567627.494457</v>
      </c>
      <c r="L12" s="89" t="n">
        <f aca="false">I12*'2. Paid Media'!B4</f>
        <v>305321507.760532</v>
      </c>
      <c r="M12" s="89" t="n">
        <f aca="false">I12*'2. Paid Media'!B5</f>
        <v>118736141.906874</v>
      </c>
      <c r="N12" s="89" t="n">
        <f aca="false">I12*'2. Paid Media'!B6</f>
        <v>169623059.866962</v>
      </c>
      <c r="O12" s="89" t="n">
        <f aca="false">I12*'2. Paid Media'!B7</f>
        <v>118736141.906874</v>
      </c>
      <c r="P12" s="89" t="n">
        <f aca="false">I12*'2. Paid Media'!B8</f>
        <v>84811529.9334812</v>
      </c>
      <c r="Q12" s="89" t="n">
        <f aca="false">I12*'2. Paid Media'!B9</f>
        <v>203547671.840355</v>
      </c>
      <c r="R12" s="89" t="n">
        <f aca="false">I12*'2. Paid Media'!B10</f>
        <v>84811529.9334812</v>
      </c>
    </row>
    <row r="13" customFormat="false" ht="15" hidden="false" customHeight="true" outlineLevel="0" collapsed="false">
      <c r="A13" s="83" t="s">
        <v>1160</v>
      </c>
      <c r="B13" s="83" t="s">
        <v>480</v>
      </c>
      <c r="C13" s="83" t="s">
        <v>1161</v>
      </c>
      <c r="D13" s="100" t="n">
        <v>100</v>
      </c>
      <c r="E13" s="101" t="n">
        <v>1</v>
      </c>
      <c r="F13" s="102" t="n">
        <f aca="false">D13*E13</f>
        <v>100</v>
      </c>
      <c r="G13" s="101" t="n">
        <f aca="false">F13/F$14</f>
        <v>0.073909830007391</v>
      </c>
      <c r="H13" s="94" t="n">
        <f aca="false">G13*'1. Input'!B4</f>
        <v>960827790.096083</v>
      </c>
      <c r="I13" s="94" t="n">
        <f aca="false">G13*'1. Input'!B15</f>
        <v>628233555.062823</v>
      </c>
      <c r="J13" s="94" t="n">
        <f aca="false">G13*'1. Input'!B10</f>
        <v>59127864.0059128</v>
      </c>
      <c r="K13" s="94" t="n">
        <f aca="false">I13*'2. Paid Media'!B3</f>
        <v>238728750.923873</v>
      </c>
      <c r="L13" s="94" t="n">
        <f aca="false">I13*'2. Paid Media'!B4</f>
        <v>113082039.911308</v>
      </c>
      <c r="M13" s="94" t="n">
        <f aca="false">I13*'2. Paid Media'!B5</f>
        <v>43976348.8543976</v>
      </c>
      <c r="N13" s="94" t="n">
        <f aca="false">I13*'2. Paid Media'!B6</f>
        <v>62823355.5062823</v>
      </c>
      <c r="O13" s="94" t="n">
        <f aca="false">I13*'2. Paid Media'!B7</f>
        <v>43976348.8543976</v>
      </c>
      <c r="P13" s="94" t="n">
        <f aca="false">I13*'2. Paid Media'!B8</f>
        <v>31411677.7531412</v>
      </c>
      <c r="Q13" s="94" t="n">
        <f aca="false">I13*'2. Paid Media'!B9</f>
        <v>75388026.6075388</v>
      </c>
      <c r="R13" s="94" t="n">
        <f aca="false">I13*'2. Paid Media'!B10</f>
        <v>31411677.7531412</v>
      </c>
    </row>
    <row r="14" customFormat="false" ht="15" hidden="false" customHeight="true" outlineLevel="0" collapsed="false">
      <c r="A14" s="95" t="s">
        <v>855</v>
      </c>
      <c r="B14" s="95"/>
      <c r="C14" s="95"/>
      <c r="D14" s="103" t="n">
        <f aca="false">SUM(D3:D13)</f>
        <v>1300</v>
      </c>
      <c r="E14" s="95"/>
      <c r="F14" s="95" t="n">
        <f aca="false">SUM(F3:F13)</f>
        <v>1353</v>
      </c>
      <c r="G14" s="96" t="n">
        <f aca="false">SUM(G3:G13)</f>
        <v>1</v>
      </c>
      <c r="H14" s="97" t="n">
        <f aca="false">SUM(H3:H13)</f>
        <v>13000000000</v>
      </c>
      <c r="I14" s="97" t="n">
        <f aca="false">SUM(I3:I13)</f>
        <v>8500000000</v>
      </c>
      <c r="J14" s="97" t="n">
        <f aca="false">SUM(J3:J13)</f>
        <v>800000000</v>
      </c>
      <c r="K14" s="97" t="n">
        <f aca="false">SUM(K3:K13)</f>
        <v>3230000000</v>
      </c>
      <c r="L14" s="97" t="n">
        <f aca="false">SUM(L3:L13)</f>
        <v>1530000000</v>
      </c>
      <c r="M14" s="97" t="n">
        <f aca="false">SUM(M3:M13)</f>
        <v>595000000</v>
      </c>
      <c r="N14" s="97" t="n">
        <f aca="false">SUM(N3:N13)</f>
        <v>850000000</v>
      </c>
      <c r="O14" s="97" t="n">
        <f aca="false">SUM(O3:O13)</f>
        <v>595000000</v>
      </c>
      <c r="P14" s="97" t="n">
        <f aca="false">SUM(P3:P13)</f>
        <v>425000000</v>
      </c>
      <c r="Q14" s="97" t="n">
        <f aca="false">SUM(Q3:Q13)</f>
        <v>1020000000</v>
      </c>
      <c r="R14" s="97" t="n">
        <f aca="false">SUM(R3:R13)</f>
        <v>425000000</v>
      </c>
    </row>
  </sheetData>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4336"/>
    <pageSetUpPr fitToPage="false"/>
  </sheetPr>
  <dimension ref="A1:N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6" min="1" style="1" width="18"/>
    <col collapsed="false" customWidth="true" hidden="false" outlineLevel="0" max="11" min="7" style="1" width="30"/>
    <col collapsed="false" customWidth="true" hidden="false" outlineLevel="0" max="12" min="12" style="0" width="30"/>
    <col collapsed="false" customWidth="true" hidden="false" outlineLevel="0" max="13" min="13" style="0" width="40"/>
  </cols>
  <sheetData>
    <row r="1" customFormat="false" ht="15" hidden="false" customHeight="true" outlineLevel="0" collapsed="false">
      <c r="A1" s="104" t="s">
        <v>1162</v>
      </c>
      <c r="B1" s="104"/>
      <c r="C1" s="104"/>
      <c r="D1" s="104"/>
      <c r="E1" s="104"/>
      <c r="F1" s="104"/>
      <c r="G1" s="104"/>
      <c r="H1" s="104"/>
      <c r="I1" s="104"/>
      <c r="J1" s="104"/>
      <c r="K1" s="104"/>
      <c r="L1" s="104"/>
      <c r="M1" s="104"/>
      <c r="N1" s="104"/>
    </row>
    <row r="2" customFormat="false" ht="15" hidden="false" customHeight="true" outlineLevel="0" collapsed="false">
      <c r="A2" s="105"/>
      <c r="B2" s="105"/>
      <c r="C2" s="105"/>
      <c r="D2" s="105"/>
      <c r="E2" s="105"/>
      <c r="F2" s="105"/>
      <c r="G2" s="79"/>
      <c r="H2" s="79"/>
      <c r="I2" s="79"/>
      <c r="J2" s="79"/>
      <c r="K2" s="79"/>
      <c r="L2" s="79"/>
    </row>
    <row r="3" customFormat="false" ht="15" hidden="false" customHeight="true" outlineLevel="0" collapsed="false">
      <c r="A3" s="106" t="s">
        <v>1163</v>
      </c>
      <c r="B3" s="83"/>
      <c r="C3" s="83"/>
      <c r="D3" s="102"/>
      <c r="E3" s="94"/>
      <c r="F3" s="83"/>
      <c r="G3" s="79"/>
      <c r="H3" s="79"/>
      <c r="I3" s="79"/>
      <c r="J3" s="79"/>
      <c r="K3" s="79"/>
      <c r="L3" s="79"/>
    </row>
    <row r="4" customFormat="false" ht="15" hidden="false" customHeight="true" outlineLevel="0" collapsed="false">
      <c r="A4" s="83" t="s">
        <v>1164</v>
      </c>
      <c r="B4" s="101"/>
      <c r="C4" s="83"/>
      <c r="D4" s="102"/>
      <c r="E4" s="94"/>
      <c r="F4" s="83"/>
      <c r="G4" s="79"/>
      <c r="H4" s="79"/>
      <c r="I4" s="79"/>
      <c r="J4" s="79"/>
      <c r="K4" s="79"/>
      <c r="L4" s="79"/>
    </row>
    <row r="5" customFormat="false" ht="15" hidden="false" customHeight="true" outlineLevel="0" collapsed="false">
      <c r="A5" s="83" t="s">
        <v>1165</v>
      </c>
      <c r="B5" s="101"/>
      <c r="C5" s="83"/>
      <c r="D5" s="102"/>
      <c r="E5" s="94"/>
      <c r="F5" s="83"/>
      <c r="G5" s="79"/>
      <c r="H5" s="79"/>
      <c r="I5" s="79"/>
      <c r="J5" s="79"/>
      <c r="K5" s="79"/>
      <c r="L5" s="79"/>
    </row>
    <row r="6" customFormat="false" ht="15" hidden="false" customHeight="true" outlineLevel="0" collapsed="false">
      <c r="A6" s="83"/>
      <c r="B6" s="101"/>
      <c r="C6" s="83"/>
      <c r="D6" s="102"/>
      <c r="E6" s="94"/>
      <c r="F6" s="83"/>
      <c r="G6" s="79"/>
      <c r="H6" s="79"/>
      <c r="I6" s="79"/>
      <c r="J6" s="79"/>
      <c r="K6" s="79"/>
      <c r="L6" s="79"/>
    </row>
    <row r="7" customFormat="false" ht="26.85" hidden="false" customHeight="false" outlineLevel="0" collapsed="false">
      <c r="A7" s="3" t="s">
        <v>638</v>
      </c>
      <c r="B7" s="3" t="s">
        <v>1166</v>
      </c>
      <c r="C7" s="3" t="s">
        <v>1167</v>
      </c>
      <c r="D7" s="3" t="s">
        <v>3</v>
      </c>
      <c r="E7" s="3" t="s">
        <v>472</v>
      </c>
      <c r="F7" s="3" t="s">
        <v>1168</v>
      </c>
      <c r="G7" s="3" t="s">
        <v>1169</v>
      </c>
      <c r="H7" s="3" t="s">
        <v>409</v>
      </c>
      <c r="I7" s="3" t="s">
        <v>1170</v>
      </c>
      <c r="J7" s="3" t="s">
        <v>1171</v>
      </c>
      <c r="K7" s="3" t="s">
        <v>1172</v>
      </c>
      <c r="L7" s="3" t="s">
        <v>412</v>
      </c>
    </row>
    <row r="8" customFormat="false" ht="15" hidden="false" customHeight="true" outlineLevel="0" collapsed="false">
      <c r="A8" s="73" t="s">
        <v>490</v>
      </c>
      <c r="B8" s="73" t="s">
        <v>1173</v>
      </c>
      <c r="C8" s="73" t="s">
        <v>1174</v>
      </c>
      <c r="D8" s="73" t="s">
        <v>1175</v>
      </c>
      <c r="E8" s="73" t="s">
        <v>505</v>
      </c>
      <c r="F8" s="73" t="s">
        <v>516</v>
      </c>
      <c r="G8" s="73" t="s">
        <v>1176</v>
      </c>
      <c r="H8" s="73" t="s">
        <v>1177</v>
      </c>
      <c r="I8" s="73" t="s">
        <v>1178</v>
      </c>
      <c r="J8" s="73" t="s">
        <v>752</v>
      </c>
      <c r="K8" s="73" t="s">
        <v>1179</v>
      </c>
      <c r="L8" s="73" t="s">
        <v>1180</v>
      </c>
    </row>
    <row r="9" customFormat="false" ht="15" hidden="false" customHeight="true" outlineLevel="0" collapsed="false">
      <c r="A9" s="75" t="s">
        <v>496</v>
      </c>
      <c r="B9" s="75" t="s">
        <v>1181</v>
      </c>
      <c r="C9" s="75" t="s">
        <v>1182</v>
      </c>
      <c r="D9" s="75" t="s">
        <v>1183</v>
      </c>
      <c r="E9" s="75" t="s">
        <v>505</v>
      </c>
      <c r="F9" s="75" t="s">
        <v>516</v>
      </c>
      <c r="G9" s="75" t="s">
        <v>1184</v>
      </c>
      <c r="H9" s="75" t="s">
        <v>1177</v>
      </c>
      <c r="I9" s="75" t="s">
        <v>1185</v>
      </c>
      <c r="J9" s="75" t="s">
        <v>756</v>
      </c>
      <c r="K9" s="75" t="s">
        <v>1186</v>
      </c>
      <c r="L9" s="75" t="s">
        <v>1180</v>
      </c>
    </row>
    <row r="10" customFormat="false" ht="45.75" hidden="false" customHeight="true" outlineLevel="0" collapsed="false">
      <c r="A10" s="73" t="s">
        <v>502</v>
      </c>
      <c r="B10" s="73" t="s">
        <v>1187</v>
      </c>
      <c r="C10" s="73" t="s">
        <v>1188</v>
      </c>
      <c r="D10" s="73" t="s">
        <v>233</v>
      </c>
      <c r="E10" s="73" t="s">
        <v>1189</v>
      </c>
      <c r="F10" s="73" t="s">
        <v>516</v>
      </c>
      <c r="G10" s="73" t="s">
        <v>1190</v>
      </c>
      <c r="H10" s="73" t="s">
        <v>1177</v>
      </c>
      <c r="I10" s="73" t="s">
        <v>1191</v>
      </c>
      <c r="J10" s="73" t="s">
        <v>748</v>
      </c>
      <c r="K10" s="73" t="s">
        <v>1192</v>
      </c>
      <c r="L10" s="73" t="s">
        <v>1180</v>
      </c>
    </row>
    <row r="11" customFormat="false" ht="45.75" hidden="false" customHeight="true" outlineLevel="0" collapsed="false">
      <c r="A11" s="75" t="s">
        <v>507</v>
      </c>
      <c r="B11" s="75" t="s">
        <v>1193</v>
      </c>
      <c r="C11" s="75" t="s">
        <v>1194</v>
      </c>
      <c r="D11" s="75" t="s">
        <v>243</v>
      </c>
      <c r="E11" s="75" t="s">
        <v>1189</v>
      </c>
      <c r="F11" s="75" t="s">
        <v>516</v>
      </c>
      <c r="G11" s="75" t="s">
        <v>1195</v>
      </c>
      <c r="H11" s="75" t="s">
        <v>1177</v>
      </c>
      <c r="I11" s="75" t="s">
        <v>1191</v>
      </c>
      <c r="J11" s="75" t="s">
        <v>707</v>
      </c>
      <c r="K11" s="75" t="s">
        <v>1196</v>
      </c>
      <c r="L11" s="75" t="s">
        <v>1180</v>
      </c>
    </row>
    <row r="12" customFormat="false" ht="45.75" hidden="false" customHeight="true" outlineLevel="0" collapsed="false">
      <c r="A12" s="73" t="s">
        <v>511</v>
      </c>
      <c r="B12" s="73" t="s">
        <v>1197</v>
      </c>
      <c r="C12" s="73" t="s">
        <v>1198</v>
      </c>
      <c r="D12" s="73" t="s">
        <v>1175</v>
      </c>
      <c r="E12" s="73" t="s">
        <v>151</v>
      </c>
      <c r="F12" s="73" t="s">
        <v>511</v>
      </c>
      <c r="G12" s="73" t="s">
        <v>1199</v>
      </c>
      <c r="H12" s="73" t="s">
        <v>1200</v>
      </c>
      <c r="I12" s="73" t="s">
        <v>1201</v>
      </c>
      <c r="J12" s="73" t="s">
        <v>679</v>
      </c>
      <c r="K12" s="73" t="s">
        <v>1202</v>
      </c>
      <c r="L12" s="73" t="s">
        <v>1180</v>
      </c>
    </row>
    <row r="13" customFormat="false" ht="34.5" hidden="false" customHeight="true" outlineLevel="0" collapsed="false">
      <c r="A13" s="75" t="s">
        <v>516</v>
      </c>
      <c r="B13" s="75" t="s">
        <v>1203</v>
      </c>
      <c r="C13" s="75" t="s">
        <v>1204</v>
      </c>
      <c r="D13" s="75" t="s">
        <v>1175</v>
      </c>
      <c r="E13" s="75" t="s">
        <v>162</v>
      </c>
      <c r="F13" s="75" t="s">
        <v>511</v>
      </c>
      <c r="G13" s="75" t="s">
        <v>1205</v>
      </c>
      <c r="H13" s="75" t="s">
        <v>1200</v>
      </c>
      <c r="I13" s="75" t="s">
        <v>1206</v>
      </c>
      <c r="J13" s="75" t="s">
        <v>666</v>
      </c>
      <c r="K13" s="75" t="s">
        <v>1207</v>
      </c>
      <c r="L13" s="75" t="s">
        <v>1180</v>
      </c>
    </row>
    <row r="14" customFormat="false" ht="57" hidden="false" customHeight="true" outlineLevel="0" collapsed="false">
      <c r="A14" s="73" t="s">
        <v>519</v>
      </c>
      <c r="B14" s="73" t="s">
        <v>1208</v>
      </c>
      <c r="C14" s="73" t="s">
        <v>1209</v>
      </c>
      <c r="D14" s="73" t="s">
        <v>174</v>
      </c>
      <c r="E14" s="73" t="s">
        <v>1210</v>
      </c>
      <c r="F14" s="73" t="s">
        <v>511</v>
      </c>
      <c r="G14" s="73" t="s">
        <v>1211</v>
      </c>
      <c r="H14" s="73" t="s">
        <v>1200</v>
      </c>
      <c r="I14" s="73" t="s">
        <v>1212</v>
      </c>
      <c r="J14" s="73" t="s">
        <v>666</v>
      </c>
      <c r="K14" s="73" t="s">
        <v>1213</v>
      </c>
      <c r="L14" s="73" t="s">
        <v>1180</v>
      </c>
    </row>
    <row r="15" customFormat="false" ht="35.05" hidden="false" customHeight="false" outlineLevel="0" collapsed="false">
      <c r="A15" s="75" t="s">
        <v>523</v>
      </c>
      <c r="B15" s="75" t="s">
        <v>1214</v>
      </c>
      <c r="C15" s="75" t="s">
        <v>1215</v>
      </c>
      <c r="D15" s="75" t="s">
        <v>174</v>
      </c>
      <c r="E15" s="75" t="s">
        <v>1216</v>
      </c>
      <c r="F15" s="75" t="s">
        <v>511</v>
      </c>
      <c r="G15" s="75" t="s">
        <v>1217</v>
      </c>
      <c r="H15" s="75" t="s">
        <v>1200</v>
      </c>
      <c r="I15" s="75" t="s">
        <v>1218</v>
      </c>
      <c r="J15" s="75" t="s">
        <v>666</v>
      </c>
      <c r="K15" s="75" t="s">
        <v>1219</v>
      </c>
      <c r="L15" s="75" t="s">
        <v>1180</v>
      </c>
    </row>
    <row r="16" customFormat="false" ht="23.85" hidden="false" customHeight="false" outlineLevel="0" collapsed="false">
      <c r="A16" s="73" t="s">
        <v>530</v>
      </c>
      <c r="B16" s="73" t="s">
        <v>1220</v>
      </c>
      <c r="C16" s="73" t="s">
        <v>1221</v>
      </c>
      <c r="D16" s="73" t="s">
        <v>1183</v>
      </c>
      <c r="E16" s="73" t="s">
        <v>194</v>
      </c>
      <c r="F16" s="73" t="s">
        <v>511</v>
      </c>
      <c r="G16" s="73" t="s">
        <v>1222</v>
      </c>
      <c r="H16" s="73" t="s">
        <v>1200</v>
      </c>
      <c r="I16" s="73" t="s">
        <v>1223</v>
      </c>
      <c r="J16" s="73" t="s">
        <v>679</v>
      </c>
      <c r="K16" s="73" t="s">
        <v>1224</v>
      </c>
      <c r="L16" s="73" t="s">
        <v>1180</v>
      </c>
    </row>
    <row r="17" customFormat="false" ht="15" hidden="false" customHeight="true" outlineLevel="0" collapsed="false">
      <c r="A17" s="75" t="s">
        <v>535</v>
      </c>
      <c r="B17" s="75" t="s">
        <v>1225</v>
      </c>
      <c r="C17" s="75" t="s">
        <v>1226</v>
      </c>
      <c r="D17" s="75" t="s">
        <v>1183</v>
      </c>
      <c r="E17" s="75" t="s">
        <v>204</v>
      </c>
      <c r="F17" s="75" t="s">
        <v>511</v>
      </c>
      <c r="G17" s="75" t="s">
        <v>1227</v>
      </c>
      <c r="H17" s="75" t="s">
        <v>1200</v>
      </c>
      <c r="I17" s="75" t="s">
        <v>1228</v>
      </c>
      <c r="J17" s="75" t="s">
        <v>666</v>
      </c>
      <c r="K17" s="75" t="s">
        <v>1229</v>
      </c>
      <c r="L17" s="75" t="s">
        <v>1180</v>
      </c>
    </row>
    <row r="18" customFormat="false" ht="15" hidden="false" customHeight="true" outlineLevel="0" collapsed="false">
      <c r="A18" s="73" t="s">
        <v>542</v>
      </c>
      <c r="B18" s="73" t="s">
        <v>1230</v>
      </c>
      <c r="C18" s="73" t="s">
        <v>1231</v>
      </c>
      <c r="D18" s="73" t="s">
        <v>505</v>
      </c>
      <c r="E18" s="73" t="s">
        <v>1232</v>
      </c>
      <c r="F18" s="73" t="s">
        <v>507</v>
      </c>
      <c r="G18" s="73" t="s">
        <v>1233</v>
      </c>
      <c r="H18" s="73" t="s">
        <v>1234</v>
      </c>
      <c r="I18" s="73" t="s">
        <v>1235</v>
      </c>
      <c r="J18" s="73" t="s">
        <v>1236</v>
      </c>
      <c r="K18" s="73" t="s">
        <v>1237</v>
      </c>
      <c r="L18" s="73" t="s">
        <v>1180</v>
      </c>
    </row>
    <row r="19" customFormat="false" ht="15" hidden="false" customHeight="true" outlineLevel="0" collapsed="false">
      <c r="A19" s="75" t="s">
        <v>546</v>
      </c>
      <c r="B19" s="75" t="s">
        <v>1238</v>
      </c>
      <c r="C19" s="75" t="s">
        <v>1239</v>
      </c>
      <c r="D19" s="75" t="s">
        <v>505</v>
      </c>
      <c r="E19" s="75" t="s">
        <v>1240</v>
      </c>
      <c r="F19" s="75" t="s">
        <v>507</v>
      </c>
      <c r="G19" s="75" t="s">
        <v>1241</v>
      </c>
      <c r="H19" s="75" t="s">
        <v>1234</v>
      </c>
      <c r="I19" s="75" t="s">
        <v>1235</v>
      </c>
      <c r="J19" s="75" t="s">
        <v>1242</v>
      </c>
      <c r="K19" s="75" t="s">
        <v>1243</v>
      </c>
      <c r="L19" s="75" t="s">
        <v>1180</v>
      </c>
    </row>
    <row r="20" customFormat="false" ht="34.5" hidden="false" customHeight="true" outlineLevel="0" collapsed="false">
      <c r="A20" s="73" t="s">
        <v>551</v>
      </c>
      <c r="B20" s="73" t="s">
        <v>1244</v>
      </c>
      <c r="C20" s="73" t="s">
        <v>1245</v>
      </c>
      <c r="D20" s="73" t="s">
        <v>505</v>
      </c>
      <c r="E20" s="73" t="s">
        <v>1246</v>
      </c>
      <c r="F20" s="73" t="s">
        <v>511</v>
      </c>
      <c r="G20" s="73" t="s">
        <v>1247</v>
      </c>
      <c r="H20" s="73" t="s">
        <v>1234</v>
      </c>
      <c r="I20" s="73" t="s">
        <v>1248</v>
      </c>
      <c r="J20" s="73" t="s">
        <v>1249</v>
      </c>
      <c r="K20" s="73" t="s">
        <v>1250</v>
      </c>
      <c r="L20" s="73" t="s">
        <v>1180</v>
      </c>
    </row>
    <row r="21" customFormat="false" ht="34.5" hidden="false" customHeight="true" outlineLevel="0" collapsed="false">
      <c r="A21" s="75" t="s">
        <v>556</v>
      </c>
      <c r="B21" s="75" t="s">
        <v>1251</v>
      </c>
      <c r="C21" s="75" t="s">
        <v>1252</v>
      </c>
      <c r="D21" s="75" t="s">
        <v>505</v>
      </c>
      <c r="E21" s="75" t="s">
        <v>1246</v>
      </c>
      <c r="F21" s="75" t="s">
        <v>507</v>
      </c>
      <c r="G21" s="75" t="s">
        <v>1253</v>
      </c>
      <c r="H21" s="75" t="s">
        <v>1234</v>
      </c>
      <c r="I21" s="75" t="s">
        <v>1235</v>
      </c>
      <c r="J21" s="75" t="s">
        <v>1242</v>
      </c>
      <c r="K21" s="75" t="s">
        <v>1254</v>
      </c>
      <c r="L21" s="75" t="s">
        <v>1180</v>
      </c>
    </row>
    <row r="22" customFormat="false" ht="34.5" hidden="false" customHeight="true" outlineLevel="0" collapsed="false">
      <c r="A22" s="73" t="s">
        <v>666</v>
      </c>
      <c r="B22" s="73" t="s">
        <v>1255</v>
      </c>
      <c r="C22" s="73" t="s">
        <v>1256</v>
      </c>
      <c r="D22" s="73" t="s">
        <v>1175</v>
      </c>
      <c r="E22" s="73" t="s">
        <v>451</v>
      </c>
      <c r="F22" s="73" t="s">
        <v>507</v>
      </c>
      <c r="G22" s="73" t="s">
        <v>1257</v>
      </c>
      <c r="H22" s="73" t="s">
        <v>1258</v>
      </c>
      <c r="I22" s="73" t="s">
        <v>1259</v>
      </c>
      <c r="J22" s="73" t="s">
        <v>1260</v>
      </c>
      <c r="K22" s="73" t="s">
        <v>1261</v>
      </c>
      <c r="L22" s="73" t="s">
        <v>1180</v>
      </c>
    </row>
    <row r="23" customFormat="false" ht="23.25" hidden="false" customHeight="true" outlineLevel="0" collapsed="false">
      <c r="A23" s="75" t="s">
        <v>668</v>
      </c>
      <c r="B23" s="75" t="s">
        <v>1262</v>
      </c>
      <c r="C23" s="75" t="s">
        <v>1263</v>
      </c>
      <c r="D23" s="75" t="s">
        <v>1183</v>
      </c>
      <c r="E23" s="75" t="s">
        <v>451</v>
      </c>
      <c r="F23" s="75" t="s">
        <v>507</v>
      </c>
      <c r="G23" s="75" t="s">
        <v>1264</v>
      </c>
      <c r="H23" s="75" t="s">
        <v>1258</v>
      </c>
      <c r="I23" s="75" t="s">
        <v>1265</v>
      </c>
      <c r="J23" s="75" t="s">
        <v>1266</v>
      </c>
      <c r="K23" s="75" t="s">
        <v>1267</v>
      </c>
      <c r="L23" s="75" t="s">
        <v>1180</v>
      </c>
    </row>
    <row r="24" customFormat="false" ht="15" hidden="false" customHeight="true" outlineLevel="0" collapsed="false">
      <c r="A24" s="73" t="s">
        <v>670</v>
      </c>
      <c r="B24" s="73" t="s">
        <v>1268</v>
      </c>
      <c r="C24" s="73" t="s">
        <v>1269</v>
      </c>
      <c r="D24" s="73" t="s">
        <v>1270</v>
      </c>
      <c r="E24" s="73" t="s">
        <v>451</v>
      </c>
      <c r="F24" s="73" t="s">
        <v>507</v>
      </c>
      <c r="G24" s="73" t="s">
        <v>1271</v>
      </c>
      <c r="H24" s="73" t="s">
        <v>1258</v>
      </c>
      <c r="I24" s="73" t="s">
        <v>1272</v>
      </c>
      <c r="J24" s="73" t="s">
        <v>1236</v>
      </c>
      <c r="K24" s="73" t="s">
        <v>1273</v>
      </c>
      <c r="L24" s="73" t="s">
        <v>1180</v>
      </c>
    </row>
    <row r="25" customFormat="false" ht="34.5" hidden="false" customHeight="true" outlineLevel="0" collapsed="false">
      <c r="A25" s="75" t="s">
        <v>673</v>
      </c>
      <c r="B25" s="75" t="s">
        <v>1274</v>
      </c>
      <c r="C25" s="75" t="s">
        <v>1275</v>
      </c>
      <c r="D25" s="75" t="s">
        <v>505</v>
      </c>
      <c r="E25" s="75" t="s">
        <v>505</v>
      </c>
      <c r="F25" s="75" t="s">
        <v>511</v>
      </c>
      <c r="G25" s="75" t="s">
        <v>1276</v>
      </c>
      <c r="H25" s="75" t="s">
        <v>1277</v>
      </c>
      <c r="I25" s="75" t="s">
        <v>1235</v>
      </c>
      <c r="J25" s="75" t="s">
        <v>1278</v>
      </c>
      <c r="K25" s="75" t="s">
        <v>1279</v>
      </c>
      <c r="L25" s="75" t="s">
        <v>1180</v>
      </c>
    </row>
    <row r="26" customFormat="false" ht="34.5" hidden="false" customHeight="true" outlineLevel="0" collapsed="false">
      <c r="A26" s="73" t="s">
        <v>676</v>
      </c>
      <c r="B26" s="73" t="s">
        <v>1280</v>
      </c>
      <c r="C26" s="73" t="s">
        <v>1281</v>
      </c>
      <c r="D26" s="73" t="s">
        <v>505</v>
      </c>
      <c r="E26" s="73" t="s">
        <v>505</v>
      </c>
      <c r="F26" s="73" t="s">
        <v>502</v>
      </c>
      <c r="G26" s="73" t="s">
        <v>1282</v>
      </c>
      <c r="H26" s="73" t="s">
        <v>1283</v>
      </c>
      <c r="I26" s="73" t="s">
        <v>1284</v>
      </c>
      <c r="J26" s="73" t="s">
        <v>1285</v>
      </c>
      <c r="K26" s="73" t="s">
        <v>1286</v>
      </c>
      <c r="L26" s="73" t="s">
        <v>1180</v>
      </c>
    </row>
    <row r="27" customFormat="false" ht="23.25" hidden="false" customHeight="true" outlineLevel="0" collapsed="false">
      <c r="A27" s="75" t="s">
        <v>679</v>
      </c>
      <c r="B27" s="75" t="s">
        <v>1287</v>
      </c>
      <c r="C27" s="75" t="s">
        <v>1288</v>
      </c>
      <c r="D27" s="75" t="s">
        <v>505</v>
      </c>
      <c r="E27" s="75" t="s">
        <v>505</v>
      </c>
      <c r="F27" s="75" t="s">
        <v>507</v>
      </c>
      <c r="G27" s="75" t="s">
        <v>1289</v>
      </c>
      <c r="H27" s="75" t="s">
        <v>1290</v>
      </c>
      <c r="I27" s="75" t="s">
        <v>1291</v>
      </c>
      <c r="J27" s="75" t="s">
        <v>1292</v>
      </c>
      <c r="K27" s="75" t="s">
        <v>1293</v>
      </c>
      <c r="L27" s="75" t="s">
        <v>1180</v>
      </c>
    </row>
    <row r="28" customFormat="false" ht="23.25" hidden="false" customHeight="true" outlineLevel="0" collapsed="false">
      <c r="A28" s="73" t="s">
        <v>682</v>
      </c>
      <c r="B28" s="73" t="s">
        <v>1294</v>
      </c>
      <c r="C28" s="73" t="s">
        <v>1295</v>
      </c>
      <c r="D28" s="73" t="s">
        <v>195</v>
      </c>
      <c r="E28" s="73" t="s">
        <v>505</v>
      </c>
      <c r="F28" s="73" t="s">
        <v>507</v>
      </c>
      <c r="G28" s="73" t="s">
        <v>1296</v>
      </c>
      <c r="H28" s="73" t="s">
        <v>1297</v>
      </c>
      <c r="I28" s="73" t="s">
        <v>1298</v>
      </c>
      <c r="J28" s="73" t="s">
        <v>1299</v>
      </c>
      <c r="K28" s="73" t="s">
        <v>1300</v>
      </c>
      <c r="L28" s="73" t="s">
        <v>1180</v>
      </c>
    </row>
    <row r="29" customFormat="false" ht="15" hidden="false" customHeight="true" outlineLevel="0" collapsed="false">
      <c r="A29" s="75" t="s">
        <v>685</v>
      </c>
      <c r="B29" s="75" t="s">
        <v>1301</v>
      </c>
      <c r="C29" s="75" t="s">
        <v>1302</v>
      </c>
      <c r="D29" s="75" t="s">
        <v>505</v>
      </c>
      <c r="E29" s="75" t="s">
        <v>505</v>
      </c>
      <c r="F29" s="75" t="s">
        <v>502</v>
      </c>
      <c r="G29" s="75" t="s">
        <v>1303</v>
      </c>
      <c r="H29" s="75" t="s">
        <v>1304</v>
      </c>
      <c r="I29" s="75" t="s">
        <v>1305</v>
      </c>
      <c r="J29" s="75" t="s">
        <v>1306</v>
      </c>
      <c r="K29" s="75" t="s">
        <v>1307</v>
      </c>
      <c r="L29" s="75" t="s">
        <v>1180</v>
      </c>
    </row>
    <row r="30" customFormat="false" ht="23.85" hidden="false" customHeight="false" outlineLevel="0" collapsed="false">
      <c r="A30" s="73" t="s">
        <v>687</v>
      </c>
      <c r="B30" s="73" t="s">
        <v>1308</v>
      </c>
      <c r="C30" s="73" t="s">
        <v>1309</v>
      </c>
      <c r="D30" s="73" t="s">
        <v>505</v>
      </c>
      <c r="E30" s="73" t="s">
        <v>505</v>
      </c>
      <c r="F30" s="73" t="s">
        <v>507</v>
      </c>
      <c r="G30" s="73" t="s">
        <v>1310</v>
      </c>
      <c r="H30" s="73" t="s">
        <v>1311</v>
      </c>
      <c r="I30" s="73" t="s">
        <v>1312</v>
      </c>
      <c r="J30" s="73" t="s">
        <v>1313</v>
      </c>
      <c r="K30" s="73" t="s">
        <v>1314</v>
      </c>
      <c r="L30" s="73" t="s">
        <v>1180</v>
      </c>
    </row>
    <row r="31" customFormat="false" ht="23.85" hidden="false" customHeight="false" outlineLevel="0" collapsed="false">
      <c r="A31" s="75" t="s">
        <v>689</v>
      </c>
      <c r="B31" s="75" t="s">
        <v>1315</v>
      </c>
      <c r="C31" s="75" t="s">
        <v>1316</v>
      </c>
      <c r="D31" s="75" t="s">
        <v>505</v>
      </c>
      <c r="E31" s="75" t="s">
        <v>505</v>
      </c>
      <c r="F31" s="75" t="s">
        <v>502</v>
      </c>
      <c r="G31" s="75" t="s">
        <v>1317</v>
      </c>
      <c r="H31" s="75" t="s">
        <v>1318</v>
      </c>
      <c r="I31" s="75" t="s">
        <v>1284</v>
      </c>
      <c r="J31" s="75" t="s">
        <v>1319</v>
      </c>
      <c r="K31" s="75" t="s">
        <v>1320</v>
      </c>
      <c r="L31" s="75" t="s">
        <v>1180</v>
      </c>
    </row>
    <row r="34" customFormat="false" ht="15" hidden="false" customHeight="false" outlineLevel="0" collapsed="false">
      <c r="A34" s="72" t="s">
        <v>1321</v>
      </c>
    </row>
    <row r="35" customFormat="false" ht="15" hidden="false" customHeight="false" outlineLevel="0" collapsed="false">
      <c r="A35" s="79" t="s">
        <v>1322</v>
      </c>
    </row>
    <row r="37" customFormat="false" ht="26.85" hidden="false" customHeight="false" outlineLevel="0" collapsed="false">
      <c r="A37" s="3" t="s">
        <v>1323</v>
      </c>
      <c r="B37" s="3" t="s">
        <v>1324</v>
      </c>
      <c r="C37" s="3" t="s">
        <v>1325</v>
      </c>
      <c r="D37" s="3" t="s">
        <v>1326</v>
      </c>
      <c r="E37" s="3" t="s">
        <v>1327</v>
      </c>
      <c r="F37" s="3" t="s">
        <v>1328</v>
      </c>
      <c r="G37" s="3" t="s">
        <v>1329</v>
      </c>
      <c r="H37" s="3" t="s">
        <v>1330</v>
      </c>
      <c r="I37" s="3" t="s">
        <v>1331</v>
      </c>
      <c r="J37" s="3" t="s">
        <v>1332</v>
      </c>
      <c r="K37" s="3" t="s">
        <v>1333</v>
      </c>
      <c r="L37" s="3" t="s">
        <v>1334</v>
      </c>
      <c r="M37" s="3" t="s">
        <v>440</v>
      </c>
    </row>
    <row r="38" customFormat="false" ht="247.75" hidden="false" customHeight="false" outlineLevel="0" collapsed="false">
      <c r="A38" s="73" t="s">
        <v>1335</v>
      </c>
      <c r="B38" s="73" t="s">
        <v>1336</v>
      </c>
      <c r="C38" s="73" t="s">
        <v>1337</v>
      </c>
      <c r="D38" s="73" t="s">
        <v>1338</v>
      </c>
      <c r="E38" s="73" t="s">
        <v>1339</v>
      </c>
      <c r="F38" s="73" t="s">
        <v>1340</v>
      </c>
      <c r="G38" s="73" t="s">
        <v>1341</v>
      </c>
      <c r="H38" s="73" t="s">
        <v>1342</v>
      </c>
      <c r="I38" s="73" t="s">
        <v>1343</v>
      </c>
      <c r="J38" s="73" t="s">
        <v>1344</v>
      </c>
      <c r="K38" s="73" t="s">
        <v>1345</v>
      </c>
      <c r="L38" s="73" t="s">
        <v>1346</v>
      </c>
      <c r="M38" s="73" t="s">
        <v>1347</v>
      </c>
    </row>
    <row r="39" customFormat="false" ht="214.15" hidden="false" customHeight="false" outlineLevel="0" collapsed="false">
      <c r="A39" s="75" t="s">
        <v>1348</v>
      </c>
      <c r="B39" s="75" t="s">
        <v>1349</v>
      </c>
      <c r="C39" s="75" t="s">
        <v>1350</v>
      </c>
      <c r="D39" s="75" t="s">
        <v>1351</v>
      </c>
      <c r="E39" s="75" t="s">
        <v>1352</v>
      </c>
      <c r="F39" s="75" t="s">
        <v>1353</v>
      </c>
      <c r="G39" s="75" t="s">
        <v>1354</v>
      </c>
      <c r="H39" s="75" t="s">
        <v>1355</v>
      </c>
      <c r="I39" s="75" t="s">
        <v>1356</v>
      </c>
      <c r="J39" s="75" t="s">
        <v>1357</v>
      </c>
      <c r="K39" s="75" t="s">
        <v>1358</v>
      </c>
      <c r="L39" s="75" t="s">
        <v>1359</v>
      </c>
      <c r="M39" s="75" t="s">
        <v>1360</v>
      </c>
    </row>
    <row r="40" customFormat="false" ht="180.55" hidden="false" customHeight="false" outlineLevel="0" collapsed="false">
      <c r="A40" s="73" t="s">
        <v>1361</v>
      </c>
      <c r="B40" s="73" t="s">
        <v>1362</v>
      </c>
      <c r="C40" s="73" t="s">
        <v>1363</v>
      </c>
      <c r="D40" s="73" t="s">
        <v>1364</v>
      </c>
      <c r="E40" s="73" t="s">
        <v>1365</v>
      </c>
      <c r="F40" s="73" t="s">
        <v>1366</v>
      </c>
      <c r="G40" s="73" t="s">
        <v>1367</v>
      </c>
      <c r="H40" s="73" t="s">
        <v>1368</v>
      </c>
      <c r="I40" s="73" t="s">
        <v>1369</v>
      </c>
      <c r="J40" s="73" t="s">
        <v>1370</v>
      </c>
      <c r="K40" s="73" t="s">
        <v>1371</v>
      </c>
      <c r="L40" s="73" t="s">
        <v>451</v>
      </c>
      <c r="M40" s="73" t="s">
        <v>1372</v>
      </c>
    </row>
    <row r="41" customFormat="false" ht="202.95" hidden="false" customHeight="false" outlineLevel="0" collapsed="false">
      <c r="A41" s="75" t="s">
        <v>1373</v>
      </c>
      <c r="B41" s="75" t="s">
        <v>1374</v>
      </c>
      <c r="C41" s="75" t="s">
        <v>1375</v>
      </c>
      <c r="D41" s="75" t="s">
        <v>1376</v>
      </c>
      <c r="E41" s="75" t="s">
        <v>1377</v>
      </c>
      <c r="F41" s="75" t="s">
        <v>1378</v>
      </c>
      <c r="G41" s="75" t="s">
        <v>1379</v>
      </c>
      <c r="H41" s="75" t="s">
        <v>1380</v>
      </c>
      <c r="I41" s="75" t="s">
        <v>1381</v>
      </c>
      <c r="J41" s="75" t="s">
        <v>1382</v>
      </c>
      <c r="K41" s="75" t="s">
        <v>1383</v>
      </c>
      <c r="L41" s="75" t="s">
        <v>1384</v>
      </c>
      <c r="M41" s="75" t="s">
        <v>1385</v>
      </c>
    </row>
    <row r="42" customFormat="false" ht="247.75" hidden="false" customHeight="false" outlineLevel="0" collapsed="false">
      <c r="A42" s="73" t="s">
        <v>1386</v>
      </c>
      <c r="B42" s="73" t="s">
        <v>1387</v>
      </c>
      <c r="C42" s="73" t="s">
        <v>1388</v>
      </c>
      <c r="D42" s="73" t="s">
        <v>1389</v>
      </c>
      <c r="E42" s="73" t="s">
        <v>1390</v>
      </c>
      <c r="F42" s="73" t="s">
        <v>1391</v>
      </c>
      <c r="G42" s="73" t="s">
        <v>1392</v>
      </c>
      <c r="H42" s="73" t="s">
        <v>1393</v>
      </c>
      <c r="I42" s="73" t="s">
        <v>1394</v>
      </c>
      <c r="J42" s="73" t="s">
        <v>1395</v>
      </c>
      <c r="K42" s="73" t="s">
        <v>1396</v>
      </c>
      <c r="L42" s="73" t="s">
        <v>1397</v>
      </c>
      <c r="M42" s="73" t="s">
        <v>1398</v>
      </c>
    </row>
    <row r="43" customFormat="false" ht="247.75" hidden="false" customHeight="false" outlineLevel="0" collapsed="false">
      <c r="A43" s="75" t="s">
        <v>1399</v>
      </c>
      <c r="B43" s="75" t="s">
        <v>1400</v>
      </c>
      <c r="C43" s="75" t="s">
        <v>1401</v>
      </c>
      <c r="D43" s="75" t="s">
        <v>1402</v>
      </c>
      <c r="E43" s="75" t="s">
        <v>1403</v>
      </c>
      <c r="F43" s="75" t="s">
        <v>1404</v>
      </c>
      <c r="G43" s="75" t="s">
        <v>1405</v>
      </c>
      <c r="H43" s="75" t="s">
        <v>1406</v>
      </c>
      <c r="I43" s="75" t="s">
        <v>1407</v>
      </c>
      <c r="J43" s="75" t="s">
        <v>1408</v>
      </c>
      <c r="K43" s="75" t="s">
        <v>1409</v>
      </c>
      <c r="L43" s="75" t="s">
        <v>1410</v>
      </c>
      <c r="M43" s="75" t="s">
        <v>1411</v>
      </c>
    </row>
    <row r="46" customFormat="false" ht="15" hidden="false" customHeight="false" outlineLevel="0" collapsed="false">
      <c r="A46" s="72" t="s">
        <v>1412</v>
      </c>
    </row>
    <row r="47" customFormat="false" ht="15" hidden="false" customHeight="false" outlineLevel="0" collapsed="false">
      <c r="A47" s="107" t="s">
        <v>1413</v>
      </c>
    </row>
    <row r="49" customFormat="false" ht="26.85" hidden="false" customHeight="false" outlineLevel="0" collapsed="false">
      <c r="A49" s="3" t="s">
        <v>1414</v>
      </c>
      <c r="B49" s="3" t="s">
        <v>1415</v>
      </c>
      <c r="C49" s="3" t="s">
        <v>1416</v>
      </c>
      <c r="D49" s="3" t="s">
        <v>1417</v>
      </c>
      <c r="E49" s="3" t="s">
        <v>1418</v>
      </c>
      <c r="F49" s="3" t="s">
        <v>1419</v>
      </c>
      <c r="G49" s="3" t="s">
        <v>1420</v>
      </c>
      <c r="H49" s="3" t="s">
        <v>1421</v>
      </c>
      <c r="I49" s="3" t="s">
        <v>1422</v>
      </c>
      <c r="J49" s="3" t="s">
        <v>440</v>
      </c>
    </row>
    <row r="50" customFormat="false" ht="57.45" hidden="false" customHeight="false" outlineLevel="0" collapsed="false">
      <c r="A50" s="73" t="s">
        <v>1423</v>
      </c>
      <c r="B50" s="73" t="s">
        <v>1424</v>
      </c>
      <c r="C50" s="73" t="s">
        <v>1425</v>
      </c>
      <c r="D50" s="73" t="s">
        <v>1426</v>
      </c>
      <c r="E50" s="73" t="s">
        <v>1427</v>
      </c>
      <c r="F50" s="73" t="s">
        <v>1428</v>
      </c>
      <c r="G50" s="73" t="s">
        <v>1429</v>
      </c>
      <c r="H50" s="73" t="s">
        <v>1430</v>
      </c>
      <c r="I50" s="73" t="s">
        <v>1431</v>
      </c>
      <c r="J50" s="73" t="s">
        <v>1432</v>
      </c>
    </row>
    <row r="51" customFormat="false" ht="57.45" hidden="false" customHeight="false" outlineLevel="0" collapsed="false">
      <c r="A51" s="75" t="s">
        <v>1433</v>
      </c>
      <c r="B51" s="75" t="s">
        <v>1434</v>
      </c>
      <c r="C51" s="75" t="s">
        <v>1435</v>
      </c>
      <c r="D51" s="75" t="s">
        <v>1436</v>
      </c>
      <c r="E51" s="75" t="s">
        <v>1437</v>
      </c>
      <c r="F51" s="75" t="s">
        <v>1438</v>
      </c>
      <c r="G51" s="75" t="s">
        <v>1439</v>
      </c>
      <c r="H51" s="75" t="s">
        <v>619</v>
      </c>
      <c r="I51" s="75" t="s">
        <v>1431</v>
      </c>
      <c r="J51" s="75" t="s">
        <v>1440</v>
      </c>
    </row>
    <row r="52" customFormat="false" ht="68.65" hidden="false" customHeight="false" outlineLevel="0" collapsed="false">
      <c r="A52" s="73" t="s">
        <v>1441</v>
      </c>
      <c r="B52" s="73" t="s">
        <v>1381</v>
      </c>
      <c r="C52" s="73" t="s">
        <v>1442</v>
      </c>
      <c r="D52" s="73" t="s">
        <v>1443</v>
      </c>
      <c r="E52" s="73" t="s">
        <v>1437</v>
      </c>
      <c r="F52" s="73" t="s">
        <v>1444</v>
      </c>
      <c r="G52" s="73" t="s">
        <v>1439</v>
      </c>
      <c r="H52" s="73" t="s">
        <v>619</v>
      </c>
      <c r="I52" s="73" t="s">
        <v>1431</v>
      </c>
      <c r="J52" s="73" t="s">
        <v>1445</v>
      </c>
    </row>
    <row r="53" customFormat="false" ht="57.45" hidden="false" customHeight="false" outlineLevel="0" collapsed="false">
      <c r="A53" s="75" t="s">
        <v>1446</v>
      </c>
      <c r="B53" s="75" t="s">
        <v>1447</v>
      </c>
      <c r="C53" s="75" t="s">
        <v>1448</v>
      </c>
      <c r="D53" s="75" t="s">
        <v>1449</v>
      </c>
      <c r="E53" s="75" t="s">
        <v>1450</v>
      </c>
      <c r="F53" s="75" t="s">
        <v>1444</v>
      </c>
      <c r="G53" s="75" t="s">
        <v>1429</v>
      </c>
      <c r="H53" s="75" t="s">
        <v>1451</v>
      </c>
      <c r="I53" s="75" t="s">
        <v>1431</v>
      </c>
      <c r="J53" s="75" t="s">
        <v>1452</v>
      </c>
    </row>
    <row r="54" customFormat="false" ht="57.45" hidden="false" customHeight="false" outlineLevel="0" collapsed="false">
      <c r="A54" s="73" t="s">
        <v>1453</v>
      </c>
      <c r="B54" s="73" t="s">
        <v>1454</v>
      </c>
      <c r="C54" s="73" t="s">
        <v>1435</v>
      </c>
      <c r="D54" s="73" t="s">
        <v>1455</v>
      </c>
      <c r="E54" s="73" t="s">
        <v>1456</v>
      </c>
      <c r="F54" s="73" t="s">
        <v>1457</v>
      </c>
      <c r="G54" s="73" t="s">
        <v>1458</v>
      </c>
      <c r="H54" s="73" t="s">
        <v>1459</v>
      </c>
      <c r="I54" s="73" t="s">
        <v>1460</v>
      </c>
      <c r="J54" s="108" t="s">
        <v>1461</v>
      </c>
    </row>
    <row r="55" customFormat="false" ht="57.45" hidden="false" customHeight="false" outlineLevel="0" collapsed="false">
      <c r="A55" s="75" t="s">
        <v>1462</v>
      </c>
      <c r="B55" s="75" t="s">
        <v>1435</v>
      </c>
      <c r="C55" s="75" t="s">
        <v>1463</v>
      </c>
      <c r="D55" s="75" t="s">
        <v>1464</v>
      </c>
      <c r="E55" s="75" t="s">
        <v>1465</v>
      </c>
      <c r="F55" s="75" t="s">
        <v>1444</v>
      </c>
      <c r="G55" s="75" t="s">
        <v>1439</v>
      </c>
      <c r="H55" s="75" t="s">
        <v>619</v>
      </c>
      <c r="I55" s="75" t="s">
        <v>1431</v>
      </c>
      <c r="J55" s="75" t="s">
        <v>1466</v>
      </c>
    </row>
    <row r="56" customFormat="false" ht="57.45" hidden="false" customHeight="false" outlineLevel="0" collapsed="false">
      <c r="A56" s="73" t="s">
        <v>1467</v>
      </c>
      <c r="B56" s="73" t="s">
        <v>1463</v>
      </c>
      <c r="C56" s="73" t="s">
        <v>1468</v>
      </c>
      <c r="D56" s="73" t="s">
        <v>1469</v>
      </c>
      <c r="E56" s="73" t="s">
        <v>1470</v>
      </c>
      <c r="F56" s="73" t="s">
        <v>1471</v>
      </c>
      <c r="G56" s="73" t="s">
        <v>1472</v>
      </c>
      <c r="H56" s="73" t="s">
        <v>1473</v>
      </c>
      <c r="I56" s="73" t="s">
        <v>1431</v>
      </c>
      <c r="J56" s="73" t="s">
        <v>1474</v>
      </c>
    </row>
    <row r="57" customFormat="false" ht="57.45" hidden="false" customHeight="false" outlineLevel="0" collapsed="false">
      <c r="A57" s="75" t="s">
        <v>1475</v>
      </c>
      <c r="B57" s="75" t="s">
        <v>1369</v>
      </c>
      <c r="C57" s="75" t="s">
        <v>1476</v>
      </c>
      <c r="D57" s="75" t="s">
        <v>1477</v>
      </c>
      <c r="E57" s="75" t="s">
        <v>1450</v>
      </c>
      <c r="F57" s="75" t="s">
        <v>1478</v>
      </c>
      <c r="G57" s="75" t="s">
        <v>1429</v>
      </c>
      <c r="H57" s="75" t="s">
        <v>1259</v>
      </c>
      <c r="I57" s="75" t="s">
        <v>1479</v>
      </c>
      <c r="J57" s="109" t="s">
        <v>1480</v>
      </c>
    </row>
    <row r="58" customFormat="false" ht="57.45" hidden="false" customHeight="false" outlineLevel="0" collapsed="false">
      <c r="A58" s="73" t="s">
        <v>1481</v>
      </c>
      <c r="B58" s="73" t="s">
        <v>1482</v>
      </c>
      <c r="C58" s="73" t="s">
        <v>1435</v>
      </c>
      <c r="D58" s="73" t="s">
        <v>1483</v>
      </c>
      <c r="E58" s="73" t="s">
        <v>1484</v>
      </c>
      <c r="F58" s="73" t="s">
        <v>1485</v>
      </c>
      <c r="G58" s="73" t="s">
        <v>1472</v>
      </c>
      <c r="H58" s="73" t="s">
        <v>619</v>
      </c>
      <c r="I58" s="73" t="s">
        <v>1431</v>
      </c>
      <c r="J58" s="73" t="s">
        <v>1486</v>
      </c>
    </row>
    <row r="59" customFormat="false" ht="68.65" hidden="false" customHeight="false" outlineLevel="0" collapsed="false">
      <c r="A59" s="75" t="s">
        <v>1487</v>
      </c>
      <c r="B59" s="75" t="s">
        <v>1488</v>
      </c>
      <c r="C59" s="75" t="s">
        <v>1489</v>
      </c>
      <c r="D59" s="75" t="s">
        <v>1490</v>
      </c>
      <c r="E59" s="75" t="s">
        <v>1491</v>
      </c>
      <c r="F59" s="75" t="s">
        <v>1492</v>
      </c>
      <c r="G59" s="75" t="s">
        <v>1472</v>
      </c>
      <c r="H59" s="75" t="s">
        <v>1473</v>
      </c>
      <c r="I59" s="75" t="s">
        <v>1431</v>
      </c>
      <c r="J59" s="75" t="s">
        <v>1493</v>
      </c>
    </row>
    <row r="62" customFormat="false" ht="15" hidden="false" customHeight="false" outlineLevel="0" collapsed="false">
      <c r="A62" s="72" t="s">
        <v>1494</v>
      </c>
    </row>
    <row r="64" customFormat="false" ht="26.85" hidden="false" customHeight="false" outlineLevel="0" collapsed="false">
      <c r="A64" s="3" t="s">
        <v>472</v>
      </c>
      <c r="B64" s="3" t="s">
        <v>1495</v>
      </c>
      <c r="C64" s="3" t="s">
        <v>1496</v>
      </c>
      <c r="D64" s="3" t="s">
        <v>1497</v>
      </c>
      <c r="E64" s="3" t="s">
        <v>452</v>
      </c>
      <c r="F64" s="3" t="s">
        <v>1498</v>
      </c>
      <c r="G64" s="3" t="s">
        <v>1499</v>
      </c>
    </row>
    <row r="65" customFormat="false" ht="35.05" hidden="false" customHeight="false" outlineLevel="0" collapsed="false">
      <c r="A65" s="73" t="s">
        <v>151</v>
      </c>
      <c r="B65" s="73" t="s">
        <v>1199</v>
      </c>
      <c r="C65" s="73" t="s">
        <v>1500</v>
      </c>
      <c r="D65" s="73" t="s">
        <v>1501</v>
      </c>
      <c r="E65" s="73" t="s">
        <v>1502</v>
      </c>
      <c r="F65" s="73" t="s">
        <v>1503</v>
      </c>
      <c r="G65" s="73" t="s">
        <v>1504</v>
      </c>
    </row>
    <row r="66" customFormat="false" ht="35.05" hidden="false" customHeight="false" outlineLevel="0" collapsed="false">
      <c r="A66" s="75" t="s">
        <v>162</v>
      </c>
      <c r="B66" s="75" t="s">
        <v>1205</v>
      </c>
      <c r="C66" s="75" t="s">
        <v>1505</v>
      </c>
      <c r="D66" s="75" t="s">
        <v>1506</v>
      </c>
      <c r="E66" s="75" t="s">
        <v>1507</v>
      </c>
      <c r="F66" s="75" t="s">
        <v>1508</v>
      </c>
      <c r="G66" s="75" t="s">
        <v>1509</v>
      </c>
    </row>
    <row r="67" customFormat="false" ht="35.05" hidden="false" customHeight="false" outlineLevel="0" collapsed="false">
      <c r="A67" s="73" t="s">
        <v>1049</v>
      </c>
      <c r="B67" s="73" t="s">
        <v>1211</v>
      </c>
      <c r="C67" s="73" t="s">
        <v>1510</v>
      </c>
      <c r="D67" s="73" t="s">
        <v>1511</v>
      </c>
      <c r="E67" s="73" t="s">
        <v>1512</v>
      </c>
      <c r="F67" s="73" t="s">
        <v>1513</v>
      </c>
      <c r="G67" s="73" t="s">
        <v>1514</v>
      </c>
    </row>
    <row r="68" customFormat="false" ht="35.05" hidden="false" customHeight="false" outlineLevel="0" collapsed="false">
      <c r="A68" s="75" t="s">
        <v>1051</v>
      </c>
      <c r="B68" s="75" t="s">
        <v>1217</v>
      </c>
      <c r="C68" s="75" t="s">
        <v>1515</v>
      </c>
      <c r="D68" s="75" t="s">
        <v>1516</v>
      </c>
      <c r="E68" s="75" t="s">
        <v>1517</v>
      </c>
      <c r="F68" s="75" t="s">
        <v>1518</v>
      </c>
      <c r="G68" s="75" t="s">
        <v>1519</v>
      </c>
    </row>
    <row r="69" customFormat="false" ht="35.05" hidden="false" customHeight="false" outlineLevel="0" collapsed="false">
      <c r="A69" s="73" t="s">
        <v>194</v>
      </c>
      <c r="B69" s="73" t="s">
        <v>1222</v>
      </c>
      <c r="C69" s="73" t="s">
        <v>1520</v>
      </c>
      <c r="D69" s="73" t="s">
        <v>1521</v>
      </c>
      <c r="E69" s="73" t="s">
        <v>1522</v>
      </c>
      <c r="F69" s="73" t="s">
        <v>1523</v>
      </c>
      <c r="G69" s="73" t="s">
        <v>1524</v>
      </c>
    </row>
    <row r="70" customFormat="false" ht="35.05" hidden="false" customHeight="false" outlineLevel="0" collapsed="false">
      <c r="A70" s="75" t="s">
        <v>204</v>
      </c>
      <c r="B70" s="75" t="s">
        <v>1227</v>
      </c>
      <c r="C70" s="75" t="s">
        <v>1525</v>
      </c>
      <c r="D70" s="75" t="s">
        <v>1526</v>
      </c>
      <c r="E70" s="75" t="s">
        <v>1527</v>
      </c>
      <c r="F70" s="75" t="s">
        <v>1528</v>
      </c>
      <c r="G70" s="75" t="s">
        <v>1529</v>
      </c>
    </row>
    <row r="71" customFormat="false" ht="35.05" hidden="false" customHeight="false" outlineLevel="0" collapsed="false">
      <c r="A71" s="73" t="s">
        <v>232</v>
      </c>
      <c r="B71" s="73" t="s">
        <v>1190</v>
      </c>
      <c r="C71" s="73" t="s">
        <v>1530</v>
      </c>
      <c r="D71" s="73" t="s">
        <v>1531</v>
      </c>
      <c r="E71" s="73" t="s">
        <v>1532</v>
      </c>
      <c r="F71" s="73" t="s">
        <v>1533</v>
      </c>
      <c r="G71" s="73" t="s">
        <v>1534</v>
      </c>
    </row>
    <row r="72" customFormat="false" ht="35.05" hidden="false" customHeight="false" outlineLevel="0" collapsed="false">
      <c r="A72" s="75" t="s">
        <v>242</v>
      </c>
      <c r="B72" s="75" t="s">
        <v>1195</v>
      </c>
      <c r="C72" s="75" t="s">
        <v>1535</v>
      </c>
      <c r="D72" s="75" t="s">
        <v>1536</v>
      </c>
      <c r="E72" s="75" t="s">
        <v>1537</v>
      </c>
      <c r="F72" s="75" t="s">
        <v>1538</v>
      </c>
      <c r="G72" s="75" t="s">
        <v>1539</v>
      </c>
    </row>
    <row r="73" customFormat="false" ht="35.05" hidden="false" customHeight="false" outlineLevel="0" collapsed="false">
      <c r="A73" s="73" t="s">
        <v>1540</v>
      </c>
      <c r="B73" s="73" t="s">
        <v>1247</v>
      </c>
      <c r="C73" s="73" t="s">
        <v>1541</v>
      </c>
      <c r="D73" s="73" t="s">
        <v>1542</v>
      </c>
      <c r="E73" s="73" t="s">
        <v>451</v>
      </c>
      <c r="F73" s="73" t="s">
        <v>451</v>
      </c>
      <c r="G73" s="73" t="s">
        <v>451</v>
      </c>
    </row>
    <row r="74" customFormat="false" ht="35.05" hidden="false" customHeight="false" outlineLevel="0" collapsed="false">
      <c r="A74" s="75" t="s">
        <v>1543</v>
      </c>
      <c r="B74" s="75" t="s">
        <v>1257</v>
      </c>
      <c r="C74" s="75" t="s">
        <v>1544</v>
      </c>
      <c r="D74" s="75" t="s">
        <v>1545</v>
      </c>
      <c r="E74" s="75" t="s">
        <v>451</v>
      </c>
      <c r="F74" s="75" t="s">
        <v>451</v>
      </c>
      <c r="G74" s="75" t="s">
        <v>451</v>
      </c>
    </row>
    <row r="75" customFormat="false" ht="35.05" hidden="false" customHeight="false" outlineLevel="0" collapsed="false">
      <c r="A75" s="73" t="s">
        <v>1546</v>
      </c>
      <c r="B75" s="73" t="s">
        <v>1276</v>
      </c>
      <c r="C75" s="73" t="s">
        <v>1547</v>
      </c>
      <c r="D75" s="73" t="s">
        <v>1548</v>
      </c>
      <c r="E75" s="73" t="s">
        <v>451</v>
      </c>
      <c r="F75" s="73" t="s">
        <v>451</v>
      </c>
      <c r="G75" s="73" t="s">
        <v>451</v>
      </c>
    </row>
    <row r="76" customFormat="false" ht="35.05" hidden="false" customHeight="false" outlineLevel="0" collapsed="false">
      <c r="A76" s="75" t="s">
        <v>320</v>
      </c>
      <c r="B76" s="75" t="s">
        <v>1282</v>
      </c>
      <c r="C76" s="75" t="s">
        <v>1549</v>
      </c>
      <c r="D76" s="75" t="s">
        <v>451</v>
      </c>
      <c r="E76" s="75" t="s">
        <v>451</v>
      </c>
      <c r="F76" s="75" t="s">
        <v>451</v>
      </c>
      <c r="G76" s="75" t="s">
        <v>451</v>
      </c>
    </row>
    <row r="79" customFormat="false" ht="15" hidden="false" customHeight="false" outlineLevel="0" collapsed="false">
      <c r="A79" s="72" t="s">
        <v>1550</v>
      </c>
    </row>
    <row r="81" customFormat="false" ht="15" hidden="false" customHeight="false" outlineLevel="0" collapsed="false">
      <c r="A81" s="3" t="s">
        <v>1323</v>
      </c>
      <c r="B81" s="3" t="s">
        <v>1551</v>
      </c>
      <c r="C81" s="3" t="s">
        <v>1552</v>
      </c>
      <c r="D81" s="3" t="s">
        <v>1328</v>
      </c>
      <c r="E81" s="3" t="s">
        <v>1553</v>
      </c>
      <c r="F81" s="3" t="s">
        <v>633</v>
      </c>
      <c r="G81" s="3" t="s">
        <v>1554</v>
      </c>
    </row>
    <row r="82" customFormat="false" ht="214.15" hidden="false" customHeight="false" outlineLevel="0" collapsed="false">
      <c r="A82" s="73" t="s">
        <v>1555</v>
      </c>
      <c r="B82" s="73" t="s">
        <v>1247</v>
      </c>
      <c r="C82" s="73" t="s">
        <v>1556</v>
      </c>
      <c r="D82" s="73" t="s">
        <v>1557</v>
      </c>
      <c r="E82" s="73" t="s">
        <v>1558</v>
      </c>
      <c r="F82" s="73" t="s">
        <v>1559</v>
      </c>
      <c r="G82" s="73" t="s">
        <v>1560</v>
      </c>
    </row>
    <row r="83" customFormat="false" ht="113.4" hidden="false" customHeight="false" outlineLevel="0" collapsed="false">
      <c r="A83" s="75" t="s">
        <v>1561</v>
      </c>
      <c r="B83" s="75" t="s">
        <v>1541</v>
      </c>
      <c r="C83" s="75" t="s">
        <v>1562</v>
      </c>
      <c r="D83" s="75" t="s">
        <v>1563</v>
      </c>
      <c r="E83" s="75" t="s">
        <v>1564</v>
      </c>
      <c r="F83" s="75" t="s">
        <v>1565</v>
      </c>
      <c r="G83" s="75" t="s">
        <v>1566</v>
      </c>
    </row>
    <row r="84" customFormat="false" ht="135.8" hidden="false" customHeight="false" outlineLevel="0" collapsed="false">
      <c r="A84" s="73" t="s">
        <v>1567</v>
      </c>
      <c r="B84" s="73" t="s">
        <v>1568</v>
      </c>
      <c r="C84" s="73" t="s">
        <v>1569</v>
      </c>
      <c r="D84" s="73" t="s">
        <v>1570</v>
      </c>
      <c r="E84" s="73" t="s">
        <v>1571</v>
      </c>
      <c r="F84" s="73" t="s">
        <v>1572</v>
      </c>
      <c r="G84" s="73" t="s">
        <v>1573</v>
      </c>
    </row>
    <row r="85" customFormat="false" ht="147" hidden="false" customHeight="false" outlineLevel="0" collapsed="false">
      <c r="A85" s="75" t="s">
        <v>1574</v>
      </c>
      <c r="B85" s="75" t="s">
        <v>1575</v>
      </c>
      <c r="C85" s="75" t="s">
        <v>1576</v>
      </c>
      <c r="D85" s="75" t="s">
        <v>1577</v>
      </c>
      <c r="E85" s="75" t="s">
        <v>1578</v>
      </c>
      <c r="F85" s="75" t="s">
        <v>1579</v>
      </c>
      <c r="G85" s="75" t="s">
        <v>1580</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85F4"/>
    <pageSetUpPr fitToPage="false"/>
  </sheetPr>
  <dimension ref="A1:N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20"/>
    <col collapsed="false" customWidth="true" hidden="false" outlineLevel="0" max="3" min="3" style="1" width="40"/>
    <col collapsed="false" customWidth="true" hidden="false" outlineLevel="0" max="4" min="4" style="1" width="35"/>
    <col collapsed="false" customWidth="true" hidden="false" outlineLevel="0" max="10" min="5" style="1" width="20"/>
  </cols>
  <sheetData>
    <row r="1" customFormat="false" ht="15" hidden="false" customHeight="true" outlineLevel="0" collapsed="false">
      <c r="A1" s="110" t="s">
        <v>1581</v>
      </c>
      <c r="B1" s="110"/>
      <c r="C1" s="110"/>
      <c r="D1" s="110"/>
      <c r="E1" s="110"/>
      <c r="F1" s="110"/>
      <c r="G1" s="110"/>
      <c r="H1" s="110"/>
      <c r="I1" s="110"/>
      <c r="J1" s="110"/>
    </row>
    <row r="3" customFormat="false" ht="15" hidden="false" customHeight="true" outlineLevel="0" collapsed="false">
      <c r="A3" s="111" t="s">
        <v>1582</v>
      </c>
      <c r="B3" s="111"/>
      <c r="C3" s="111"/>
      <c r="D3" s="111"/>
      <c r="E3" s="111"/>
      <c r="F3" s="111"/>
      <c r="G3" s="111"/>
      <c r="H3" s="111"/>
      <c r="I3" s="111"/>
      <c r="J3" s="111"/>
    </row>
    <row r="4" customFormat="false" ht="15" hidden="false" customHeight="true" outlineLevel="0" collapsed="false">
      <c r="A4" s="112" t="s">
        <v>1583</v>
      </c>
      <c r="B4" s="112" t="s">
        <v>1584</v>
      </c>
      <c r="C4" s="112" t="s">
        <v>485</v>
      </c>
      <c r="D4" s="112" t="s">
        <v>436</v>
      </c>
      <c r="E4" s="112" t="s">
        <v>440</v>
      </c>
    </row>
    <row r="5" customFormat="false" ht="23.25" hidden="false" customHeight="true" outlineLevel="0" collapsed="false">
      <c r="A5" s="83" t="s">
        <v>1585</v>
      </c>
      <c r="B5" s="83" t="s">
        <v>1586</v>
      </c>
      <c r="C5" s="83" t="s">
        <v>1587</v>
      </c>
      <c r="D5" s="83" t="n">
        <f aca="false">'1. Input'!B15*0.25</f>
        <v>2125000000</v>
      </c>
      <c r="E5" s="83" t="s">
        <v>1588</v>
      </c>
    </row>
    <row r="6" customFormat="false" ht="15" hidden="false" customHeight="true" outlineLevel="0" collapsed="false">
      <c r="A6" s="85" t="s">
        <v>1589</v>
      </c>
      <c r="B6" s="85" t="s">
        <v>1590</v>
      </c>
      <c r="C6" s="85" t="s">
        <v>1591</v>
      </c>
      <c r="D6" s="85" t="s">
        <v>1592</v>
      </c>
      <c r="E6" s="85" t="s">
        <v>1593</v>
      </c>
    </row>
    <row r="7" customFormat="false" ht="23.25" hidden="false" customHeight="true" outlineLevel="0" collapsed="false">
      <c r="A7" s="83" t="s">
        <v>1589</v>
      </c>
      <c r="B7" s="83" t="s">
        <v>1594</v>
      </c>
      <c r="C7" s="83" t="s">
        <v>1595</v>
      </c>
      <c r="D7" s="83" t="s">
        <v>1596</v>
      </c>
      <c r="E7" s="83" t="s">
        <v>1597</v>
      </c>
    </row>
    <row r="8" customFormat="false" ht="34.5" hidden="false" customHeight="true" outlineLevel="0" collapsed="false">
      <c r="A8" s="85" t="s">
        <v>1589</v>
      </c>
      <c r="B8" s="85" t="s">
        <v>1598</v>
      </c>
      <c r="C8" s="85" t="s">
        <v>1599</v>
      </c>
      <c r="D8" s="85" t="s">
        <v>1596</v>
      </c>
      <c r="E8" s="85" t="s">
        <v>1600</v>
      </c>
    </row>
    <row r="9" customFormat="false" ht="15" hidden="false" customHeight="true" outlineLevel="0" collapsed="false">
      <c r="A9" s="83" t="s">
        <v>1589</v>
      </c>
      <c r="B9" s="83" t="s">
        <v>1601</v>
      </c>
      <c r="C9" s="83" t="s">
        <v>1602</v>
      </c>
      <c r="D9" s="83" t="s">
        <v>1596</v>
      </c>
      <c r="E9" s="83" t="s">
        <v>1603</v>
      </c>
    </row>
    <row r="10" customFormat="false" ht="23.25" hidden="false" customHeight="true" outlineLevel="0" collapsed="false">
      <c r="A10" s="85" t="s">
        <v>1589</v>
      </c>
      <c r="B10" s="85" t="s">
        <v>1604</v>
      </c>
      <c r="C10" s="85" t="s">
        <v>1605</v>
      </c>
      <c r="D10" s="85" t="s">
        <v>1596</v>
      </c>
      <c r="E10" s="85" t="s">
        <v>1606</v>
      </c>
    </row>
    <row r="11" customFormat="false" ht="15" hidden="false" customHeight="true" outlineLevel="0" collapsed="false">
      <c r="A11" s="83" t="s">
        <v>1589</v>
      </c>
      <c r="B11" s="83" t="s">
        <v>1607</v>
      </c>
      <c r="C11" s="83" t="s">
        <v>1608</v>
      </c>
      <c r="D11" s="83" t="s">
        <v>1596</v>
      </c>
      <c r="E11" s="83" t="s">
        <v>1609</v>
      </c>
    </row>
    <row r="12" customFormat="false" ht="23.25" hidden="false" customHeight="true" outlineLevel="0" collapsed="false">
      <c r="A12" s="85" t="s">
        <v>1589</v>
      </c>
      <c r="B12" s="85" t="s">
        <v>1610</v>
      </c>
      <c r="C12" s="85" t="s">
        <v>1611</v>
      </c>
      <c r="D12" s="85" t="s">
        <v>1596</v>
      </c>
      <c r="E12" s="85" t="s">
        <v>1612</v>
      </c>
    </row>
    <row r="13" customFormat="false" ht="15" hidden="false" customHeight="true" outlineLevel="0" collapsed="false">
      <c r="A13" s="83" t="s">
        <v>1589</v>
      </c>
      <c r="B13" s="83" t="s">
        <v>1613</v>
      </c>
      <c r="C13" s="83" t="s">
        <v>1614</v>
      </c>
      <c r="D13" s="83" t="s">
        <v>1596</v>
      </c>
      <c r="E13" s="83" t="s">
        <v>1615</v>
      </c>
    </row>
    <row r="14" customFormat="false" ht="23.25" hidden="false" customHeight="true" outlineLevel="0" collapsed="false">
      <c r="A14" s="85" t="s">
        <v>1589</v>
      </c>
      <c r="B14" s="85" t="s">
        <v>1616</v>
      </c>
      <c r="C14" s="85" t="s">
        <v>1617</v>
      </c>
      <c r="D14" s="85" t="s">
        <v>1596</v>
      </c>
      <c r="E14" s="85" t="s">
        <v>1618</v>
      </c>
    </row>
    <row r="15" customFormat="false" ht="15" hidden="false" customHeight="true" outlineLevel="0" collapsed="false">
      <c r="A15" s="83" t="s">
        <v>1589</v>
      </c>
      <c r="B15" s="83" t="s">
        <v>1619</v>
      </c>
      <c r="C15" s="83" t="s">
        <v>1620</v>
      </c>
      <c r="D15" s="83" t="s">
        <v>1596</v>
      </c>
      <c r="E15" s="83" t="s">
        <v>1621</v>
      </c>
    </row>
    <row r="16" customFormat="false" ht="23.25" hidden="false" customHeight="true" outlineLevel="0" collapsed="false">
      <c r="A16" s="85" t="s">
        <v>1589</v>
      </c>
      <c r="B16" s="85" t="s">
        <v>1622</v>
      </c>
      <c r="C16" s="85" t="s">
        <v>1623</v>
      </c>
      <c r="D16" s="85" t="s">
        <v>1596</v>
      </c>
      <c r="E16" s="85" t="s">
        <v>1624</v>
      </c>
    </row>
    <row r="17" customFormat="false" ht="23.25" hidden="false" customHeight="true" outlineLevel="0" collapsed="false">
      <c r="A17" s="83" t="s">
        <v>1589</v>
      </c>
      <c r="B17" s="83" t="s">
        <v>1625</v>
      </c>
      <c r="C17" s="83" t="s">
        <v>1626</v>
      </c>
      <c r="D17" s="83" t="s">
        <v>1596</v>
      </c>
      <c r="E17" s="83" t="s">
        <v>1627</v>
      </c>
    </row>
    <row r="18" customFormat="false" ht="23.25" hidden="false" customHeight="true" outlineLevel="0" collapsed="false">
      <c r="A18" s="85" t="s">
        <v>1589</v>
      </c>
      <c r="B18" s="85" t="s">
        <v>1628</v>
      </c>
      <c r="C18" s="85" t="s">
        <v>1629</v>
      </c>
      <c r="D18" s="85" t="s">
        <v>1596</v>
      </c>
      <c r="E18" s="85" t="s">
        <v>1630</v>
      </c>
    </row>
    <row r="19" customFormat="false" ht="15" hidden="false" customHeight="true" outlineLevel="0" collapsed="false">
      <c r="A19" s="83" t="s">
        <v>1589</v>
      </c>
      <c r="B19" s="83" t="s">
        <v>1631</v>
      </c>
      <c r="C19" s="83" t="s">
        <v>1632</v>
      </c>
      <c r="D19" s="83" t="s">
        <v>1596</v>
      </c>
      <c r="E19" s="83" t="s">
        <v>1633</v>
      </c>
    </row>
    <row r="20" customFormat="false" ht="15" hidden="false" customHeight="true" outlineLevel="0" collapsed="false">
      <c r="A20" s="85" t="s">
        <v>1589</v>
      </c>
      <c r="B20" s="85" t="s">
        <v>1634</v>
      </c>
      <c r="C20" s="85" t="s">
        <v>1635</v>
      </c>
      <c r="D20" s="85" t="s">
        <v>1596</v>
      </c>
      <c r="E20" s="85" t="s">
        <v>1636</v>
      </c>
    </row>
    <row r="21" customFormat="false" ht="15" hidden="false" customHeight="true" outlineLevel="0" collapsed="false">
      <c r="A21" s="83" t="s">
        <v>1589</v>
      </c>
      <c r="B21" s="83" t="s">
        <v>1637</v>
      </c>
      <c r="C21" s="83" t="s">
        <v>1638</v>
      </c>
      <c r="D21" s="83" t="s">
        <v>1596</v>
      </c>
      <c r="E21" s="83" t="s">
        <v>1639</v>
      </c>
    </row>
    <row r="22" customFormat="false" ht="15" hidden="false" customHeight="true" outlineLevel="0" collapsed="false">
      <c r="A22" s="85" t="s">
        <v>1589</v>
      </c>
      <c r="B22" s="85" t="s">
        <v>1640</v>
      </c>
      <c r="C22" s="85" t="s">
        <v>1641</v>
      </c>
      <c r="D22" s="85" t="s">
        <v>1596</v>
      </c>
      <c r="E22" s="85" t="s">
        <v>1642</v>
      </c>
    </row>
    <row r="23" customFormat="false" ht="15" hidden="false" customHeight="true" outlineLevel="0" collapsed="false">
      <c r="A23" s="83" t="s">
        <v>1589</v>
      </c>
      <c r="B23" s="83" t="s">
        <v>1643</v>
      </c>
      <c r="C23" s="83" t="s">
        <v>1644</v>
      </c>
      <c r="D23" s="83" t="s">
        <v>1596</v>
      </c>
      <c r="E23" s="83" t="s">
        <v>1642</v>
      </c>
    </row>
    <row r="24" customFormat="false" ht="23.25" hidden="false" customHeight="true" outlineLevel="0" collapsed="false">
      <c r="A24" s="85" t="s">
        <v>1589</v>
      </c>
      <c r="B24" s="85" t="s">
        <v>1645</v>
      </c>
      <c r="C24" s="85" t="s">
        <v>1646</v>
      </c>
      <c r="D24" s="85" t="s">
        <v>1647</v>
      </c>
      <c r="E24" s="85" t="s">
        <v>1648</v>
      </c>
    </row>
    <row r="26" customFormat="false" ht="15" hidden="false" customHeight="true" outlineLevel="0" collapsed="false">
      <c r="A26" s="111" t="s">
        <v>1649</v>
      </c>
      <c r="B26" s="111"/>
      <c r="C26" s="111"/>
      <c r="D26" s="111"/>
      <c r="E26" s="111"/>
      <c r="F26" s="111"/>
      <c r="G26" s="111"/>
      <c r="H26" s="111"/>
      <c r="I26" s="111"/>
      <c r="J26" s="111"/>
    </row>
    <row r="27" customFormat="false" ht="15" hidden="false" customHeight="true" outlineLevel="0" collapsed="false">
      <c r="A27" s="112" t="s">
        <v>473</v>
      </c>
      <c r="B27" s="112" t="s">
        <v>640</v>
      </c>
      <c r="C27" s="112" t="s">
        <v>1650</v>
      </c>
      <c r="D27" s="112" t="s">
        <v>1651</v>
      </c>
      <c r="E27" s="112" t="s">
        <v>1589</v>
      </c>
      <c r="F27" s="112" t="s">
        <v>440</v>
      </c>
    </row>
    <row r="28" customFormat="false" ht="15" hidden="false" customHeight="true" outlineLevel="0" collapsed="false">
      <c r="A28" s="83" t="s">
        <v>153</v>
      </c>
      <c r="B28" s="83" t="s">
        <v>1652</v>
      </c>
      <c r="C28" s="83" t="s">
        <v>1653</v>
      </c>
      <c r="D28" s="83" t="s">
        <v>1654</v>
      </c>
      <c r="E28" s="83" t="s">
        <v>1655</v>
      </c>
      <c r="F28" s="83"/>
    </row>
    <row r="29" customFormat="false" ht="15" hidden="false" customHeight="true" outlineLevel="0" collapsed="false">
      <c r="A29" s="85" t="s">
        <v>153</v>
      </c>
      <c r="B29" s="85" t="s">
        <v>1652</v>
      </c>
      <c r="C29" s="85" t="s">
        <v>1653</v>
      </c>
      <c r="D29" s="85" t="s">
        <v>1656</v>
      </c>
      <c r="E29" s="85" t="s">
        <v>1655</v>
      </c>
      <c r="F29" s="85"/>
    </row>
    <row r="30" customFormat="false" ht="15" hidden="false" customHeight="true" outlineLevel="0" collapsed="false">
      <c r="A30" s="83" t="s">
        <v>153</v>
      </c>
      <c r="B30" s="83" t="s">
        <v>1657</v>
      </c>
      <c r="C30" s="83" t="s">
        <v>1653</v>
      </c>
      <c r="D30" s="83" t="s">
        <v>1658</v>
      </c>
      <c r="E30" s="83" t="s">
        <v>1594</v>
      </c>
      <c r="F30" s="83" t="s">
        <v>1659</v>
      </c>
    </row>
    <row r="31" customFormat="false" ht="15" hidden="false" customHeight="true" outlineLevel="0" collapsed="false">
      <c r="A31" s="85" t="s">
        <v>153</v>
      </c>
      <c r="B31" s="85" t="s">
        <v>1657</v>
      </c>
      <c r="C31" s="85" t="s">
        <v>1653</v>
      </c>
      <c r="D31" s="85" t="s">
        <v>1660</v>
      </c>
      <c r="E31" s="85" t="s">
        <v>1594</v>
      </c>
      <c r="F31" s="85"/>
    </row>
    <row r="32" customFormat="false" ht="15" hidden="false" customHeight="true" outlineLevel="0" collapsed="false">
      <c r="A32" s="83" t="s">
        <v>153</v>
      </c>
      <c r="B32" s="83" t="s">
        <v>1657</v>
      </c>
      <c r="C32" s="83" t="s">
        <v>1661</v>
      </c>
      <c r="D32" s="83" t="s">
        <v>1662</v>
      </c>
      <c r="E32" s="83" t="s">
        <v>1594</v>
      </c>
      <c r="F32" s="83" t="s">
        <v>1663</v>
      </c>
    </row>
    <row r="33" customFormat="false" ht="15" hidden="false" customHeight="true" outlineLevel="0" collapsed="false">
      <c r="A33" s="85" t="s">
        <v>153</v>
      </c>
      <c r="B33" s="85" t="s">
        <v>1657</v>
      </c>
      <c r="C33" s="85" t="s">
        <v>1661</v>
      </c>
      <c r="D33" s="85" t="s">
        <v>1664</v>
      </c>
      <c r="E33" s="85" t="s">
        <v>1594</v>
      </c>
      <c r="F33" s="85"/>
    </row>
    <row r="34" customFormat="false" ht="15" hidden="false" customHeight="true" outlineLevel="0" collapsed="false">
      <c r="A34" s="83" t="s">
        <v>153</v>
      </c>
      <c r="B34" s="83" t="s">
        <v>1665</v>
      </c>
      <c r="C34" s="83" t="s">
        <v>1653</v>
      </c>
      <c r="D34" s="83" t="s">
        <v>1666</v>
      </c>
      <c r="E34" s="83" t="s">
        <v>1598</v>
      </c>
      <c r="F34" s="83" t="s">
        <v>1667</v>
      </c>
    </row>
    <row r="35" customFormat="false" ht="15" hidden="false" customHeight="true" outlineLevel="0" collapsed="false">
      <c r="A35" s="85" t="s">
        <v>153</v>
      </c>
      <c r="B35" s="85" t="s">
        <v>1665</v>
      </c>
      <c r="C35" s="85" t="s">
        <v>1653</v>
      </c>
      <c r="D35" s="85" t="s">
        <v>1668</v>
      </c>
      <c r="E35" s="85" t="s">
        <v>1598</v>
      </c>
      <c r="F35" s="85" t="s">
        <v>1667</v>
      </c>
    </row>
    <row r="36" customFormat="false" ht="15" hidden="false" customHeight="true" outlineLevel="0" collapsed="false">
      <c r="A36" s="83" t="s">
        <v>153</v>
      </c>
      <c r="B36" s="83" t="s">
        <v>1669</v>
      </c>
      <c r="C36" s="83" t="s">
        <v>1661</v>
      </c>
      <c r="D36" s="83" t="s">
        <v>1670</v>
      </c>
      <c r="E36" s="83" t="s">
        <v>1594</v>
      </c>
      <c r="F36" s="83"/>
    </row>
    <row r="37" customFormat="false" ht="15" hidden="false" customHeight="true" outlineLevel="0" collapsed="false">
      <c r="A37" s="85" t="s">
        <v>153</v>
      </c>
      <c r="B37" s="85" t="s">
        <v>1669</v>
      </c>
      <c r="C37" s="85" t="s">
        <v>1661</v>
      </c>
      <c r="D37" s="85" t="s">
        <v>1671</v>
      </c>
      <c r="E37" s="85" t="s">
        <v>1594</v>
      </c>
      <c r="F37" s="85"/>
    </row>
    <row r="38" customFormat="false" ht="15" hidden="false" customHeight="true" outlineLevel="0" collapsed="false">
      <c r="A38" s="83" t="s">
        <v>195</v>
      </c>
      <c r="B38" s="83" t="s">
        <v>1652</v>
      </c>
      <c r="C38" s="83" t="s">
        <v>1653</v>
      </c>
      <c r="D38" s="83" t="s">
        <v>1672</v>
      </c>
      <c r="E38" s="83" t="s">
        <v>1655</v>
      </c>
      <c r="F38" s="83"/>
    </row>
    <row r="39" customFormat="false" ht="15" hidden="false" customHeight="true" outlineLevel="0" collapsed="false">
      <c r="A39" s="85" t="s">
        <v>195</v>
      </c>
      <c r="B39" s="85" t="s">
        <v>1652</v>
      </c>
      <c r="C39" s="85" t="s">
        <v>1653</v>
      </c>
      <c r="D39" s="85" t="s">
        <v>1673</v>
      </c>
      <c r="E39" s="85" t="s">
        <v>1655</v>
      </c>
      <c r="F39" s="85"/>
    </row>
    <row r="40" customFormat="false" ht="15" hidden="false" customHeight="true" outlineLevel="0" collapsed="false">
      <c r="A40" s="83" t="s">
        <v>195</v>
      </c>
      <c r="B40" s="83" t="s">
        <v>1657</v>
      </c>
      <c r="C40" s="83" t="s">
        <v>1653</v>
      </c>
      <c r="D40" s="83" t="s">
        <v>1674</v>
      </c>
      <c r="E40" s="83" t="s">
        <v>1604</v>
      </c>
      <c r="F40" s="83"/>
    </row>
    <row r="41" customFormat="false" ht="15" hidden="false" customHeight="true" outlineLevel="0" collapsed="false">
      <c r="A41" s="85" t="s">
        <v>195</v>
      </c>
      <c r="B41" s="85" t="s">
        <v>1657</v>
      </c>
      <c r="C41" s="85" t="s">
        <v>1653</v>
      </c>
      <c r="D41" s="85" t="s">
        <v>1675</v>
      </c>
      <c r="E41" s="85" t="s">
        <v>1607</v>
      </c>
      <c r="F41" s="85"/>
    </row>
    <row r="42" customFormat="false" ht="15" hidden="false" customHeight="true" outlineLevel="0" collapsed="false">
      <c r="A42" s="83" t="s">
        <v>195</v>
      </c>
      <c r="B42" s="83" t="s">
        <v>1665</v>
      </c>
      <c r="C42" s="83" t="s">
        <v>1653</v>
      </c>
      <c r="D42" s="83" t="s">
        <v>1676</v>
      </c>
      <c r="E42" s="83" t="s">
        <v>1677</v>
      </c>
      <c r="F42" s="83" t="s">
        <v>1667</v>
      </c>
    </row>
    <row r="43" customFormat="false" ht="15" hidden="false" customHeight="true" outlineLevel="0" collapsed="false">
      <c r="A43" s="85" t="s">
        <v>195</v>
      </c>
      <c r="B43" s="85" t="s">
        <v>1665</v>
      </c>
      <c r="C43" s="85" t="s">
        <v>1653</v>
      </c>
      <c r="D43" s="85" t="s">
        <v>1678</v>
      </c>
      <c r="E43" s="85" t="s">
        <v>1677</v>
      </c>
      <c r="F43" s="85" t="s">
        <v>1667</v>
      </c>
    </row>
    <row r="44" customFormat="false" ht="15" hidden="false" customHeight="true" outlineLevel="0" collapsed="false">
      <c r="A44" s="83" t="s">
        <v>233</v>
      </c>
      <c r="B44" s="83" t="s">
        <v>1657</v>
      </c>
      <c r="C44" s="83" t="s">
        <v>1653</v>
      </c>
      <c r="D44" s="83" t="s">
        <v>1679</v>
      </c>
      <c r="E44" s="83" t="s">
        <v>1613</v>
      </c>
      <c r="F44" s="83"/>
    </row>
    <row r="45" customFormat="false" ht="15" hidden="false" customHeight="true" outlineLevel="0" collapsed="false">
      <c r="A45" s="85" t="s">
        <v>233</v>
      </c>
      <c r="B45" s="85" t="s">
        <v>1657</v>
      </c>
      <c r="C45" s="85" t="s">
        <v>1661</v>
      </c>
      <c r="D45" s="85" t="s">
        <v>1680</v>
      </c>
      <c r="E45" s="85" t="s">
        <v>1613</v>
      </c>
      <c r="F45" s="85"/>
    </row>
    <row r="46" customFormat="false" ht="23.25" hidden="false" customHeight="true" outlineLevel="0" collapsed="false">
      <c r="A46" s="83" t="s">
        <v>233</v>
      </c>
      <c r="B46" s="83" t="s">
        <v>1665</v>
      </c>
      <c r="C46" s="83" t="s">
        <v>1653</v>
      </c>
      <c r="D46" s="83" t="s">
        <v>1681</v>
      </c>
      <c r="E46" s="83" t="s">
        <v>1616</v>
      </c>
      <c r="F46" s="83" t="s">
        <v>1667</v>
      </c>
    </row>
    <row r="47" customFormat="false" ht="23.25" hidden="false" customHeight="true" outlineLevel="0" collapsed="false">
      <c r="A47" s="85" t="s">
        <v>233</v>
      </c>
      <c r="B47" s="85" t="s">
        <v>1665</v>
      </c>
      <c r="C47" s="85" t="s">
        <v>1653</v>
      </c>
      <c r="D47" s="85" t="s">
        <v>1682</v>
      </c>
      <c r="E47" s="85" t="s">
        <v>1616</v>
      </c>
      <c r="F47" s="85"/>
    </row>
    <row r="48" customFormat="false" ht="15" hidden="false" customHeight="true" outlineLevel="0" collapsed="false">
      <c r="A48" s="83" t="s">
        <v>243</v>
      </c>
      <c r="B48" s="83" t="s">
        <v>1657</v>
      </c>
      <c r="C48" s="83" t="s">
        <v>1653</v>
      </c>
      <c r="D48" s="83" t="s">
        <v>1683</v>
      </c>
      <c r="E48" s="83" t="s">
        <v>1619</v>
      </c>
      <c r="F48" s="83"/>
    </row>
    <row r="49" customFormat="false" ht="15" hidden="false" customHeight="true" outlineLevel="0" collapsed="false">
      <c r="A49" s="85" t="s">
        <v>243</v>
      </c>
      <c r="B49" s="85" t="s">
        <v>1657</v>
      </c>
      <c r="C49" s="85" t="s">
        <v>1661</v>
      </c>
      <c r="D49" s="85" t="s">
        <v>1684</v>
      </c>
      <c r="E49" s="85" t="s">
        <v>1619</v>
      </c>
      <c r="F49" s="85"/>
    </row>
    <row r="50" customFormat="false" ht="23.25" hidden="false" customHeight="true" outlineLevel="0" collapsed="false">
      <c r="A50" s="83" t="s">
        <v>243</v>
      </c>
      <c r="B50" s="83" t="s">
        <v>1665</v>
      </c>
      <c r="C50" s="83" t="s">
        <v>1653</v>
      </c>
      <c r="D50" s="83" t="s">
        <v>1685</v>
      </c>
      <c r="E50" s="83" t="s">
        <v>1622</v>
      </c>
      <c r="F50" s="83" t="s">
        <v>1667</v>
      </c>
    </row>
    <row r="51" customFormat="false" ht="23.25" hidden="false" customHeight="true" outlineLevel="0" collapsed="false">
      <c r="A51" s="85" t="s">
        <v>243</v>
      </c>
      <c r="B51" s="85" t="s">
        <v>1665</v>
      </c>
      <c r="C51" s="85" t="s">
        <v>1653</v>
      </c>
      <c r="D51" s="85" t="s">
        <v>1686</v>
      </c>
      <c r="E51" s="85" t="s">
        <v>1622</v>
      </c>
      <c r="F51" s="85" t="s">
        <v>1667</v>
      </c>
    </row>
    <row r="52" customFormat="false" ht="23.25" hidden="false" customHeight="true" outlineLevel="0" collapsed="false">
      <c r="A52" s="83" t="s">
        <v>243</v>
      </c>
      <c r="B52" s="83" t="s">
        <v>1665</v>
      </c>
      <c r="C52" s="83" t="s">
        <v>1653</v>
      </c>
      <c r="D52" s="83" t="s">
        <v>1687</v>
      </c>
      <c r="E52" s="83" t="s">
        <v>1622</v>
      </c>
      <c r="F52" s="83" t="s">
        <v>1688</v>
      </c>
    </row>
    <row r="53" customFormat="false" ht="15" hidden="false" customHeight="true" outlineLevel="0" collapsed="false">
      <c r="A53" s="85" t="s">
        <v>243</v>
      </c>
      <c r="B53" s="85" t="s">
        <v>1151</v>
      </c>
      <c r="C53" s="85" t="s">
        <v>1661</v>
      </c>
      <c r="D53" s="85" t="s">
        <v>1689</v>
      </c>
      <c r="E53" s="85" t="s">
        <v>1625</v>
      </c>
      <c r="F53" s="85"/>
    </row>
    <row r="55" customFormat="false" ht="15" hidden="false" customHeight="true" outlineLevel="0" collapsed="false">
      <c r="A55" s="113" t="s">
        <v>1690</v>
      </c>
      <c r="B55" s="113"/>
      <c r="C55" s="113"/>
      <c r="D55" s="113"/>
      <c r="E55" s="113"/>
      <c r="F55" s="113"/>
      <c r="G55" s="113"/>
      <c r="H55" s="113"/>
      <c r="I55" s="113"/>
      <c r="J55" s="113"/>
    </row>
    <row r="56" customFormat="false" ht="15" hidden="false" customHeight="true" outlineLevel="0" collapsed="false">
      <c r="A56" s="114" t="s">
        <v>1691</v>
      </c>
      <c r="B56" s="114" t="s">
        <v>1650</v>
      </c>
      <c r="C56" s="114" t="s">
        <v>1651</v>
      </c>
      <c r="D56" s="114" t="s">
        <v>1692</v>
      </c>
    </row>
    <row r="57" customFormat="false" ht="15" hidden="false" customHeight="true" outlineLevel="0" collapsed="false">
      <c r="A57" s="83" t="s">
        <v>1693</v>
      </c>
      <c r="B57" s="83" t="s">
        <v>1661</v>
      </c>
      <c r="C57" s="83" t="s">
        <v>1694</v>
      </c>
      <c r="D57" s="83" t="s">
        <v>1695</v>
      </c>
    </row>
    <row r="58" customFormat="false" ht="15" hidden="false" customHeight="true" outlineLevel="0" collapsed="false">
      <c r="A58" s="85" t="s">
        <v>1693</v>
      </c>
      <c r="B58" s="85" t="s">
        <v>1661</v>
      </c>
      <c r="C58" s="85" t="s">
        <v>1696</v>
      </c>
      <c r="D58" s="85" t="s">
        <v>1695</v>
      </c>
    </row>
    <row r="59" customFormat="false" ht="15" hidden="false" customHeight="true" outlineLevel="0" collapsed="false">
      <c r="A59" s="83" t="s">
        <v>1693</v>
      </c>
      <c r="B59" s="83" t="s">
        <v>1661</v>
      </c>
      <c r="C59" s="83" t="s">
        <v>1697</v>
      </c>
      <c r="D59" s="83" t="s">
        <v>1698</v>
      </c>
    </row>
    <row r="60" customFormat="false" ht="15" hidden="false" customHeight="true" outlineLevel="0" collapsed="false">
      <c r="A60" s="85" t="s">
        <v>1693</v>
      </c>
      <c r="B60" s="85" t="s">
        <v>1661</v>
      </c>
      <c r="C60" s="85" t="s">
        <v>1699</v>
      </c>
      <c r="D60" s="85" t="s">
        <v>1698</v>
      </c>
    </row>
    <row r="61" customFormat="false" ht="15" hidden="false" customHeight="true" outlineLevel="0" collapsed="false">
      <c r="A61" s="83" t="s">
        <v>1693</v>
      </c>
      <c r="B61" s="83" t="s">
        <v>1661</v>
      </c>
      <c r="C61" s="83" t="s">
        <v>1700</v>
      </c>
      <c r="D61" s="83" t="s">
        <v>1698</v>
      </c>
    </row>
    <row r="62" customFormat="false" ht="15" hidden="false" customHeight="true" outlineLevel="0" collapsed="false">
      <c r="A62" s="85" t="s">
        <v>1693</v>
      </c>
      <c r="B62" s="85" t="s">
        <v>1661</v>
      </c>
      <c r="C62" s="85" t="s">
        <v>1701</v>
      </c>
      <c r="D62" s="85" t="s">
        <v>1702</v>
      </c>
    </row>
    <row r="63" customFormat="false" ht="15" hidden="false" customHeight="true" outlineLevel="0" collapsed="false">
      <c r="A63" s="83" t="s">
        <v>1693</v>
      </c>
      <c r="B63" s="83" t="s">
        <v>1661</v>
      </c>
      <c r="C63" s="83" t="s">
        <v>1703</v>
      </c>
      <c r="D63" s="83" t="s">
        <v>1704</v>
      </c>
    </row>
    <row r="64" customFormat="false" ht="15" hidden="false" customHeight="true" outlineLevel="0" collapsed="false">
      <c r="A64" s="85" t="s">
        <v>1693</v>
      </c>
      <c r="B64" s="85" t="s">
        <v>1661</v>
      </c>
      <c r="C64" s="85" t="s">
        <v>1705</v>
      </c>
      <c r="D64" s="85" t="s">
        <v>1704</v>
      </c>
    </row>
    <row r="65" customFormat="false" ht="15" hidden="false" customHeight="true" outlineLevel="0" collapsed="false">
      <c r="A65" s="83" t="s">
        <v>1693</v>
      </c>
      <c r="B65" s="83" t="s">
        <v>1661</v>
      </c>
      <c r="C65" s="83" t="s">
        <v>1706</v>
      </c>
      <c r="D65" s="83" t="s">
        <v>1707</v>
      </c>
    </row>
    <row r="66" customFormat="false" ht="15" hidden="false" customHeight="true" outlineLevel="0" collapsed="false">
      <c r="A66" s="85" t="s">
        <v>1693</v>
      </c>
      <c r="B66" s="85" t="s">
        <v>1661</v>
      </c>
      <c r="C66" s="85" t="s">
        <v>1708</v>
      </c>
      <c r="D66" s="85" t="s">
        <v>1709</v>
      </c>
    </row>
    <row r="67" customFormat="false" ht="15" hidden="false" customHeight="true" outlineLevel="0" collapsed="false">
      <c r="A67" s="83" t="s">
        <v>1693</v>
      </c>
      <c r="B67" s="83" t="s">
        <v>1661</v>
      </c>
      <c r="C67" s="83" t="s">
        <v>1710</v>
      </c>
      <c r="D67" s="83" t="s">
        <v>1709</v>
      </c>
    </row>
    <row r="68" customFormat="false" ht="15" hidden="false" customHeight="true" outlineLevel="0" collapsed="false">
      <c r="A68" s="85" t="s">
        <v>1693</v>
      </c>
      <c r="B68" s="85" t="s">
        <v>1661</v>
      </c>
      <c r="C68" s="85" t="s">
        <v>1711</v>
      </c>
      <c r="D68" s="85" t="s">
        <v>1709</v>
      </c>
    </row>
    <row r="69" customFormat="false" ht="15" hidden="false" customHeight="true" outlineLevel="0" collapsed="false">
      <c r="A69" s="83" t="s">
        <v>153</v>
      </c>
      <c r="B69" s="83" t="s">
        <v>1661</v>
      </c>
      <c r="C69" s="83" t="s">
        <v>1712</v>
      </c>
      <c r="D69" s="83" t="s">
        <v>1704</v>
      </c>
    </row>
    <row r="70" customFormat="false" ht="15" hidden="false" customHeight="true" outlineLevel="0" collapsed="false">
      <c r="A70" s="85" t="s">
        <v>153</v>
      </c>
      <c r="B70" s="85" t="s">
        <v>1661</v>
      </c>
      <c r="C70" s="85" t="s">
        <v>1713</v>
      </c>
      <c r="D70" s="85" t="s">
        <v>1704</v>
      </c>
    </row>
    <row r="71" customFormat="false" ht="15" hidden="false" customHeight="true" outlineLevel="0" collapsed="false">
      <c r="A71" s="83" t="s">
        <v>243</v>
      </c>
      <c r="B71" s="83" t="s">
        <v>1661</v>
      </c>
      <c r="C71" s="83" t="s">
        <v>1714</v>
      </c>
      <c r="D71" s="83" t="s">
        <v>1704</v>
      </c>
    </row>
    <row r="72" customFormat="false" ht="15" hidden="false" customHeight="true" outlineLevel="0" collapsed="false">
      <c r="A72" s="85" t="s">
        <v>243</v>
      </c>
      <c r="B72" s="85" t="s">
        <v>1661</v>
      </c>
      <c r="C72" s="85" t="s">
        <v>1715</v>
      </c>
      <c r="D72" s="85" t="s">
        <v>1704</v>
      </c>
    </row>
    <row r="74" customFormat="false" ht="15" hidden="false" customHeight="true" outlineLevel="0" collapsed="false">
      <c r="A74" s="111" t="s">
        <v>1716</v>
      </c>
      <c r="B74" s="111"/>
      <c r="C74" s="111"/>
      <c r="D74" s="111"/>
      <c r="E74" s="111"/>
      <c r="F74" s="111"/>
      <c r="G74" s="111"/>
      <c r="H74" s="111"/>
      <c r="I74" s="111"/>
      <c r="J74" s="111"/>
    </row>
    <row r="75" customFormat="false" ht="15" hidden="false" customHeight="true" outlineLevel="0" collapsed="false">
      <c r="A75" s="112" t="s">
        <v>473</v>
      </c>
      <c r="B75" s="112" t="s">
        <v>1717</v>
      </c>
      <c r="C75" s="112" t="s">
        <v>1552</v>
      </c>
      <c r="D75" s="112" t="s">
        <v>1718</v>
      </c>
      <c r="E75" s="112" t="s">
        <v>440</v>
      </c>
    </row>
    <row r="76" customFormat="false" ht="15" hidden="false" customHeight="true" outlineLevel="0" collapsed="false">
      <c r="A76" s="83" t="s">
        <v>153</v>
      </c>
      <c r="B76" s="83" t="s">
        <v>1719</v>
      </c>
      <c r="C76" s="83" t="s">
        <v>1720</v>
      </c>
      <c r="D76" s="83" t="s">
        <v>1721</v>
      </c>
      <c r="E76" s="83"/>
    </row>
    <row r="77" customFormat="false" ht="15" hidden="false" customHeight="true" outlineLevel="0" collapsed="false">
      <c r="A77" s="85" t="s">
        <v>153</v>
      </c>
      <c r="B77" s="85" t="s">
        <v>1719</v>
      </c>
      <c r="C77" s="85" t="s">
        <v>1722</v>
      </c>
      <c r="D77" s="85" t="s">
        <v>1723</v>
      </c>
      <c r="E77" s="85" t="s">
        <v>1724</v>
      </c>
    </row>
    <row r="78" customFormat="false" ht="15" hidden="false" customHeight="true" outlineLevel="0" collapsed="false">
      <c r="A78" s="83" t="s">
        <v>153</v>
      </c>
      <c r="B78" s="83" t="s">
        <v>1719</v>
      </c>
      <c r="C78" s="83" t="s">
        <v>1725</v>
      </c>
      <c r="D78" s="83"/>
      <c r="E78" s="83" t="s">
        <v>1726</v>
      </c>
    </row>
    <row r="79" customFormat="false" ht="15" hidden="false" customHeight="true" outlineLevel="0" collapsed="false">
      <c r="A79" s="85" t="s">
        <v>153</v>
      </c>
      <c r="B79" s="85" t="s">
        <v>1719</v>
      </c>
      <c r="C79" s="85" t="s">
        <v>1727</v>
      </c>
      <c r="D79" s="85"/>
      <c r="E79" s="85" t="s">
        <v>1728</v>
      </c>
    </row>
    <row r="80" customFormat="false" ht="15" hidden="false" customHeight="true" outlineLevel="0" collapsed="false">
      <c r="A80" s="83" t="s">
        <v>153</v>
      </c>
      <c r="B80" s="83" t="s">
        <v>1719</v>
      </c>
      <c r="C80" s="83" t="s">
        <v>1729</v>
      </c>
      <c r="D80" s="83"/>
      <c r="E80" s="83"/>
    </row>
    <row r="81" customFormat="false" ht="15" hidden="false" customHeight="true" outlineLevel="0" collapsed="false">
      <c r="A81" s="85" t="s">
        <v>153</v>
      </c>
      <c r="B81" s="85" t="s">
        <v>1719</v>
      </c>
      <c r="C81" s="85" t="s">
        <v>1730</v>
      </c>
      <c r="D81" s="85"/>
      <c r="E81" s="85" t="s">
        <v>1663</v>
      </c>
    </row>
    <row r="82" customFormat="false" ht="23.25" hidden="false" customHeight="true" outlineLevel="0" collapsed="false">
      <c r="A82" s="83" t="s">
        <v>153</v>
      </c>
      <c r="B82" s="83" t="s">
        <v>1731</v>
      </c>
      <c r="C82" s="83" t="s">
        <v>1732</v>
      </c>
      <c r="D82" s="83" t="s">
        <v>1733</v>
      </c>
      <c r="E82" s="83"/>
    </row>
    <row r="83" customFormat="false" ht="23.25" hidden="false" customHeight="true" outlineLevel="0" collapsed="false">
      <c r="A83" s="85" t="s">
        <v>153</v>
      </c>
      <c r="B83" s="85" t="s">
        <v>1731</v>
      </c>
      <c r="C83" s="85" t="s">
        <v>1734</v>
      </c>
      <c r="D83" s="85" t="s">
        <v>1735</v>
      </c>
      <c r="E83" s="85"/>
    </row>
    <row r="84" customFormat="false" ht="15" hidden="false" customHeight="true" outlineLevel="0" collapsed="false">
      <c r="A84" s="83" t="s">
        <v>195</v>
      </c>
      <c r="B84" s="83" t="s">
        <v>1719</v>
      </c>
      <c r="C84" s="83" t="s">
        <v>1736</v>
      </c>
      <c r="D84" s="83" t="s">
        <v>1721</v>
      </c>
      <c r="E84" s="83"/>
    </row>
    <row r="85" customFormat="false" ht="15" hidden="false" customHeight="true" outlineLevel="0" collapsed="false">
      <c r="A85" s="85" t="s">
        <v>195</v>
      </c>
      <c r="B85" s="85" t="s">
        <v>1719</v>
      </c>
      <c r="C85" s="85" t="s">
        <v>1737</v>
      </c>
      <c r="D85" s="85" t="s">
        <v>1723</v>
      </c>
      <c r="E85" s="85"/>
    </row>
    <row r="86" customFormat="false" ht="15" hidden="false" customHeight="true" outlineLevel="0" collapsed="false">
      <c r="A86" s="83" t="s">
        <v>195</v>
      </c>
      <c r="B86" s="83" t="s">
        <v>1719</v>
      </c>
      <c r="C86" s="83" t="s">
        <v>1738</v>
      </c>
      <c r="D86" s="83"/>
      <c r="E86" s="83" t="s">
        <v>1726</v>
      </c>
    </row>
    <row r="87" customFormat="false" ht="15" hidden="false" customHeight="true" outlineLevel="0" collapsed="false">
      <c r="A87" s="85" t="s">
        <v>195</v>
      </c>
      <c r="B87" s="85" t="s">
        <v>1719</v>
      </c>
      <c r="C87" s="85" t="s">
        <v>1739</v>
      </c>
      <c r="D87" s="85"/>
      <c r="E87" s="85" t="s">
        <v>1728</v>
      </c>
    </row>
    <row r="88" customFormat="false" ht="23.25" hidden="false" customHeight="true" outlineLevel="0" collapsed="false">
      <c r="A88" s="83" t="s">
        <v>195</v>
      </c>
      <c r="B88" s="83" t="s">
        <v>1731</v>
      </c>
      <c r="C88" s="83" t="s">
        <v>1740</v>
      </c>
      <c r="D88" s="83" t="s">
        <v>1733</v>
      </c>
      <c r="E88" s="83"/>
    </row>
    <row r="89" customFormat="false" ht="15" hidden="false" customHeight="true" outlineLevel="0" collapsed="false">
      <c r="A89" s="85" t="s">
        <v>233</v>
      </c>
      <c r="B89" s="85" t="s">
        <v>1719</v>
      </c>
      <c r="C89" s="85" t="s">
        <v>1741</v>
      </c>
      <c r="D89" s="85" t="s">
        <v>1721</v>
      </c>
      <c r="E89" s="85"/>
    </row>
    <row r="90" customFormat="false" ht="15" hidden="false" customHeight="true" outlineLevel="0" collapsed="false">
      <c r="A90" s="83" t="s">
        <v>233</v>
      </c>
      <c r="B90" s="83" t="s">
        <v>1719</v>
      </c>
      <c r="C90" s="83" t="s">
        <v>1742</v>
      </c>
      <c r="D90" s="83" t="s">
        <v>1723</v>
      </c>
      <c r="E90" s="83"/>
    </row>
    <row r="91" customFormat="false" ht="15" hidden="false" customHeight="true" outlineLevel="0" collapsed="false">
      <c r="A91" s="85" t="s">
        <v>233</v>
      </c>
      <c r="B91" s="85" t="s">
        <v>1719</v>
      </c>
      <c r="C91" s="85" t="s">
        <v>1743</v>
      </c>
      <c r="D91" s="85"/>
      <c r="E91" s="85" t="s">
        <v>1726</v>
      </c>
    </row>
    <row r="92" customFormat="false" ht="23.25" hidden="false" customHeight="true" outlineLevel="0" collapsed="false">
      <c r="A92" s="83" t="s">
        <v>233</v>
      </c>
      <c r="B92" s="83" t="s">
        <v>1731</v>
      </c>
      <c r="C92" s="83" t="s">
        <v>1744</v>
      </c>
      <c r="D92" s="83" t="s">
        <v>1733</v>
      </c>
      <c r="E92" s="83"/>
    </row>
    <row r="93" customFormat="false" ht="15" hidden="false" customHeight="true" outlineLevel="0" collapsed="false">
      <c r="A93" s="85" t="s">
        <v>243</v>
      </c>
      <c r="B93" s="85" t="s">
        <v>1719</v>
      </c>
      <c r="C93" s="85" t="s">
        <v>1745</v>
      </c>
      <c r="D93" s="85" t="s">
        <v>1721</v>
      </c>
      <c r="E93" s="85"/>
    </row>
    <row r="94" customFormat="false" ht="15" hidden="false" customHeight="true" outlineLevel="0" collapsed="false">
      <c r="A94" s="83" t="s">
        <v>243</v>
      </c>
      <c r="B94" s="83" t="s">
        <v>1719</v>
      </c>
      <c r="C94" s="83" t="s">
        <v>1746</v>
      </c>
      <c r="D94" s="83" t="s">
        <v>1723</v>
      </c>
      <c r="E94" s="83"/>
    </row>
    <row r="95" customFormat="false" ht="15" hidden="false" customHeight="true" outlineLevel="0" collapsed="false">
      <c r="A95" s="85" t="s">
        <v>243</v>
      </c>
      <c r="B95" s="85" t="s">
        <v>1719</v>
      </c>
      <c r="C95" s="85" t="s">
        <v>1747</v>
      </c>
      <c r="D95" s="85"/>
      <c r="E95" s="85" t="s">
        <v>1748</v>
      </c>
    </row>
    <row r="96" customFormat="false" ht="15" hidden="false" customHeight="true" outlineLevel="0" collapsed="false">
      <c r="A96" s="83" t="s">
        <v>243</v>
      </c>
      <c r="B96" s="83" t="s">
        <v>1719</v>
      </c>
      <c r="C96" s="83" t="s">
        <v>1749</v>
      </c>
      <c r="D96" s="83"/>
      <c r="E96" s="83" t="s">
        <v>1726</v>
      </c>
    </row>
    <row r="97" customFormat="false" ht="23.25" hidden="false" customHeight="true" outlineLevel="0" collapsed="false">
      <c r="A97" s="85" t="s">
        <v>243</v>
      </c>
      <c r="B97" s="85" t="s">
        <v>1731</v>
      </c>
      <c r="C97" s="85" t="s">
        <v>1750</v>
      </c>
      <c r="D97" s="85" t="s">
        <v>1733</v>
      </c>
      <c r="E97" s="85"/>
    </row>
    <row r="99" customFormat="false" ht="15" hidden="false" customHeight="true" outlineLevel="0" collapsed="false">
      <c r="A99" s="111" t="s">
        <v>1751</v>
      </c>
      <c r="B99" s="111"/>
      <c r="C99" s="111"/>
      <c r="D99" s="111"/>
      <c r="E99" s="111"/>
      <c r="F99" s="111"/>
      <c r="G99" s="111"/>
      <c r="H99" s="111"/>
      <c r="I99" s="111"/>
      <c r="J99" s="111"/>
    </row>
    <row r="100" customFormat="false" ht="15" hidden="false" customHeight="true" outlineLevel="0" collapsed="false">
      <c r="A100" s="112" t="s">
        <v>1752</v>
      </c>
      <c r="B100" s="112" t="s">
        <v>1753</v>
      </c>
      <c r="C100" s="112" t="s">
        <v>1754</v>
      </c>
      <c r="D100" s="112" t="s">
        <v>1755</v>
      </c>
      <c r="E100" s="112" t="s">
        <v>576</v>
      </c>
      <c r="F100" s="112" t="s">
        <v>412</v>
      </c>
    </row>
    <row r="101" customFormat="false" ht="15" hidden="false" customHeight="true" outlineLevel="0" collapsed="false">
      <c r="A101" s="83" t="s">
        <v>490</v>
      </c>
      <c r="B101" s="83" t="s">
        <v>1756</v>
      </c>
      <c r="C101" s="83" t="s">
        <v>1757</v>
      </c>
      <c r="D101" s="83" t="s">
        <v>1758</v>
      </c>
      <c r="E101" s="83" t="s">
        <v>527</v>
      </c>
      <c r="F101" s="83" t="s">
        <v>1759</v>
      </c>
    </row>
    <row r="102" customFormat="false" ht="15" hidden="false" customHeight="true" outlineLevel="0" collapsed="false">
      <c r="A102" s="85" t="s">
        <v>496</v>
      </c>
      <c r="B102" s="85" t="s">
        <v>1760</v>
      </c>
      <c r="C102" s="85" t="s">
        <v>1761</v>
      </c>
      <c r="D102" s="85" t="s">
        <v>1762</v>
      </c>
      <c r="E102" s="85" t="s">
        <v>527</v>
      </c>
      <c r="F102" s="85" t="s">
        <v>1759</v>
      </c>
    </row>
    <row r="103" customFormat="false" ht="15" hidden="false" customHeight="true" outlineLevel="0" collapsed="false">
      <c r="A103" s="83" t="s">
        <v>502</v>
      </c>
      <c r="B103" s="83" t="s">
        <v>1763</v>
      </c>
      <c r="C103" s="83" t="s">
        <v>1764</v>
      </c>
      <c r="D103" s="83" t="s">
        <v>1765</v>
      </c>
      <c r="E103" s="83" t="s">
        <v>527</v>
      </c>
      <c r="F103" s="83" t="s">
        <v>1759</v>
      </c>
    </row>
    <row r="104" customFormat="false" ht="15" hidden="false" customHeight="true" outlineLevel="0" collapsed="false">
      <c r="A104" s="85" t="s">
        <v>507</v>
      </c>
      <c r="B104" s="85" t="s">
        <v>1766</v>
      </c>
      <c r="C104" s="85" t="s">
        <v>1767</v>
      </c>
      <c r="D104" s="85" t="s">
        <v>1768</v>
      </c>
      <c r="E104" s="85" t="s">
        <v>527</v>
      </c>
      <c r="F104" s="85" t="s">
        <v>1759</v>
      </c>
    </row>
    <row r="105" customFormat="false" ht="23.25" hidden="false" customHeight="true" outlineLevel="0" collapsed="false">
      <c r="A105" s="83" t="s">
        <v>511</v>
      </c>
      <c r="B105" s="83" t="s">
        <v>1769</v>
      </c>
      <c r="C105" s="83" t="s">
        <v>1770</v>
      </c>
      <c r="D105" s="83" t="s">
        <v>1771</v>
      </c>
      <c r="E105" s="83" t="s">
        <v>1772</v>
      </c>
      <c r="F105" s="83" t="s">
        <v>1759</v>
      </c>
    </row>
    <row r="106" customFormat="false" ht="15" hidden="false" customHeight="true" outlineLevel="0" collapsed="false">
      <c r="A106" s="85" t="s">
        <v>516</v>
      </c>
      <c r="B106" s="85" t="s">
        <v>1773</v>
      </c>
      <c r="C106" s="85" t="s">
        <v>1774</v>
      </c>
      <c r="D106" s="85" t="s">
        <v>1775</v>
      </c>
      <c r="E106" s="85" t="s">
        <v>1772</v>
      </c>
      <c r="F106" s="85" t="s">
        <v>1759</v>
      </c>
    </row>
    <row r="107" customFormat="false" ht="15" hidden="false" customHeight="true" outlineLevel="0" collapsed="false">
      <c r="A107" s="83" t="s">
        <v>519</v>
      </c>
      <c r="B107" s="83" t="s">
        <v>1776</v>
      </c>
      <c r="C107" s="83" t="s">
        <v>1777</v>
      </c>
      <c r="D107" s="83" t="s">
        <v>1775</v>
      </c>
      <c r="E107" s="83" t="s">
        <v>1772</v>
      </c>
      <c r="F107" s="83" t="s">
        <v>1759</v>
      </c>
    </row>
    <row r="108" customFormat="false" ht="23.25" hidden="false" customHeight="true" outlineLevel="0" collapsed="false">
      <c r="A108" s="85" t="s">
        <v>523</v>
      </c>
      <c r="B108" s="85" t="s">
        <v>1778</v>
      </c>
      <c r="C108" s="85" t="s">
        <v>1779</v>
      </c>
      <c r="D108" s="85" t="s">
        <v>1775</v>
      </c>
      <c r="E108" s="85" t="s">
        <v>1780</v>
      </c>
      <c r="F108" s="85" t="s">
        <v>1759</v>
      </c>
    </row>
    <row r="109" customFormat="false" ht="23.25" hidden="false" customHeight="true" outlineLevel="0" collapsed="false">
      <c r="A109" s="83" t="s">
        <v>530</v>
      </c>
      <c r="B109" s="83" t="s">
        <v>1781</v>
      </c>
      <c r="C109" s="83" t="s">
        <v>1782</v>
      </c>
      <c r="D109" s="83" t="s">
        <v>1775</v>
      </c>
      <c r="E109" s="83" t="s">
        <v>1780</v>
      </c>
      <c r="F109" s="83" t="s">
        <v>1759</v>
      </c>
    </row>
    <row r="110" customFormat="false" ht="23.25" hidden="false" customHeight="true" outlineLevel="0" collapsed="false">
      <c r="A110" s="85" t="s">
        <v>535</v>
      </c>
      <c r="B110" s="85" t="s">
        <v>1783</v>
      </c>
      <c r="C110" s="85" t="s">
        <v>1784</v>
      </c>
      <c r="D110" s="85" t="s">
        <v>1775</v>
      </c>
      <c r="E110" s="85" t="s">
        <v>1780</v>
      </c>
      <c r="F110" s="85" t="s">
        <v>1759</v>
      </c>
    </row>
    <row r="111" customFormat="false" ht="15" hidden="false" customHeight="true" outlineLevel="0" collapsed="false">
      <c r="A111" s="83" t="s">
        <v>542</v>
      </c>
      <c r="B111" s="83" t="s">
        <v>1785</v>
      </c>
      <c r="C111" s="83" t="s">
        <v>1786</v>
      </c>
      <c r="D111" s="83" t="s">
        <v>1775</v>
      </c>
      <c r="E111" s="83" t="s">
        <v>1772</v>
      </c>
      <c r="F111" s="83" t="s">
        <v>1759</v>
      </c>
    </row>
    <row r="112" customFormat="false" ht="23.25" hidden="false" customHeight="true" outlineLevel="0" collapsed="false">
      <c r="A112" s="85" t="s">
        <v>546</v>
      </c>
      <c r="B112" s="85" t="s">
        <v>1787</v>
      </c>
      <c r="C112" s="85" t="s">
        <v>1788</v>
      </c>
      <c r="D112" s="85" t="s">
        <v>1789</v>
      </c>
      <c r="E112" s="85" t="s">
        <v>1790</v>
      </c>
      <c r="F112" s="85" t="s">
        <v>1759</v>
      </c>
    </row>
    <row r="113" customFormat="false" ht="23.25" hidden="false" customHeight="true" outlineLevel="0" collapsed="false">
      <c r="A113" s="83" t="s">
        <v>551</v>
      </c>
      <c r="B113" s="83" t="s">
        <v>1791</v>
      </c>
      <c r="C113" s="83" t="s">
        <v>1792</v>
      </c>
      <c r="D113" s="83" t="s">
        <v>1793</v>
      </c>
      <c r="E113" s="83" t="s">
        <v>1790</v>
      </c>
      <c r="F113" s="83" t="s">
        <v>1759</v>
      </c>
    </row>
    <row r="115" customFormat="false" ht="15" hidden="false" customHeight="true" outlineLevel="0" collapsed="false">
      <c r="A115" s="111" t="s">
        <v>1794</v>
      </c>
      <c r="B115" s="111"/>
      <c r="C115" s="111"/>
      <c r="D115" s="111"/>
      <c r="E115" s="111"/>
      <c r="F115" s="111"/>
      <c r="G115" s="111"/>
      <c r="H115" s="111"/>
      <c r="I115" s="111"/>
      <c r="J115" s="111"/>
    </row>
    <row r="116" customFormat="false" ht="15" hidden="false" customHeight="true" outlineLevel="0" collapsed="false">
      <c r="A116" s="112" t="s">
        <v>1795</v>
      </c>
      <c r="B116" s="112" t="s">
        <v>1796</v>
      </c>
      <c r="C116" s="112" t="s">
        <v>3</v>
      </c>
      <c r="D116" s="112" t="s">
        <v>472</v>
      </c>
      <c r="E116" s="112" t="s">
        <v>1797</v>
      </c>
      <c r="F116" s="112" t="s">
        <v>1328</v>
      </c>
      <c r="G116" s="112" t="s">
        <v>1798</v>
      </c>
    </row>
    <row r="117" customFormat="false" ht="34.5" hidden="false" customHeight="true" outlineLevel="0" collapsed="false">
      <c r="A117" s="83" t="s">
        <v>1799</v>
      </c>
      <c r="B117" s="83" t="s">
        <v>1800</v>
      </c>
      <c r="C117" s="83" t="s">
        <v>153</v>
      </c>
      <c r="D117" s="83" t="s">
        <v>1801</v>
      </c>
      <c r="E117" s="83" t="s">
        <v>1802</v>
      </c>
      <c r="F117" s="83" t="s">
        <v>1803</v>
      </c>
      <c r="G117" s="83" t="s">
        <v>1804</v>
      </c>
    </row>
    <row r="118" customFormat="false" ht="34.5" hidden="false" customHeight="true" outlineLevel="0" collapsed="false">
      <c r="A118" s="85" t="s">
        <v>1805</v>
      </c>
      <c r="B118" s="85" t="s">
        <v>1806</v>
      </c>
      <c r="C118" s="85" t="s">
        <v>195</v>
      </c>
      <c r="D118" s="85" t="s">
        <v>1801</v>
      </c>
      <c r="E118" s="85" t="s">
        <v>1807</v>
      </c>
      <c r="F118" s="85" t="s">
        <v>1808</v>
      </c>
      <c r="G118" s="85" t="s">
        <v>1809</v>
      </c>
    </row>
    <row r="119" customFormat="false" ht="23.25" hidden="false" customHeight="true" outlineLevel="0" collapsed="false">
      <c r="A119" s="83" t="s">
        <v>1810</v>
      </c>
      <c r="B119" s="83" t="s">
        <v>1811</v>
      </c>
      <c r="C119" s="83" t="s">
        <v>195</v>
      </c>
      <c r="D119" s="83" t="s">
        <v>1812</v>
      </c>
      <c r="E119" s="83" t="s">
        <v>1813</v>
      </c>
      <c r="F119" s="83" t="s">
        <v>1808</v>
      </c>
      <c r="G119" s="83" t="s">
        <v>1809</v>
      </c>
    </row>
    <row r="120" customFormat="false" ht="34.5" hidden="false" customHeight="true" outlineLevel="0" collapsed="false">
      <c r="A120" s="85" t="s">
        <v>1814</v>
      </c>
      <c r="B120" s="85" t="s">
        <v>1815</v>
      </c>
      <c r="C120" s="85" t="s">
        <v>233</v>
      </c>
      <c r="D120" s="85" t="s">
        <v>1801</v>
      </c>
      <c r="E120" s="85" t="s">
        <v>1816</v>
      </c>
      <c r="F120" s="85" t="s">
        <v>1817</v>
      </c>
      <c r="G120" s="85" t="s">
        <v>1818</v>
      </c>
    </row>
    <row r="121" customFormat="false" ht="34.5" hidden="false" customHeight="true" outlineLevel="0" collapsed="false">
      <c r="A121" s="83" t="s">
        <v>1819</v>
      </c>
      <c r="B121" s="83" t="s">
        <v>1820</v>
      </c>
      <c r="C121" s="83" t="s">
        <v>243</v>
      </c>
      <c r="D121" s="83" t="s">
        <v>1801</v>
      </c>
      <c r="E121" s="83" t="s">
        <v>1821</v>
      </c>
      <c r="F121" s="83" t="s">
        <v>1817</v>
      </c>
      <c r="G121" s="83" t="s">
        <v>1822</v>
      </c>
    </row>
    <row r="122" customFormat="false" ht="23.25" hidden="false" customHeight="true" outlineLevel="0" collapsed="false">
      <c r="A122" s="85" t="s">
        <v>1823</v>
      </c>
      <c r="B122" s="85" t="s">
        <v>1824</v>
      </c>
      <c r="C122" s="85" t="s">
        <v>448</v>
      </c>
      <c r="D122" s="85" t="s">
        <v>1825</v>
      </c>
      <c r="E122" s="85" t="s">
        <v>1826</v>
      </c>
      <c r="F122" s="85" t="s">
        <v>1827</v>
      </c>
      <c r="G122" s="85" t="s">
        <v>1828</v>
      </c>
    </row>
    <row r="123" customFormat="false" ht="23.25" hidden="false" customHeight="true" outlineLevel="0" collapsed="false">
      <c r="A123" s="83" t="s">
        <v>1829</v>
      </c>
      <c r="B123" s="83" t="s">
        <v>1830</v>
      </c>
      <c r="C123" s="83" t="s">
        <v>153</v>
      </c>
      <c r="D123" s="83" t="s">
        <v>1831</v>
      </c>
      <c r="E123" s="83" t="s">
        <v>1832</v>
      </c>
      <c r="F123" s="83" t="s">
        <v>1833</v>
      </c>
      <c r="G123" s="83" t="s">
        <v>1804</v>
      </c>
    </row>
    <row r="124" customFormat="false" ht="23.25" hidden="false" customHeight="true" outlineLevel="0" collapsed="false">
      <c r="A124" s="85" t="s">
        <v>1834</v>
      </c>
      <c r="B124" s="85" t="s">
        <v>1835</v>
      </c>
      <c r="C124" s="85" t="s">
        <v>195</v>
      </c>
      <c r="D124" s="85" t="s">
        <v>1831</v>
      </c>
      <c r="E124" s="85" t="s">
        <v>1836</v>
      </c>
      <c r="F124" s="85" t="s">
        <v>1833</v>
      </c>
      <c r="G124" s="85" t="s">
        <v>1809</v>
      </c>
    </row>
    <row r="126" customFormat="false" ht="15" hidden="false" customHeight="true" outlineLevel="0" collapsed="false">
      <c r="A126" s="6" t="s">
        <v>1837</v>
      </c>
    </row>
    <row r="127" customFormat="false" ht="15" hidden="false" customHeight="true" outlineLevel="0" collapsed="false">
      <c r="A127" s="3" t="s">
        <v>1838</v>
      </c>
      <c r="B127" s="3" t="s">
        <v>1839</v>
      </c>
      <c r="C127" s="3" t="s">
        <v>1754</v>
      </c>
      <c r="D127" s="3" t="s">
        <v>1840</v>
      </c>
      <c r="E127" s="3" t="s">
        <v>1841</v>
      </c>
      <c r="F127" s="3" t="s">
        <v>1842</v>
      </c>
      <c r="G127" s="3" t="s">
        <v>1843</v>
      </c>
    </row>
    <row r="128" customFormat="false" ht="34.5" hidden="false" customHeight="true" outlineLevel="0" collapsed="false">
      <c r="A128" s="4" t="s">
        <v>1844</v>
      </c>
      <c r="B128" s="4" t="s">
        <v>1845</v>
      </c>
      <c r="C128" s="4" t="s">
        <v>1846</v>
      </c>
      <c r="D128" s="4" t="s">
        <v>1847</v>
      </c>
      <c r="E128" s="4" t="s">
        <v>1848</v>
      </c>
      <c r="F128" s="4" t="s">
        <v>1849</v>
      </c>
      <c r="G128" s="4" t="s">
        <v>610</v>
      </c>
    </row>
    <row r="129" customFormat="false" ht="34.5" hidden="false" customHeight="true" outlineLevel="0" collapsed="false">
      <c r="A129" s="5" t="s">
        <v>1850</v>
      </c>
      <c r="B129" s="5" t="s">
        <v>1851</v>
      </c>
      <c r="C129" s="5" t="s">
        <v>1852</v>
      </c>
      <c r="D129" s="5" t="s">
        <v>1853</v>
      </c>
      <c r="E129" s="5" t="s">
        <v>1854</v>
      </c>
      <c r="F129" s="5" t="s">
        <v>1855</v>
      </c>
      <c r="G129" s="5" t="s">
        <v>610</v>
      </c>
    </row>
    <row r="130" customFormat="false" ht="34.5" hidden="false" customHeight="true" outlineLevel="0" collapsed="false">
      <c r="A130" s="4" t="s">
        <v>1856</v>
      </c>
      <c r="B130" s="4" t="s">
        <v>1857</v>
      </c>
      <c r="C130" s="4" t="s">
        <v>1858</v>
      </c>
      <c r="D130" s="4" t="s">
        <v>904</v>
      </c>
      <c r="E130" s="4" t="s">
        <v>1859</v>
      </c>
      <c r="F130" s="4" t="s">
        <v>1860</v>
      </c>
      <c r="G130" s="4" t="s">
        <v>610</v>
      </c>
    </row>
    <row r="131" customFormat="false" ht="34.5" hidden="false" customHeight="true" outlineLevel="0" collapsed="false">
      <c r="A131" s="5" t="s">
        <v>1861</v>
      </c>
      <c r="B131" s="5" t="s">
        <v>1862</v>
      </c>
      <c r="C131" s="5" t="s">
        <v>1863</v>
      </c>
      <c r="D131" s="5" t="s">
        <v>904</v>
      </c>
      <c r="E131" s="5" t="s">
        <v>1864</v>
      </c>
      <c r="F131" s="5" t="s">
        <v>1865</v>
      </c>
      <c r="G131" s="5" t="s">
        <v>610</v>
      </c>
    </row>
    <row r="132" customFormat="false" ht="34.5" hidden="false" customHeight="true" outlineLevel="0" collapsed="false">
      <c r="A132" s="4" t="s">
        <v>1866</v>
      </c>
      <c r="B132" s="4" t="s">
        <v>1867</v>
      </c>
      <c r="C132" s="4" t="s">
        <v>1868</v>
      </c>
      <c r="D132" s="4" t="s">
        <v>904</v>
      </c>
      <c r="E132" s="4" t="s">
        <v>1869</v>
      </c>
      <c r="F132" s="4" t="s">
        <v>1870</v>
      </c>
      <c r="G132" s="4" t="s">
        <v>610</v>
      </c>
    </row>
    <row r="133" customFormat="false" ht="34.5" hidden="false" customHeight="true" outlineLevel="0" collapsed="false">
      <c r="A133" s="5" t="s">
        <v>1871</v>
      </c>
      <c r="B133" s="5" t="s">
        <v>1872</v>
      </c>
      <c r="C133" s="5" t="s">
        <v>1873</v>
      </c>
      <c r="D133" s="5" t="s">
        <v>904</v>
      </c>
      <c r="E133" s="5" t="s">
        <v>1874</v>
      </c>
      <c r="F133" s="5" t="s">
        <v>1875</v>
      </c>
      <c r="G133" s="5" t="s">
        <v>610</v>
      </c>
    </row>
    <row r="134" customFormat="false" ht="15" hidden="false" customHeight="true" outlineLevel="0" collapsed="false">
      <c r="A134" s="4" t="s">
        <v>1876</v>
      </c>
      <c r="B134" s="4" t="s">
        <v>1877</v>
      </c>
      <c r="C134" s="4" t="s">
        <v>1878</v>
      </c>
      <c r="D134" s="4" t="s">
        <v>1879</v>
      </c>
      <c r="E134" s="4" t="s">
        <v>550</v>
      </c>
      <c r="F134" s="4" t="s">
        <v>550</v>
      </c>
      <c r="G134" s="4" t="s">
        <v>610</v>
      </c>
    </row>
    <row r="137" customFormat="false" ht="15" hidden="false" customHeight="true" outlineLevel="0" collapsed="false">
      <c r="A137" s="6" t="s">
        <v>1880</v>
      </c>
    </row>
    <row r="138" customFormat="false" ht="15" hidden="false" customHeight="true" outlineLevel="0" collapsed="false">
      <c r="A138" s="3" t="s">
        <v>1881</v>
      </c>
      <c r="B138" s="3" t="s">
        <v>1882</v>
      </c>
      <c r="C138" s="3" t="s">
        <v>1883</v>
      </c>
      <c r="D138" s="3" t="s">
        <v>1884</v>
      </c>
      <c r="E138" s="3" t="s">
        <v>1552</v>
      </c>
      <c r="F138" s="3" t="s">
        <v>1885</v>
      </c>
      <c r="G138" s="3" t="s">
        <v>1886</v>
      </c>
    </row>
    <row r="139" customFormat="false" ht="23.25" hidden="false" customHeight="true" outlineLevel="0" collapsed="false">
      <c r="A139" s="4" t="s">
        <v>1887</v>
      </c>
      <c r="B139" s="4" t="s">
        <v>1888</v>
      </c>
      <c r="C139" s="4" t="s">
        <v>1889</v>
      </c>
      <c r="D139" s="4" t="s">
        <v>1890</v>
      </c>
      <c r="E139" s="4" t="s">
        <v>1891</v>
      </c>
      <c r="F139" s="4" t="s">
        <v>1892</v>
      </c>
      <c r="G139" s="4" t="s">
        <v>1893</v>
      </c>
    </row>
    <row r="140" customFormat="false" ht="23.25" hidden="false" customHeight="true" outlineLevel="0" collapsed="false">
      <c r="A140" s="5" t="s">
        <v>1887</v>
      </c>
      <c r="B140" s="5" t="s">
        <v>1894</v>
      </c>
      <c r="C140" s="5" t="s">
        <v>1895</v>
      </c>
      <c r="D140" s="5" t="s">
        <v>1896</v>
      </c>
      <c r="E140" s="5" t="s">
        <v>1897</v>
      </c>
      <c r="F140" s="5" t="s">
        <v>1892</v>
      </c>
      <c r="G140" s="5" t="s">
        <v>1893</v>
      </c>
    </row>
    <row r="141" customFormat="false" ht="23.25" hidden="false" customHeight="true" outlineLevel="0" collapsed="false">
      <c r="A141" s="4" t="s">
        <v>1898</v>
      </c>
      <c r="B141" s="4" t="s">
        <v>1899</v>
      </c>
      <c r="C141" s="4" t="s">
        <v>1900</v>
      </c>
      <c r="D141" s="4" t="s">
        <v>1901</v>
      </c>
      <c r="E141" s="4" t="s">
        <v>1902</v>
      </c>
      <c r="F141" s="4" t="s">
        <v>1903</v>
      </c>
      <c r="G141" s="4" t="s">
        <v>1904</v>
      </c>
    </row>
    <row r="142" customFormat="false" ht="23.25" hidden="false" customHeight="true" outlineLevel="0" collapsed="false">
      <c r="A142" s="5" t="s">
        <v>1898</v>
      </c>
      <c r="B142" s="5" t="s">
        <v>1905</v>
      </c>
      <c r="C142" s="5" t="s">
        <v>1906</v>
      </c>
      <c r="D142" s="5" t="s">
        <v>1907</v>
      </c>
      <c r="E142" s="5" t="s">
        <v>1908</v>
      </c>
      <c r="F142" s="5" t="s">
        <v>1909</v>
      </c>
      <c r="G142" s="5" t="s">
        <v>1904</v>
      </c>
    </row>
    <row r="143" customFormat="false" ht="23.25" hidden="false" customHeight="true" outlineLevel="0" collapsed="false">
      <c r="A143" s="4" t="s">
        <v>1910</v>
      </c>
      <c r="B143" s="4" t="s">
        <v>1016</v>
      </c>
      <c r="C143" s="4" t="s">
        <v>1911</v>
      </c>
      <c r="D143" s="4" t="s">
        <v>1912</v>
      </c>
      <c r="E143" s="4" t="s">
        <v>1913</v>
      </c>
      <c r="F143" s="4" t="s">
        <v>1914</v>
      </c>
      <c r="G143" s="4" t="s">
        <v>1915</v>
      </c>
    </row>
    <row r="144" customFormat="false" ht="23.25" hidden="false" customHeight="true" outlineLevel="0" collapsed="false">
      <c r="A144" s="5" t="s">
        <v>1910</v>
      </c>
      <c r="B144" s="5" t="s">
        <v>1916</v>
      </c>
      <c r="C144" s="5" t="s">
        <v>1917</v>
      </c>
      <c r="D144" s="5" t="s">
        <v>1918</v>
      </c>
      <c r="E144" s="5" t="s">
        <v>1919</v>
      </c>
      <c r="F144" s="5" t="s">
        <v>1920</v>
      </c>
      <c r="G144" s="5" t="s">
        <v>1921</v>
      </c>
    </row>
    <row r="145" customFormat="false" ht="23.25" hidden="false" customHeight="true" outlineLevel="0" collapsed="false">
      <c r="A145" s="4" t="s">
        <v>1922</v>
      </c>
      <c r="B145" s="4" t="s">
        <v>1923</v>
      </c>
      <c r="C145" s="4" t="s">
        <v>1924</v>
      </c>
      <c r="D145" s="4" t="s">
        <v>1925</v>
      </c>
      <c r="E145" s="4" t="s">
        <v>1926</v>
      </c>
      <c r="F145" s="4" t="s">
        <v>1927</v>
      </c>
      <c r="G145" s="4" t="s">
        <v>1928</v>
      </c>
    </row>
    <row r="146" customFormat="false" ht="23.25" hidden="false" customHeight="true" outlineLevel="0" collapsed="false">
      <c r="A146" s="5" t="s">
        <v>1929</v>
      </c>
      <c r="B146" s="5" t="s">
        <v>1930</v>
      </c>
      <c r="C146" s="5" t="s">
        <v>1895</v>
      </c>
      <c r="D146" s="5" t="s">
        <v>1931</v>
      </c>
      <c r="E146" s="5" t="s">
        <v>1932</v>
      </c>
      <c r="F146" s="5" t="s">
        <v>1892</v>
      </c>
      <c r="G146" s="5" t="s">
        <v>1933</v>
      </c>
    </row>
    <row r="149" customFormat="false" ht="17.35" hidden="false" customHeight="false" outlineLevel="0" collapsed="false">
      <c r="A149" s="115" t="s">
        <v>1934</v>
      </c>
    </row>
    <row r="151" customFormat="false" ht="39.55" hidden="false" customHeight="false" outlineLevel="0" collapsed="false">
      <c r="A151" s="3" t="s">
        <v>1935</v>
      </c>
      <c r="B151" s="3" t="s">
        <v>1936</v>
      </c>
      <c r="C151" s="3" t="s">
        <v>1937</v>
      </c>
      <c r="D151" s="3" t="s">
        <v>1938</v>
      </c>
      <c r="E151" s="3" t="s">
        <v>1589</v>
      </c>
      <c r="F151" s="3" t="s">
        <v>1939</v>
      </c>
      <c r="G151" s="3" t="s">
        <v>1940</v>
      </c>
      <c r="H151" s="3" t="s">
        <v>1941</v>
      </c>
      <c r="I151" s="3" t="s">
        <v>1942</v>
      </c>
      <c r="J151" s="3" t="s">
        <v>1943</v>
      </c>
      <c r="K151" s="3" t="s">
        <v>1944</v>
      </c>
    </row>
    <row r="152" customFormat="false" ht="35.05" hidden="false" customHeight="false" outlineLevel="0" collapsed="false">
      <c r="A152" s="8" t="s">
        <v>1945</v>
      </c>
      <c r="B152" s="8" t="s">
        <v>1661</v>
      </c>
      <c r="C152" s="116" t="n">
        <v>320</v>
      </c>
      <c r="D152" s="116" t="n">
        <v>45000</v>
      </c>
      <c r="E152" s="8" t="s">
        <v>1946</v>
      </c>
      <c r="F152" s="8" t="s">
        <v>1947</v>
      </c>
      <c r="G152" s="8" t="s">
        <v>1948</v>
      </c>
      <c r="H152" s="117" t="s">
        <v>1949</v>
      </c>
      <c r="I152" s="117" t="n">
        <v>3.2</v>
      </c>
      <c r="J152" s="117" t="n">
        <v>1.8</v>
      </c>
      <c r="K152" s="116" t="n">
        <v>2400000</v>
      </c>
    </row>
    <row r="153" customFormat="false" ht="23.85" hidden="false" customHeight="false" outlineLevel="0" collapsed="false">
      <c r="A153" s="8" t="s">
        <v>1950</v>
      </c>
      <c r="B153" s="8" t="s">
        <v>1661</v>
      </c>
      <c r="C153" s="116" t="n">
        <v>450</v>
      </c>
      <c r="D153" s="116" t="n">
        <v>38000</v>
      </c>
      <c r="E153" s="8" t="s">
        <v>1951</v>
      </c>
      <c r="F153" s="8" t="s">
        <v>1952</v>
      </c>
      <c r="G153" s="8" t="s">
        <v>1953</v>
      </c>
      <c r="H153" s="117" t="s">
        <v>1954</v>
      </c>
      <c r="I153" s="117" t="n">
        <v>2.8</v>
      </c>
      <c r="J153" s="117" t="n">
        <v>2.1</v>
      </c>
      <c r="K153" s="116" t="n">
        <v>2000000</v>
      </c>
    </row>
    <row r="154" customFormat="false" ht="23.85" hidden="false" customHeight="false" outlineLevel="0" collapsed="false">
      <c r="A154" s="8" t="s">
        <v>1955</v>
      </c>
      <c r="B154" s="8" t="s">
        <v>1956</v>
      </c>
      <c r="C154" s="116" t="n">
        <v>380</v>
      </c>
      <c r="D154" s="116" t="n">
        <v>42000</v>
      </c>
      <c r="E154" s="8" t="s">
        <v>1957</v>
      </c>
      <c r="F154" s="8" t="s">
        <v>1958</v>
      </c>
      <c r="G154" s="8" t="s">
        <v>1959</v>
      </c>
      <c r="H154" s="117" t="s">
        <v>1960</v>
      </c>
      <c r="I154" s="117" t="n">
        <v>2.5</v>
      </c>
      <c r="J154" s="117" t="n">
        <v>1.5</v>
      </c>
      <c r="K154" s="116" t="n">
        <v>1800000</v>
      </c>
    </row>
    <row r="155" customFormat="false" ht="23.85" hidden="false" customHeight="false" outlineLevel="0" collapsed="false">
      <c r="A155" s="8" t="s">
        <v>1961</v>
      </c>
      <c r="B155" s="8" t="s">
        <v>1661</v>
      </c>
      <c r="C155" s="116" t="n">
        <v>520</v>
      </c>
      <c r="D155" s="116" t="n">
        <v>41000</v>
      </c>
      <c r="E155" s="8" t="s">
        <v>1962</v>
      </c>
      <c r="F155" s="8" t="s">
        <v>1963</v>
      </c>
      <c r="G155" s="8" t="s">
        <v>1964</v>
      </c>
      <c r="H155" s="117" t="s">
        <v>1965</v>
      </c>
      <c r="I155" s="117" t="n">
        <v>3.1</v>
      </c>
      <c r="J155" s="117" t="n">
        <v>2.2</v>
      </c>
      <c r="K155" s="116" t="n">
        <v>2600000</v>
      </c>
    </row>
    <row r="156" customFormat="false" ht="23.85" hidden="false" customHeight="false" outlineLevel="0" collapsed="false">
      <c r="A156" s="8" t="s">
        <v>1966</v>
      </c>
      <c r="B156" s="8" t="s">
        <v>1661</v>
      </c>
      <c r="C156" s="116" t="n">
        <v>680</v>
      </c>
      <c r="D156" s="116" t="n">
        <v>39000</v>
      </c>
      <c r="E156" s="8" t="s">
        <v>1967</v>
      </c>
      <c r="F156" s="8" t="s">
        <v>1968</v>
      </c>
      <c r="G156" s="8" t="s">
        <v>1969</v>
      </c>
      <c r="H156" s="117" t="s">
        <v>1960</v>
      </c>
      <c r="I156" s="117" t="n">
        <v>3.5</v>
      </c>
      <c r="J156" s="117" t="n">
        <v>2.4</v>
      </c>
      <c r="K156" s="116" t="n">
        <v>3000000</v>
      </c>
    </row>
    <row r="157" customFormat="false" ht="23.85" hidden="false" customHeight="false" outlineLevel="0" collapsed="false">
      <c r="A157" s="8" t="s">
        <v>1970</v>
      </c>
      <c r="B157" s="8" t="s">
        <v>1653</v>
      </c>
      <c r="C157" s="116" t="n">
        <v>240</v>
      </c>
      <c r="D157" s="116" t="n">
        <v>48000</v>
      </c>
      <c r="E157" s="8" t="s">
        <v>1957</v>
      </c>
      <c r="F157" s="8" t="s">
        <v>1971</v>
      </c>
      <c r="G157" s="8" t="s">
        <v>1972</v>
      </c>
      <c r="H157" s="117" t="s">
        <v>1973</v>
      </c>
      <c r="I157" s="117" t="n">
        <v>4.2</v>
      </c>
      <c r="J157" s="117" t="n">
        <v>2.8</v>
      </c>
      <c r="K157" s="116" t="n">
        <v>1600000</v>
      </c>
    </row>
    <row r="158" customFormat="false" ht="23.85" hidden="false" customHeight="false" outlineLevel="0" collapsed="false">
      <c r="A158" s="8" t="s">
        <v>1974</v>
      </c>
      <c r="B158" s="8" t="s">
        <v>1661</v>
      </c>
      <c r="C158" s="116" t="n">
        <v>290</v>
      </c>
      <c r="D158" s="116" t="n">
        <v>44000</v>
      </c>
      <c r="E158" s="8" t="s">
        <v>1975</v>
      </c>
      <c r="F158" s="8" t="s">
        <v>233</v>
      </c>
      <c r="G158" s="8" t="s">
        <v>1976</v>
      </c>
      <c r="H158" s="117" t="s">
        <v>1977</v>
      </c>
      <c r="I158" s="117" t="n">
        <v>2.9</v>
      </c>
      <c r="J158" s="117" t="n">
        <v>1.9</v>
      </c>
      <c r="K158" s="116" t="n">
        <v>2200000</v>
      </c>
    </row>
    <row r="159" customFormat="false" ht="23.85" hidden="false" customHeight="false" outlineLevel="0" collapsed="false">
      <c r="A159" s="8" t="s">
        <v>1978</v>
      </c>
      <c r="B159" s="8" t="s">
        <v>1661</v>
      </c>
      <c r="C159" s="116" t="n">
        <v>410</v>
      </c>
      <c r="D159" s="116" t="n">
        <v>46000</v>
      </c>
      <c r="E159" s="8" t="s">
        <v>1979</v>
      </c>
      <c r="F159" s="8" t="s">
        <v>243</v>
      </c>
      <c r="G159" s="8" t="s">
        <v>1980</v>
      </c>
      <c r="H159" s="117" t="s">
        <v>1960</v>
      </c>
      <c r="I159" s="117" t="n">
        <v>3.3</v>
      </c>
      <c r="J159" s="117" t="n">
        <v>2.3</v>
      </c>
      <c r="K159" s="116" t="n">
        <v>2800000</v>
      </c>
    </row>
    <row r="160" customFormat="false" ht="35.05" hidden="false" customHeight="false" outlineLevel="0" collapsed="false">
      <c r="A160" s="8" t="s">
        <v>1981</v>
      </c>
      <c r="B160" s="8" t="s">
        <v>1661</v>
      </c>
      <c r="C160" s="116" t="n">
        <v>180</v>
      </c>
      <c r="D160" s="116" t="n">
        <v>43000</v>
      </c>
      <c r="E160" s="8" t="s">
        <v>1946</v>
      </c>
      <c r="F160" s="8" t="s">
        <v>1982</v>
      </c>
      <c r="G160" s="8" t="s">
        <v>1983</v>
      </c>
      <c r="H160" s="117" t="s">
        <v>1949</v>
      </c>
      <c r="I160" s="117" t="n">
        <v>3</v>
      </c>
      <c r="J160" s="117" t="n">
        <v>1.7</v>
      </c>
      <c r="K160" s="116" t="n">
        <v>1400000</v>
      </c>
    </row>
    <row r="161" customFormat="false" ht="35.05" hidden="false" customHeight="false" outlineLevel="0" collapsed="false">
      <c r="A161" s="8" t="s">
        <v>1984</v>
      </c>
      <c r="B161" s="8" t="s">
        <v>1661</v>
      </c>
      <c r="C161" s="116" t="n">
        <v>350</v>
      </c>
      <c r="D161" s="116" t="n">
        <v>37000</v>
      </c>
      <c r="E161" s="8" t="s">
        <v>1951</v>
      </c>
      <c r="F161" s="8" t="s">
        <v>1952</v>
      </c>
      <c r="G161" s="8" t="s">
        <v>1985</v>
      </c>
      <c r="H161" s="117" t="s">
        <v>1960</v>
      </c>
      <c r="I161" s="117" t="n">
        <v>2.7</v>
      </c>
      <c r="J161" s="117" t="n">
        <v>2</v>
      </c>
      <c r="K161" s="116" t="n">
        <v>1800000</v>
      </c>
    </row>
    <row r="162" customFormat="false" ht="35.05" hidden="false" customHeight="false" outlineLevel="0" collapsed="false">
      <c r="A162" s="8" t="s">
        <v>1986</v>
      </c>
      <c r="B162" s="8" t="s">
        <v>1956</v>
      </c>
      <c r="C162" s="116" t="n">
        <v>420</v>
      </c>
      <c r="D162" s="116" t="n">
        <v>40000</v>
      </c>
      <c r="E162" s="8" t="s">
        <v>1957</v>
      </c>
      <c r="F162" s="8" t="s">
        <v>1987</v>
      </c>
      <c r="G162" s="8" t="s">
        <v>1988</v>
      </c>
      <c r="H162" s="117" t="s">
        <v>1960</v>
      </c>
      <c r="I162" s="117" t="n">
        <v>2.6</v>
      </c>
      <c r="J162" s="117" t="n">
        <v>1.6</v>
      </c>
      <c r="K162" s="116" t="n">
        <v>2100000</v>
      </c>
    </row>
    <row r="163" customFormat="false" ht="23.85" hidden="false" customHeight="false" outlineLevel="0" collapsed="false">
      <c r="A163" s="8" t="s">
        <v>1989</v>
      </c>
      <c r="B163" s="8" t="s">
        <v>1956</v>
      </c>
      <c r="C163" s="116" t="n">
        <v>270</v>
      </c>
      <c r="D163" s="116" t="n">
        <v>35000</v>
      </c>
      <c r="E163" s="8" t="s">
        <v>1946</v>
      </c>
      <c r="F163" s="8" t="s">
        <v>1990</v>
      </c>
      <c r="G163" s="8" t="s">
        <v>1991</v>
      </c>
      <c r="H163" s="117" t="s">
        <v>1992</v>
      </c>
      <c r="I163" s="117" t="n">
        <v>2.4</v>
      </c>
      <c r="J163" s="117" t="n">
        <v>1.2</v>
      </c>
      <c r="K163" s="116" t="n">
        <v>1200000</v>
      </c>
    </row>
    <row r="164" customFormat="false" ht="23.85" hidden="false" customHeight="false" outlineLevel="0" collapsed="false">
      <c r="A164" s="8" t="s">
        <v>1993</v>
      </c>
      <c r="B164" s="8" t="s">
        <v>1661</v>
      </c>
      <c r="C164" s="116" t="n">
        <v>150</v>
      </c>
      <c r="D164" s="116" t="n">
        <v>41000</v>
      </c>
      <c r="E164" s="8" t="s">
        <v>1946</v>
      </c>
      <c r="F164" s="8" t="s">
        <v>1994</v>
      </c>
      <c r="G164" s="8" t="s">
        <v>1995</v>
      </c>
      <c r="H164" s="117" t="s">
        <v>1960</v>
      </c>
      <c r="I164" s="117" t="n">
        <v>2.8</v>
      </c>
      <c r="J164" s="117" t="n">
        <v>1.4</v>
      </c>
      <c r="K164" s="116" t="n">
        <v>1100000</v>
      </c>
    </row>
    <row r="165" customFormat="false" ht="23.85" hidden="false" customHeight="false" outlineLevel="0" collapsed="false">
      <c r="A165" s="8" t="s">
        <v>1996</v>
      </c>
      <c r="B165" s="8" t="s">
        <v>1661</v>
      </c>
      <c r="C165" s="116" t="n">
        <v>310</v>
      </c>
      <c r="D165" s="116" t="n">
        <v>39000</v>
      </c>
      <c r="E165" s="8" t="s">
        <v>1957</v>
      </c>
      <c r="F165" s="8" t="s">
        <v>1997</v>
      </c>
      <c r="G165" s="8" t="s">
        <v>1998</v>
      </c>
      <c r="H165" s="117" t="s">
        <v>1960</v>
      </c>
      <c r="I165" s="117" t="n">
        <v>2.5</v>
      </c>
      <c r="J165" s="117" t="n">
        <v>1.5</v>
      </c>
      <c r="K165" s="116" t="n">
        <v>1600000</v>
      </c>
    </row>
    <row r="166" customFormat="false" ht="35.05" hidden="false" customHeight="false" outlineLevel="0" collapsed="false">
      <c r="A166" s="8" t="s">
        <v>1999</v>
      </c>
      <c r="B166" s="8" t="s">
        <v>1661</v>
      </c>
      <c r="C166" s="116" t="n">
        <v>220</v>
      </c>
      <c r="D166" s="116" t="n">
        <v>44000</v>
      </c>
      <c r="E166" s="8" t="s">
        <v>1962</v>
      </c>
      <c r="F166" s="8" t="s">
        <v>1546</v>
      </c>
      <c r="G166" s="8" t="s">
        <v>2000</v>
      </c>
      <c r="H166" s="117" t="s">
        <v>1949</v>
      </c>
      <c r="I166" s="117" t="n">
        <v>3.2</v>
      </c>
      <c r="J166" s="117" t="n">
        <v>2.1</v>
      </c>
      <c r="K166" s="116" t="n">
        <v>1500000</v>
      </c>
    </row>
    <row r="167" customFormat="false" ht="23.85" hidden="false" customHeight="false" outlineLevel="0" collapsed="false">
      <c r="A167" s="8" t="s">
        <v>2001</v>
      </c>
      <c r="B167" s="8" t="s">
        <v>1956</v>
      </c>
      <c r="C167" s="116" t="n">
        <v>180</v>
      </c>
      <c r="D167" s="116" t="n">
        <v>33000</v>
      </c>
      <c r="E167" s="8" t="s">
        <v>1946</v>
      </c>
      <c r="F167" s="8" t="s">
        <v>2002</v>
      </c>
      <c r="G167" s="8" t="s">
        <v>2003</v>
      </c>
      <c r="H167" s="117" t="s">
        <v>1960</v>
      </c>
      <c r="I167" s="117" t="n">
        <v>2.2</v>
      </c>
      <c r="J167" s="117" t="n">
        <v>1.1</v>
      </c>
      <c r="K167" s="116" t="n">
        <v>900000</v>
      </c>
    </row>
    <row r="168" customFormat="false" ht="35.05" hidden="false" customHeight="false" outlineLevel="0" collapsed="false">
      <c r="A168" s="8" t="s">
        <v>2004</v>
      </c>
      <c r="B168" s="8" t="s">
        <v>1661</v>
      </c>
      <c r="C168" s="116" t="n">
        <v>280</v>
      </c>
      <c r="D168" s="116" t="n">
        <v>36000</v>
      </c>
      <c r="E168" s="8" t="s">
        <v>1946</v>
      </c>
      <c r="F168" s="8" t="s">
        <v>2005</v>
      </c>
      <c r="G168" s="8" t="s">
        <v>2006</v>
      </c>
      <c r="H168" s="117" t="s">
        <v>1960</v>
      </c>
      <c r="I168" s="117" t="n">
        <v>2.6</v>
      </c>
      <c r="J168" s="117" t="n">
        <v>1.4</v>
      </c>
      <c r="K168" s="116" t="n">
        <v>1300000</v>
      </c>
    </row>
    <row r="169" customFormat="false" ht="23.85" hidden="false" customHeight="false" outlineLevel="0" collapsed="false">
      <c r="A169" s="8" t="s">
        <v>2007</v>
      </c>
      <c r="B169" s="8" t="s">
        <v>1661</v>
      </c>
      <c r="C169" s="116" t="n">
        <v>240</v>
      </c>
      <c r="D169" s="116" t="n">
        <v>38000</v>
      </c>
      <c r="E169" s="8" t="s">
        <v>1957</v>
      </c>
      <c r="F169" s="8" t="s">
        <v>2008</v>
      </c>
      <c r="G169" s="8" t="s">
        <v>2009</v>
      </c>
      <c r="H169" s="117" t="s">
        <v>1960</v>
      </c>
      <c r="I169" s="117" t="n">
        <v>2.3</v>
      </c>
      <c r="J169" s="117" t="n">
        <v>1.3</v>
      </c>
      <c r="K169" s="116" t="n">
        <v>1100000</v>
      </c>
    </row>
    <row r="170" customFormat="false" ht="35.05" hidden="false" customHeight="false" outlineLevel="0" collapsed="false">
      <c r="A170" s="8" t="s">
        <v>2010</v>
      </c>
      <c r="B170" s="8" t="s">
        <v>1956</v>
      </c>
      <c r="C170" s="116" t="n">
        <v>190</v>
      </c>
      <c r="D170" s="116" t="n">
        <v>34000</v>
      </c>
      <c r="E170" s="8" t="s">
        <v>1946</v>
      </c>
      <c r="F170" s="8" t="s">
        <v>2011</v>
      </c>
      <c r="G170" s="8" t="s">
        <v>2012</v>
      </c>
      <c r="H170" s="117" t="s">
        <v>2013</v>
      </c>
      <c r="I170" s="117" t="n">
        <v>2.1</v>
      </c>
      <c r="J170" s="117" t="n">
        <v>0.9</v>
      </c>
      <c r="K170" s="116" t="n">
        <v>800000</v>
      </c>
    </row>
    <row r="171" customFormat="false" ht="35.05" hidden="false" customHeight="false" outlineLevel="0" collapsed="false">
      <c r="A171" s="8" t="s">
        <v>2014</v>
      </c>
      <c r="B171" s="8" t="s">
        <v>1661</v>
      </c>
      <c r="C171" s="116" t="n">
        <v>160</v>
      </c>
      <c r="D171" s="116" t="n">
        <v>40000</v>
      </c>
      <c r="E171" s="8" t="s">
        <v>1946</v>
      </c>
      <c r="F171" s="8" t="s">
        <v>2015</v>
      </c>
      <c r="G171" s="8" t="s">
        <v>2016</v>
      </c>
      <c r="H171" s="117" t="s">
        <v>1960</v>
      </c>
      <c r="I171" s="117" t="n">
        <v>2.4</v>
      </c>
      <c r="J171" s="117" t="n">
        <v>1.2</v>
      </c>
      <c r="K171" s="116" t="n">
        <v>1000000</v>
      </c>
    </row>
    <row r="172" customFormat="false" ht="23.85" hidden="false" customHeight="false" outlineLevel="0" collapsed="false">
      <c r="A172" s="8" t="s">
        <v>2017</v>
      </c>
      <c r="B172" s="8" t="s">
        <v>1653</v>
      </c>
      <c r="C172" s="116" t="n">
        <v>120</v>
      </c>
      <c r="D172" s="116" t="n">
        <v>45000</v>
      </c>
      <c r="E172" s="8" t="s">
        <v>1957</v>
      </c>
      <c r="F172" s="8" t="s">
        <v>2018</v>
      </c>
      <c r="G172" s="8" t="s">
        <v>2019</v>
      </c>
      <c r="H172" s="117" t="s">
        <v>2020</v>
      </c>
      <c r="I172" s="117" t="n">
        <v>3.5</v>
      </c>
      <c r="J172" s="117" t="n">
        <v>2.2</v>
      </c>
      <c r="K172" s="116" t="n">
        <v>700000</v>
      </c>
    </row>
    <row r="173" customFormat="false" ht="23.85" hidden="false" customHeight="false" outlineLevel="0" collapsed="false">
      <c r="A173" s="8" t="s">
        <v>2021</v>
      </c>
      <c r="B173" s="8" t="s">
        <v>1661</v>
      </c>
      <c r="C173" s="116" t="n">
        <v>210</v>
      </c>
      <c r="D173" s="116" t="n">
        <v>32000</v>
      </c>
      <c r="E173" s="8" t="s">
        <v>1946</v>
      </c>
      <c r="F173" s="8" t="s">
        <v>2022</v>
      </c>
      <c r="G173" s="8" t="s">
        <v>2023</v>
      </c>
      <c r="H173" s="117" t="s">
        <v>1949</v>
      </c>
      <c r="I173" s="117" t="n">
        <v>2</v>
      </c>
      <c r="J173" s="117" t="n">
        <v>0.8</v>
      </c>
      <c r="K173" s="116" t="n">
        <v>900000</v>
      </c>
    </row>
    <row r="174" customFormat="false" ht="23.85" hidden="false" customHeight="false" outlineLevel="0" collapsed="false">
      <c r="A174" s="8" t="s">
        <v>2024</v>
      </c>
      <c r="B174" s="8" t="s">
        <v>1661</v>
      </c>
      <c r="C174" s="116" t="n">
        <v>85</v>
      </c>
      <c r="D174" s="116" t="n">
        <v>40000</v>
      </c>
      <c r="E174" s="8" t="s">
        <v>1951</v>
      </c>
      <c r="F174" s="8" t="s">
        <v>1952</v>
      </c>
      <c r="G174" s="8" t="s">
        <v>1953</v>
      </c>
      <c r="H174" s="117" t="s">
        <v>2025</v>
      </c>
      <c r="I174" s="117" t="n">
        <v>2.9</v>
      </c>
      <c r="J174" s="117" t="n">
        <v>1.9</v>
      </c>
      <c r="K174" s="116" t="n">
        <v>600000</v>
      </c>
    </row>
    <row r="175" customFormat="false" ht="23.85" hidden="false" customHeight="false" outlineLevel="0" collapsed="false">
      <c r="A175" s="8" t="s">
        <v>2026</v>
      </c>
      <c r="B175" s="8" t="s">
        <v>1661</v>
      </c>
      <c r="C175" s="116" t="n">
        <v>110</v>
      </c>
      <c r="D175" s="116" t="n">
        <v>42000</v>
      </c>
      <c r="E175" s="8" t="s">
        <v>1962</v>
      </c>
      <c r="F175" s="8" t="s">
        <v>1963</v>
      </c>
      <c r="G175" s="8" t="s">
        <v>1964</v>
      </c>
      <c r="H175" s="117" t="s">
        <v>2025</v>
      </c>
      <c r="I175" s="117" t="n">
        <v>2.7</v>
      </c>
      <c r="J175" s="117" t="n">
        <v>1.8</v>
      </c>
      <c r="K175" s="116" t="n">
        <v>700000</v>
      </c>
    </row>
    <row r="176" customFormat="false" ht="23.85" hidden="false" customHeight="false" outlineLevel="0" collapsed="false">
      <c r="A176" s="8" t="s">
        <v>2027</v>
      </c>
      <c r="B176" s="8" t="s">
        <v>1661</v>
      </c>
      <c r="C176" s="116" t="n">
        <v>95</v>
      </c>
      <c r="D176" s="116" t="n">
        <v>44000</v>
      </c>
      <c r="E176" s="8" t="s">
        <v>1979</v>
      </c>
      <c r="F176" s="8" t="s">
        <v>243</v>
      </c>
      <c r="G176" s="8" t="s">
        <v>1980</v>
      </c>
      <c r="H176" s="117" t="s">
        <v>2025</v>
      </c>
      <c r="I176" s="117" t="n">
        <v>2.8</v>
      </c>
      <c r="J176" s="117" t="n">
        <v>1.7</v>
      </c>
      <c r="K176" s="116" t="n">
        <v>650000</v>
      </c>
    </row>
    <row r="177" customFormat="false" ht="35.05" hidden="false" customHeight="false" outlineLevel="0" collapsed="false">
      <c r="A177" s="8" t="s">
        <v>2028</v>
      </c>
      <c r="B177" s="8" t="s">
        <v>1653</v>
      </c>
      <c r="C177" s="116" t="n">
        <v>75</v>
      </c>
      <c r="D177" s="116" t="n">
        <v>43000</v>
      </c>
      <c r="E177" s="8" t="s">
        <v>1946</v>
      </c>
      <c r="F177" s="8" t="s">
        <v>2029</v>
      </c>
      <c r="G177" s="8" t="s">
        <v>1948</v>
      </c>
      <c r="H177" s="117" t="s">
        <v>2030</v>
      </c>
      <c r="I177" s="117" t="n">
        <v>3.1</v>
      </c>
      <c r="J177" s="117" t="n">
        <v>2</v>
      </c>
      <c r="K177" s="116" t="n">
        <v>550000</v>
      </c>
    </row>
    <row r="178" customFormat="false" ht="23.85" hidden="false" customHeight="false" outlineLevel="0" collapsed="false">
      <c r="A178" s="8" t="s">
        <v>2031</v>
      </c>
      <c r="B178" s="8" t="s">
        <v>1653</v>
      </c>
      <c r="C178" s="116" t="n">
        <v>65</v>
      </c>
      <c r="D178" s="116" t="n">
        <v>41000</v>
      </c>
      <c r="E178" s="8" t="s">
        <v>1962</v>
      </c>
      <c r="F178" s="8" t="s">
        <v>1963</v>
      </c>
      <c r="G178" s="8" t="s">
        <v>1964</v>
      </c>
      <c r="H178" s="117" t="s">
        <v>2032</v>
      </c>
      <c r="I178" s="117" t="n">
        <v>2.6</v>
      </c>
      <c r="J178" s="117" t="n">
        <v>1.6</v>
      </c>
      <c r="K178" s="116" t="n">
        <v>500000</v>
      </c>
    </row>
    <row r="179" customFormat="false" ht="23.85" hidden="false" customHeight="false" outlineLevel="0" collapsed="false">
      <c r="A179" s="8" t="s">
        <v>2033</v>
      </c>
      <c r="B179" s="8" t="s">
        <v>1653</v>
      </c>
      <c r="C179" s="116" t="n">
        <v>60</v>
      </c>
      <c r="D179" s="116" t="n">
        <v>39000</v>
      </c>
      <c r="E179" s="8" t="s">
        <v>1951</v>
      </c>
      <c r="F179" s="8" t="s">
        <v>1952</v>
      </c>
      <c r="G179" s="8" t="s">
        <v>1953</v>
      </c>
      <c r="H179" s="117" t="s">
        <v>2034</v>
      </c>
      <c r="I179" s="117" t="n">
        <v>2.5</v>
      </c>
      <c r="J179" s="117" t="n">
        <v>1.5</v>
      </c>
      <c r="K179" s="116" t="n">
        <v>450000</v>
      </c>
    </row>
    <row r="180" customFormat="false" ht="23.85" hidden="false" customHeight="false" outlineLevel="0" collapsed="false">
      <c r="A180" s="8" t="s">
        <v>2035</v>
      </c>
      <c r="B180" s="8" t="s">
        <v>1661</v>
      </c>
      <c r="C180" s="116" t="n">
        <v>340</v>
      </c>
      <c r="D180" s="116" t="n">
        <v>37000</v>
      </c>
      <c r="E180" s="8" t="s">
        <v>1957</v>
      </c>
      <c r="F180" s="8" t="s">
        <v>2036</v>
      </c>
      <c r="G180" s="8" t="s">
        <v>2037</v>
      </c>
      <c r="H180" s="117" t="s">
        <v>1960</v>
      </c>
      <c r="I180" s="117" t="n">
        <v>2.7</v>
      </c>
      <c r="J180" s="117" t="n">
        <v>1.5</v>
      </c>
      <c r="K180" s="116" t="n">
        <v>1700000</v>
      </c>
    </row>
    <row r="181" customFormat="false" ht="35.05" hidden="false" customHeight="false" outlineLevel="0" collapsed="false">
      <c r="A181" s="8" t="s">
        <v>2038</v>
      </c>
      <c r="B181" s="8" t="s">
        <v>1661</v>
      </c>
      <c r="C181" s="116" t="n">
        <v>520</v>
      </c>
      <c r="D181" s="116" t="n">
        <v>43000</v>
      </c>
      <c r="E181" s="8" t="s">
        <v>1967</v>
      </c>
      <c r="F181" s="8" t="s">
        <v>2039</v>
      </c>
      <c r="G181" s="8" t="s">
        <v>2040</v>
      </c>
      <c r="H181" s="117" t="s">
        <v>1960</v>
      </c>
      <c r="I181" s="117" t="n">
        <v>4</v>
      </c>
      <c r="J181" s="117" t="n">
        <v>2.9</v>
      </c>
      <c r="K181" s="116" t="n">
        <v>2500000</v>
      </c>
    </row>
    <row r="184" customFormat="false" ht="15" hidden="false" customHeight="false" outlineLevel="0" collapsed="false">
      <c r="A184" s="118" t="s">
        <v>2041</v>
      </c>
      <c r="B184" s="118"/>
      <c r="C184" s="118"/>
      <c r="D184" s="118"/>
      <c r="E184" s="118"/>
      <c r="F184" s="118"/>
      <c r="G184" s="118"/>
      <c r="H184" s="118"/>
      <c r="I184" s="118"/>
      <c r="J184" s="118"/>
      <c r="K184" s="118"/>
      <c r="L184" s="118"/>
      <c r="M184" s="118"/>
    </row>
    <row r="186" customFormat="false" ht="39.55" hidden="false" customHeight="false" outlineLevel="0" collapsed="false">
      <c r="A186" s="3" t="s">
        <v>1881</v>
      </c>
      <c r="B186" s="3" t="s">
        <v>2042</v>
      </c>
      <c r="C186" s="3" t="s">
        <v>2043</v>
      </c>
      <c r="D186" s="3" t="s">
        <v>2044</v>
      </c>
      <c r="E186" s="3" t="s">
        <v>2045</v>
      </c>
      <c r="F186" s="3" t="s">
        <v>2046</v>
      </c>
      <c r="G186" s="3" t="s">
        <v>2047</v>
      </c>
      <c r="H186" s="3" t="s">
        <v>2048</v>
      </c>
      <c r="I186" s="3" t="s">
        <v>2049</v>
      </c>
      <c r="J186" s="3" t="s">
        <v>2050</v>
      </c>
      <c r="K186" s="3" t="s">
        <v>2051</v>
      </c>
      <c r="L186" s="3" t="s">
        <v>2052</v>
      </c>
      <c r="M186" s="3" t="s">
        <v>2053</v>
      </c>
      <c r="N186" s="3" t="s">
        <v>2054</v>
      </c>
    </row>
    <row r="187" customFormat="false" ht="57.45" hidden="false" customHeight="false" outlineLevel="0" collapsed="false">
      <c r="A187" s="73" t="s">
        <v>2055</v>
      </c>
      <c r="B187" s="73" t="s">
        <v>2056</v>
      </c>
      <c r="C187" s="73" t="s">
        <v>2057</v>
      </c>
      <c r="D187" s="73" t="s">
        <v>1653</v>
      </c>
      <c r="E187" s="75" t="s">
        <v>2058</v>
      </c>
      <c r="F187" s="75" t="s">
        <v>2059</v>
      </c>
      <c r="G187" s="75" t="s">
        <v>2060</v>
      </c>
      <c r="H187" s="75" t="s">
        <v>2061</v>
      </c>
      <c r="I187" s="75" t="s">
        <v>2062</v>
      </c>
      <c r="J187" s="75" t="s">
        <v>2063</v>
      </c>
      <c r="K187" s="75" t="s">
        <v>2064</v>
      </c>
      <c r="L187" s="75" t="s">
        <v>2065</v>
      </c>
      <c r="M187" s="75" t="s">
        <v>2066</v>
      </c>
      <c r="N187" s="75" t="s">
        <v>2067</v>
      </c>
    </row>
    <row r="188" customFormat="false" ht="46.25" hidden="false" customHeight="false" outlineLevel="0" collapsed="false">
      <c r="A188" s="73" t="s">
        <v>2055</v>
      </c>
      <c r="B188" s="73" t="s">
        <v>2056</v>
      </c>
      <c r="C188" s="73" t="s">
        <v>2068</v>
      </c>
      <c r="D188" s="73" t="s">
        <v>1653</v>
      </c>
      <c r="E188" s="75" t="s">
        <v>2069</v>
      </c>
      <c r="F188" s="75" t="s">
        <v>2070</v>
      </c>
      <c r="G188" s="75" t="s">
        <v>2071</v>
      </c>
      <c r="H188" s="75" t="s">
        <v>2072</v>
      </c>
      <c r="I188" s="75" t="s">
        <v>2073</v>
      </c>
      <c r="J188" s="75" t="s">
        <v>2074</v>
      </c>
      <c r="K188" s="75" t="s">
        <v>2075</v>
      </c>
      <c r="L188" s="75" t="s">
        <v>2065</v>
      </c>
      <c r="M188" s="75" t="s">
        <v>2076</v>
      </c>
      <c r="N188" s="75" t="s">
        <v>2077</v>
      </c>
    </row>
    <row r="189" customFormat="false" ht="46.25" hidden="false" customHeight="false" outlineLevel="0" collapsed="false">
      <c r="A189" s="73" t="s">
        <v>2055</v>
      </c>
      <c r="B189" s="73" t="s">
        <v>2056</v>
      </c>
      <c r="C189" s="73" t="s">
        <v>2078</v>
      </c>
      <c r="D189" s="73" t="s">
        <v>1653</v>
      </c>
      <c r="E189" s="75" t="s">
        <v>2079</v>
      </c>
      <c r="F189" s="75" t="s">
        <v>2080</v>
      </c>
      <c r="G189" s="75" t="s">
        <v>2081</v>
      </c>
      <c r="H189" s="75" t="s">
        <v>2082</v>
      </c>
      <c r="I189" s="75" t="s">
        <v>2083</v>
      </c>
      <c r="J189" s="75" t="s">
        <v>2084</v>
      </c>
      <c r="K189" s="75" t="s">
        <v>2085</v>
      </c>
      <c r="L189" s="75" t="s">
        <v>2065</v>
      </c>
      <c r="M189" s="75" t="s">
        <v>2086</v>
      </c>
      <c r="N189" s="75" t="s">
        <v>2087</v>
      </c>
    </row>
    <row r="190" customFormat="false" ht="68.65" hidden="false" customHeight="false" outlineLevel="0" collapsed="false">
      <c r="A190" s="73" t="s">
        <v>2055</v>
      </c>
      <c r="B190" s="73" t="s">
        <v>2088</v>
      </c>
      <c r="C190" s="73" t="s">
        <v>2089</v>
      </c>
      <c r="D190" s="73" t="s">
        <v>1661</v>
      </c>
      <c r="E190" s="75" t="s">
        <v>2090</v>
      </c>
      <c r="F190" s="75" t="s">
        <v>2091</v>
      </c>
      <c r="G190" s="75" t="s">
        <v>2092</v>
      </c>
      <c r="H190" s="75" t="s">
        <v>2093</v>
      </c>
      <c r="I190" s="75" t="s">
        <v>2094</v>
      </c>
      <c r="J190" s="75" t="s">
        <v>2095</v>
      </c>
      <c r="K190" s="75" t="s">
        <v>2096</v>
      </c>
      <c r="L190" s="75" t="s">
        <v>1176</v>
      </c>
      <c r="M190" s="75" t="s">
        <v>2066</v>
      </c>
      <c r="N190" s="75" t="s">
        <v>2097</v>
      </c>
    </row>
    <row r="191" customFormat="false" ht="68.65" hidden="false" customHeight="false" outlineLevel="0" collapsed="false">
      <c r="A191" s="73" t="s">
        <v>2055</v>
      </c>
      <c r="B191" s="73" t="s">
        <v>2098</v>
      </c>
      <c r="C191" s="73" t="s">
        <v>2099</v>
      </c>
      <c r="D191" s="73" t="s">
        <v>1661</v>
      </c>
      <c r="E191" s="75" t="s">
        <v>2100</v>
      </c>
      <c r="F191" s="75" t="s">
        <v>2101</v>
      </c>
      <c r="G191" s="75" t="s">
        <v>2102</v>
      </c>
      <c r="H191" s="75" t="s">
        <v>2103</v>
      </c>
      <c r="I191" s="75" t="s">
        <v>2104</v>
      </c>
      <c r="J191" s="75" t="s">
        <v>2105</v>
      </c>
      <c r="K191" s="75" t="s">
        <v>2106</v>
      </c>
      <c r="L191" s="75" t="s">
        <v>1176</v>
      </c>
      <c r="M191" s="75" t="s">
        <v>2076</v>
      </c>
      <c r="N191" s="75" t="s">
        <v>2107</v>
      </c>
    </row>
    <row r="192" customFormat="false" ht="91" hidden="false" customHeight="false" outlineLevel="0" collapsed="false">
      <c r="A192" s="73" t="s">
        <v>2055</v>
      </c>
      <c r="B192" s="73" t="s">
        <v>2108</v>
      </c>
      <c r="C192" s="73" t="s">
        <v>2109</v>
      </c>
      <c r="D192" s="73" t="s">
        <v>1661</v>
      </c>
      <c r="E192" s="75" t="s">
        <v>2110</v>
      </c>
      <c r="F192" s="75" t="s">
        <v>2059</v>
      </c>
      <c r="G192" s="75" t="s">
        <v>2111</v>
      </c>
      <c r="H192" s="75" t="s">
        <v>2112</v>
      </c>
      <c r="I192" s="75" t="s">
        <v>2113</v>
      </c>
      <c r="J192" s="75" t="s">
        <v>2114</v>
      </c>
      <c r="K192" s="75" t="s">
        <v>2115</v>
      </c>
      <c r="L192" s="75" t="s">
        <v>2116</v>
      </c>
      <c r="M192" s="75" t="s">
        <v>2076</v>
      </c>
      <c r="N192" s="75" t="s">
        <v>2117</v>
      </c>
    </row>
    <row r="193" customFormat="false" ht="68.65" hidden="false" customHeight="false" outlineLevel="0" collapsed="false">
      <c r="A193" s="73" t="s">
        <v>2055</v>
      </c>
      <c r="B193" s="73" t="s">
        <v>2118</v>
      </c>
      <c r="C193" s="73" t="s">
        <v>2119</v>
      </c>
      <c r="D193" s="73" t="s">
        <v>1661</v>
      </c>
      <c r="E193" s="75" t="s">
        <v>2120</v>
      </c>
      <c r="F193" s="75" t="s">
        <v>2121</v>
      </c>
      <c r="G193" s="75" t="s">
        <v>2122</v>
      </c>
      <c r="H193" s="75" t="s">
        <v>2123</v>
      </c>
      <c r="I193" s="75" t="s">
        <v>2124</v>
      </c>
      <c r="J193" s="75" t="s">
        <v>2125</v>
      </c>
      <c r="K193" s="75" t="s">
        <v>2126</v>
      </c>
      <c r="L193" s="75" t="s">
        <v>1176</v>
      </c>
      <c r="M193" s="75" t="s">
        <v>2086</v>
      </c>
      <c r="N193" s="75" t="s">
        <v>2127</v>
      </c>
    </row>
    <row r="194" customFormat="false" ht="68.65" hidden="false" customHeight="false" outlineLevel="0" collapsed="false">
      <c r="A194" s="73" t="s">
        <v>2055</v>
      </c>
      <c r="B194" s="73" t="s">
        <v>2128</v>
      </c>
      <c r="C194" s="73" t="s">
        <v>2129</v>
      </c>
      <c r="D194" s="73" t="s">
        <v>1661</v>
      </c>
      <c r="E194" s="75" t="s">
        <v>2130</v>
      </c>
      <c r="F194" s="75" t="s">
        <v>2131</v>
      </c>
      <c r="G194" s="75" t="s">
        <v>2132</v>
      </c>
      <c r="H194" s="75" t="s">
        <v>2133</v>
      </c>
      <c r="I194" s="75" t="s">
        <v>2134</v>
      </c>
      <c r="J194" s="75" t="s">
        <v>2135</v>
      </c>
      <c r="K194" s="75" t="s">
        <v>2136</v>
      </c>
      <c r="L194" s="75" t="s">
        <v>1184</v>
      </c>
      <c r="M194" s="75" t="s">
        <v>2066</v>
      </c>
      <c r="N194" s="75" t="s">
        <v>2137</v>
      </c>
    </row>
    <row r="195" customFormat="false" ht="91" hidden="false" customHeight="false" outlineLevel="0" collapsed="false">
      <c r="A195" s="73" t="s">
        <v>2055</v>
      </c>
      <c r="B195" s="73" t="s">
        <v>2138</v>
      </c>
      <c r="C195" s="73" t="s">
        <v>2139</v>
      </c>
      <c r="D195" s="73" t="s">
        <v>1661</v>
      </c>
      <c r="E195" s="75" t="s">
        <v>2090</v>
      </c>
      <c r="F195" s="75" t="s">
        <v>2140</v>
      </c>
      <c r="G195" s="75" t="s">
        <v>2141</v>
      </c>
      <c r="H195" s="75" t="s">
        <v>2142</v>
      </c>
      <c r="I195" s="75" t="s">
        <v>2143</v>
      </c>
      <c r="J195" s="75" t="s">
        <v>2144</v>
      </c>
      <c r="K195" s="75" t="s">
        <v>2145</v>
      </c>
      <c r="L195" s="75" t="s">
        <v>2146</v>
      </c>
      <c r="M195" s="75" t="s">
        <v>2076</v>
      </c>
      <c r="N195" s="75" t="s">
        <v>2147</v>
      </c>
    </row>
    <row r="196" customFormat="false" ht="68.65" hidden="false" customHeight="false" outlineLevel="0" collapsed="false">
      <c r="A196" s="73" t="s">
        <v>2055</v>
      </c>
      <c r="B196" s="73" t="s">
        <v>2148</v>
      </c>
      <c r="C196" s="73" t="s">
        <v>2149</v>
      </c>
      <c r="D196" s="73" t="s">
        <v>1661</v>
      </c>
      <c r="E196" s="75" t="s">
        <v>2150</v>
      </c>
      <c r="F196" s="75" t="s">
        <v>2151</v>
      </c>
      <c r="G196" s="75" t="s">
        <v>2152</v>
      </c>
      <c r="H196" s="75" t="s">
        <v>2153</v>
      </c>
      <c r="I196" s="75" t="s">
        <v>2154</v>
      </c>
      <c r="J196" s="75" t="s">
        <v>2155</v>
      </c>
      <c r="K196" s="75" t="s">
        <v>2156</v>
      </c>
      <c r="L196" s="75" t="s">
        <v>1184</v>
      </c>
      <c r="M196" s="75" t="s">
        <v>2086</v>
      </c>
      <c r="N196" s="75" t="s">
        <v>2157</v>
      </c>
    </row>
    <row r="197" customFormat="false" ht="57.45" hidden="false" customHeight="false" outlineLevel="0" collapsed="false">
      <c r="A197" s="73" t="s">
        <v>2055</v>
      </c>
      <c r="B197" s="73" t="s">
        <v>2158</v>
      </c>
      <c r="C197" s="73" t="s">
        <v>2159</v>
      </c>
      <c r="D197" s="73" t="s">
        <v>1661</v>
      </c>
      <c r="E197" s="75" t="s">
        <v>2160</v>
      </c>
      <c r="F197" s="75" t="s">
        <v>2161</v>
      </c>
      <c r="G197" s="75" t="s">
        <v>2162</v>
      </c>
      <c r="H197" s="75" t="s">
        <v>2163</v>
      </c>
      <c r="I197" s="75" t="s">
        <v>2164</v>
      </c>
      <c r="J197" s="75" t="s">
        <v>2165</v>
      </c>
      <c r="K197" s="75" t="s">
        <v>2166</v>
      </c>
      <c r="L197" s="75" t="s">
        <v>1190</v>
      </c>
      <c r="M197" s="75" t="s">
        <v>2076</v>
      </c>
      <c r="N197" s="75" t="s">
        <v>2167</v>
      </c>
    </row>
    <row r="198" customFormat="false" ht="57.45" hidden="false" customHeight="false" outlineLevel="0" collapsed="false">
      <c r="A198" s="73" t="s">
        <v>2055</v>
      </c>
      <c r="B198" s="73" t="s">
        <v>2168</v>
      </c>
      <c r="C198" s="73" t="s">
        <v>2169</v>
      </c>
      <c r="D198" s="73" t="s">
        <v>1661</v>
      </c>
      <c r="E198" s="75" t="s">
        <v>2120</v>
      </c>
      <c r="F198" s="75" t="s">
        <v>2170</v>
      </c>
      <c r="G198" s="75" t="s">
        <v>2171</v>
      </c>
      <c r="H198" s="75" t="s">
        <v>2172</v>
      </c>
      <c r="I198" s="75" t="s">
        <v>2104</v>
      </c>
      <c r="J198" s="75" t="s">
        <v>2173</v>
      </c>
      <c r="K198" s="75" t="s">
        <v>2174</v>
      </c>
      <c r="L198" s="75" t="s">
        <v>1190</v>
      </c>
      <c r="M198" s="75" t="s">
        <v>2076</v>
      </c>
      <c r="N198" s="75" t="s">
        <v>2175</v>
      </c>
    </row>
    <row r="199" customFormat="false" ht="57.45" hidden="false" customHeight="false" outlineLevel="0" collapsed="false">
      <c r="A199" s="73" t="s">
        <v>2055</v>
      </c>
      <c r="B199" s="73" t="s">
        <v>2176</v>
      </c>
      <c r="C199" s="73" t="s">
        <v>2177</v>
      </c>
      <c r="D199" s="73" t="s">
        <v>1661</v>
      </c>
      <c r="E199" s="75" t="s">
        <v>2069</v>
      </c>
      <c r="F199" s="75" t="s">
        <v>2178</v>
      </c>
      <c r="G199" s="75" t="s">
        <v>2179</v>
      </c>
      <c r="H199" s="75" t="s">
        <v>2180</v>
      </c>
      <c r="I199" s="75" t="s">
        <v>2164</v>
      </c>
      <c r="J199" s="75" t="s">
        <v>2181</v>
      </c>
      <c r="K199" s="75" t="s">
        <v>2182</v>
      </c>
      <c r="L199" s="75" t="s">
        <v>1195</v>
      </c>
      <c r="M199" s="75" t="s">
        <v>2076</v>
      </c>
      <c r="N199" s="75" t="s">
        <v>2183</v>
      </c>
    </row>
    <row r="200" customFormat="false" ht="57.45" hidden="false" customHeight="false" outlineLevel="0" collapsed="false">
      <c r="A200" s="73" t="s">
        <v>2055</v>
      </c>
      <c r="B200" s="73" t="s">
        <v>2184</v>
      </c>
      <c r="C200" s="73" t="s">
        <v>2185</v>
      </c>
      <c r="D200" s="73" t="s">
        <v>1661</v>
      </c>
      <c r="E200" s="75" t="s">
        <v>2130</v>
      </c>
      <c r="F200" s="75" t="s">
        <v>2186</v>
      </c>
      <c r="G200" s="75" t="s">
        <v>2187</v>
      </c>
      <c r="H200" s="75" t="s">
        <v>2188</v>
      </c>
      <c r="I200" s="75" t="s">
        <v>2189</v>
      </c>
      <c r="J200" s="75" t="s">
        <v>2190</v>
      </c>
      <c r="K200" s="75" t="s">
        <v>2191</v>
      </c>
      <c r="L200" s="75" t="s">
        <v>1195</v>
      </c>
      <c r="M200" s="75" t="s">
        <v>2076</v>
      </c>
      <c r="N200" s="75" t="s">
        <v>2192</v>
      </c>
    </row>
    <row r="201" customFormat="false" ht="57.45" hidden="false" customHeight="false" outlineLevel="0" collapsed="false">
      <c r="A201" s="73" t="s">
        <v>2055</v>
      </c>
      <c r="B201" s="73" t="s">
        <v>2193</v>
      </c>
      <c r="C201" s="73" t="s">
        <v>2194</v>
      </c>
      <c r="D201" s="73" t="s">
        <v>1956</v>
      </c>
      <c r="E201" s="75" t="s">
        <v>2195</v>
      </c>
      <c r="F201" s="75" t="s">
        <v>2101</v>
      </c>
      <c r="G201" s="75" t="s">
        <v>2196</v>
      </c>
      <c r="H201" s="75" t="s">
        <v>2197</v>
      </c>
      <c r="I201" s="75" t="s">
        <v>2198</v>
      </c>
      <c r="J201" s="75" t="s">
        <v>2199</v>
      </c>
      <c r="K201" s="75" t="s">
        <v>2200</v>
      </c>
      <c r="L201" s="75" t="s">
        <v>2065</v>
      </c>
      <c r="M201" s="75" t="s">
        <v>2076</v>
      </c>
      <c r="N201" s="75" t="s">
        <v>2201</v>
      </c>
    </row>
    <row r="202" customFormat="false" ht="46.25" hidden="false" customHeight="false" outlineLevel="0" collapsed="false">
      <c r="A202" s="73" t="s">
        <v>2055</v>
      </c>
      <c r="B202" s="73" t="s">
        <v>2202</v>
      </c>
      <c r="C202" s="73" t="s">
        <v>2203</v>
      </c>
      <c r="D202" s="73" t="s">
        <v>1956</v>
      </c>
      <c r="E202" s="75" t="s">
        <v>2204</v>
      </c>
      <c r="F202" s="75" t="s">
        <v>2205</v>
      </c>
      <c r="G202" s="75" t="s">
        <v>2206</v>
      </c>
      <c r="H202" s="75" t="s">
        <v>2207</v>
      </c>
      <c r="I202" s="75" t="s">
        <v>2208</v>
      </c>
      <c r="J202" s="75" t="s">
        <v>2209</v>
      </c>
      <c r="K202" s="75" t="s">
        <v>2210</v>
      </c>
      <c r="L202" s="75" t="s">
        <v>2065</v>
      </c>
      <c r="M202" s="75" t="s">
        <v>2076</v>
      </c>
      <c r="N202" s="75" t="s">
        <v>2211</v>
      </c>
    </row>
    <row r="203" customFormat="false" ht="68.65" hidden="false" customHeight="false" outlineLevel="0" collapsed="false">
      <c r="A203" s="73" t="s">
        <v>1898</v>
      </c>
      <c r="B203" s="73" t="s">
        <v>2212</v>
      </c>
      <c r="C203" s="73" t="s">
        <v>2213</v>
      </c>
      <c r="D203" s="73" t="s">
        <v>2214</v>
      </c>
      <c r="E203" s="75" t="s">
        <v>2215</v>
      </c>
      <c r="F203" s="75" t="s">
        <v>451</v>
      </c>
      <c r="G203" s="75" t="s">
        <v>2216</v>
      </c>
      <c r="H203" s="75" t="s">
        <v>2217</v>
      </c>
      <c r="I203" s="75" t="s">
        <v>2104</v>
      </c>
      <c r="J203" s="75" t="s">
        <v>2218</v>
      </c>
      <c r="K203" s="75" t="s">
        <v>2219</v>
      </c>
      <c r="L203" s="75" t="s">
        <v>1176</v>
      </c>
      <c r="M203" s="75" t="s">
        <v>2076</v>
      </c>
      <c r="N203" s="75" t="s">
        <v>2220</v>
      </c>
    </row>
    <row r="204" customFormat="false" ht="68.65" hidden="false" customHeight="false" outlineLevel="0" collapsed="false">
      <c r="A204" s="73" t="s">
        <v>1898</v>
      </c>
      <c r="B204" s="73" t="s">
        <v>2221</v>
      </c>
      <c r="C204" s="73" t="s">
        <v>2222</v>
      </c>
      <c r="D204" s="73" t="s">
        <v>2214</v>
      </c>
      <c r="E204" s="75" t="s">
        <v>2223</v>
      </c>
      <c r="F204" s="75" t="s">
        <v>451</v>
      </c>
      <c r="G204" s="75" t="s">
        <v>2224</v>
      </c>
      <c r="H204" s="75" t="s">
        <v>2225</v>
      </c>
      <c r="I204" s="75" t="s">
        <v>2189</v>
      </c>
      <c r="J204" s="75" t="s">
        <v>2226</v>
      </c>
      <c r="K204" s="75" t="s">
        <v>2227</v>
      </c>
      <c r="L204" s="75" t="s">
        <v>1184</v>
      </c>
      <c r="M204" s="75" t="s">
        <v>2076</v>
      </c>
      <c r="N204" s="75" t="s">
        <v>2228</v>
      </c>
    </row>
    <row r="205" customFormat="false" ht="57.45" hidden="false" customHeight="false" outlineLevel="0" collapsed="false">
      <c r="A205" s="73" t="s">
        <v>836</v>
      </c>
      <c r="B205" s="73" t="s">
        <v>2229</v>
      </c>
      <c r="C205" s="73" t="s">
        <v>2230</v>
      </c>
      <c r="D205" s="73" t="s">
        <v>2231</v>
      </c>
      <c r="E205" s="75" t="s">
        <v>2232</v>
      </c>
      <c r="F205" s="75" t="s">
        <v>451</v>
      </c>
      <c r="G205" s="75" t="s">
        <v>2233</v>
      </c>
      <c r="H205" s="75" t="s">
        <v>2234</v>
      </c>
      <c r="I205" s="75" t="s">
        <v>2235</v>
      </c>
      <c r="J205" s="75" t="s">
        <v>2236</v>
      </c>
      <c r="K205" s="75" t="s">
        <v>2237</v>
      </c>
      <c r="L205" s="75" t="s">
        <v>2065</v>
      </c>
      <c r="M205" s="75" t="s">
        <v>2238</v>
      </c>
      <c r="N205" s="75" t="s">
        <v>2239</v>
      </c>
    </row>
    <row r="206" customFormat="false" ht="91" hidden="false" customHeight="false" outlineLevel="0" collapsed="false">
      <c r="A206" s="73" t="s">
        <v>836</v>
      </c>
      <c r="B206" s="73" t="s">
        <v>2240</v>
      </c>
      <c r="C206" s="73" t="s">
        <v>2241</v>
      </c>
      <c r="D206" s="73" t="s">
        <v>2231</v>
      </c>
      <c r="E206" s="75" t="s">
        <v>2242</v>
      </c>
      <c r="F206" s="75" t="s">
        <v>451</v>
      </c>
      <c r="G206" s="75" t="s">
        <v>2243</v>
      </c>
      <c r="H206" s="75" t="s">
        <v>2244</v>
      </c>
      <c r="I206" s="75" t="s">
        <v>2245</v>
      </c>
      <c r="J206" s="75" t="s">
        <v>2246</v>
      </c>
      <c r="K206" s="75" t="s">
        <v>2247</v>
      </c>
      <c r="L206" s="75" t="s">
        <v>2248</v>
      </c>
      <c r="M206" s="75" t="s">
        <v>2249</v>
      </c>
      <c r="N206" s="75" t="s">
        <v>2250</v>
      </c>
    </row>
    <row r="207" customFormat="false" ht="46.25" hidden="false" customHeight="false" outlineLevel="0" collapsed="false">
      <c r="A207" s="73" t="s">
        <v>2055</v>
      </c>
      <c r="B207" s="73" t="s">
        <v>2251</v>
      </c>
      <c r="C207" s="73" t="s">
        <v>2252</v>
      </c>
      <c r="D207" s="73" t="s">
        <v>1653</v>
      </c>
      <c r="E207" s="75" t="s">
        <v>2160</v>
      </c>
      <c r="F207" s="75" t="s">
        <v>739</v>
      </c>
      <c r="G207" s="75" t="s">
        <v>2253</v>
      </c>
      <c r="H207" s="75" t="s">
        <v>2254</v>
      </c>
      <c r="I207" s="75" t="s">
        <v>2255</v>
      </c>
      <c r="J207" s="75" t="s">
        <v>2256</v>
      </c>
      <c r="K207" s="75" t="s">
        <v>2257</v>
      </c>
      <c r="L207" s="75" t="s">
        <v>2065</v>
      </c>
      <c r="M207" s="75" t="s">
        <v>2258</v>
      </c>
      <c r="N207" s="75" t="s">
        <v>2259</v>
      </c>
    </row>
    <row r="208" customFormat="false" ht="68.65" hidden="false" customHeight="false" outlineLevel="0" collapsed="false">
      <c r="A208" s="73" t="s">
        <v>2055</v>
      </c>
      <c r="B208" s="73" t="s">
        <v>2260</v>
      </c>
      <c r="C208" s="73" t="s">
        <v>2261</v>
      </c>
      <c r="D208" s="73" t="s">
        <v>1956</v>
      </c>
      <c r="E208" s="75" t="s">
        <v>2110</v>
      </c>
      <c r="F208" s="75" t="s">
        <v>2262</v>
      </c>
      <c r="G208" s="75" t="s">
        <v>2263</v>
      </c>
      <c r="H208" s="75" t="s">
        <v>2264</v>
      </c>
      <c r="I208" s="75" t="s">
        <v>2143</v>
      </c>
      <c r="J208" s="75" t="s">
        <v>2265</v>
      </c>
      <c r="K208" s="75" t="s">
        <v>2266</v>
      </c>
      <c r="L208" s="75" t="s">
        <v>1176</v>
      </c>
      <c r="M208" s="75" t="s">
        <v>2076</v>
      </c>
      <c r="N208" s="75" t="s">
        <v>2267</v>
      </c>
    </row>
    <row r="209" customFormat="false" ht="102.2" hidden="false" customHeight="false" outlineLevel="0" collapsed="false">
      <c r="A209" s="73" t="s">
        <v>2055</v>
      </c>
      <c r="B209" s="73" t="s">
        <v>2268</v>
      </c>
      <c r="C209" s="73" t="s">
        <v>2269</v>
      </c>
      <c r="D209" s="73" t="s">
        <v>1661</v>
      </c>
      <c r="E209" s="75" t="s">
        <v>2270</v>
      </c>
      <c r="F209" s="75" t="s">
        <v>2271</v>
      </c>
      <c r="G209" s="75" t="s">
        <v>2272</v>
      </c>
      <c r="H209" s="75" t="s">
        <v>2273</v>
      </c>
      <c r="I209" s="75" t="s">
        <v>2274</v>
      </c>
      <c r="J209" s="75" t="s">
        <v>2275</v>
      </c>
      <c r="K209" s="75" t="s">
        <v>2276</v>
      </c>
      <c r="L209" s="75" t="s">
        <v>2277</v>
      </c>
      <c r="M209" s="75" t="s">
        <v>2076</v>
      </c>
      <c r="N209" s="75" t="s">
        <v>2278</v>
      </c>
    </row>
    <row r="210" customFormat="false" ht="113.4" hidden="false" customHeight="false" outlineLevel="0" collapsed="false">
      <c r="A210" s="73" t="s">
        <v>2055</v>
      </c>
      <c r="B210" s="73" t="s">
        <v>2279</v>
      </c>
      <c r="C210" s="73" t="s">
        <v>2280</v>
      </c>
      <c r="D210" s="73" t="s">
        <v>1661</v>
      </c>
      <c r="E210" s="75" t="s">
        <v>2281</v>
      </c>
      <c r="F210" s="75" t="s">
        <v>2282</v>
      </c>
      <c r="G210" s="75" t="s">
        <v>2283</v>
      </c>
      <c r="H210" s="75" t="s">
        <v>2284</v>
      </c>
      <c r="I210" s="75" t="s">
        <v>2285</v>
      </c>
      <c r="J210" s="75" t="s">
        <v>2286</v>
      </c>
      <c r="K210" s="75" t="s">
        <v>2287</v>
      </c>
      <c r="L210" s="75" t="s">
        <v>2288</v>
      </c>
      <c r="M210" s="75" t="s">
        <v>2086</v>
      </c>
      <c r="N210" s="75" t="s">
        <v>2289</v>
      </c>
    </row>
    <row r="211" customFormat="false" ht="68.65" hidden="false" customHeight="false" outlineLevel="0" collapsed="false">
      <c r="A211" s="73" t="s">
        <v>2055</v>
      </c>
      <c r="B211" s="73" t="s">
        <v>2290</v>
      </c>
      <c r="C211" s="73" t="s">
        <v>2291</v>
      </c>
      <c r="D211" s="73" t="s">
        <v>1661</v>
      </c>
      <c r="E211" s="75" t="s">
        <v>2058</v>
      </c>
      <c r="F211" s="75" t="s">
        <v>2292</v>
      </c>
      <c r="G211" s="75" t="s">
        <v>2293</v>
      </c>
      <c r="H211" s="75" t="s">
        <v>2294</v>
      </c>
      <c r="I211" s="75" t="s">
        <v>2295</v>
      </c>
      <c r="J211" s="75" t="s">
        <v>2296</v>
      </c>
      <c r="K211" s="75" t="s">
        <v>2297</v>
      </c>
      <c r="L211" s="75" t="s">
        <v>1184</v>
      </c>
      <c r="M211" s="75" t="s">
        <v>2076</v>
      </c>
      <c r="N211" s="75" t="s">
        <v>2298</v>
      </c>
    </row>
    <row r="212" customFormat="false" ht="68.65" hidden="false" customHeight="false" outlineLevel="0" collapsed="false">
      <c r="A212" s="73" t="s">
        <v>2055</v>
      </c>
      <c r="B212" s="73" t="s">
        <v>2299</v>
      </c>
      <c r="C212" s="73" t="s">
        <v>2300</v>
      </c>
      <c r="D212" s="73" t="s">
        <v>1661</v>
      </c>
      <c r="E212" s="75" t="s">
        <v>2301</v>
      </c>
      <c r="F212" s="75" t="s">
        <v>2121</v>
      </c>
      <c r="G212" s="75" t="s">
        <v>2302</v>
      </c>
      <c r="H212" s="75" t="s">
        <v>2303</v>
      </c>
      <c r="I212" s="75" t="s">
        <v>2304</v>
      </c>
      <c r="J212" s="75" t="s">
        <v>2305</v>
      </c>
      <c r="K212" s="75" t="s">
        <v>2306</v>
      </c>
      <c r="L212" s="75" t="s">
        <v>1184</v>
      </c>
      <c r="M212" s="75" t="s">
        <v>2076</v>
      </c>
      <c r="N212" s="75" t="s">
        <v>2307</v>
      </c>
    </row>
    <row r="213" customFormat="false" ht="57.45" hidden="false" customHeight="false" outlineLevel="0" collapsed="false">
      <c r="A213" s="73" t="s">
        <v>2055</v>
      </c>
      <c r="B213" s="73" t="s">
        <v>2308</v>
      </c>
      <c r="C213" s="73" t="s">
        <v>2309</v>
      </c>
      <c r="D213" s="73" t="s">
        <v>1661</v>
      </c>
      <c r="E213" s="75" t="s">
        <v>2100</v>
      </c>
      <c r="F213" s="75" t="s">
        <v>2310</v>
      </c>
      <c r="G213" s="75" t="s">
        <v>2311</v>
      </c>
      <c r="H213" s="75" t="s">
        <v>2312</v>
      </c>
      <c r="I213" s="75" t="s">
        <v>2313</v>
      </c>
      <c r="J213" s="75" t="s">
        <v>2314</v>
      </c>
      <c r="K213" s="75" t="s">
        <v>2315</v>
      </c>
      <c r="L213" s="75" t="s">
        <v>1190</v>
      </c>
      <c r="M213" s="75" t="s">
        <v>2076</v>
      </c>
      <c r="N213" s="75" t="s">
        <v>2316</v>
      </c>
    </row>
    <row r="214" customFormat="false" ht="57.45" hidden="false" customHeight="false" outlineLevel="0" collapsed="false">
      <c r="A214" s="73" t="s">
        <v>2055</v>
      </c>
      <c r="B214" s="73" t="s">
        <v>2317</v>
      </c>
      <c r="C214" s="73" t="s">
        <v>2318</v>
      </c>
      <c r="D214" s="73" t="s">
        <v>1661</v>
      </c>
      <c r="E214" s="75" t="s">
        <v>2215</v>
      </c>
      <c r="F214" s="75" t="s">
        <v>2319</v>
      </c>
      <c r="G214" s="75" t="s">
        <v>2320</v>
      </c>
      <c r="H214" s="75" t="s">
        <v>2321</v>
      </c>
      <c r="I214" s="75" t="s">
        <v>2322</v>
      </c>
      <c r="J214" s="75" t="s">
        <v>2323</v>
      </c>
      <c r="K214" s="75" t="s">
        <v>2324</v>
      </c>
      <c r="L214" s="75" t="s">
        <v>1190</v>
      </c>
      <c r="M214" s="75" t="s">
        <v>2076</v>
      </c>
      <c r="N214" s="75" t="s">
        <v>2325</v>
      </c>
    </row>
    <row r="215" customFormat="false" ht="57.45" hidden="false" customHeight="false" outlineLevel="0" collapsed="false">
      <c r="A215" s="73" t="s">
        <v>2055</v>
      </c>
      <c r="B215" s="73" t="s">
        <v>2326</v>
      </c>
      <c r="C215" s="73" t="s">
        <v>2327</v>
      </c>
      <c r="D215" s="73" t="s">
        <v>1661</v>
      </c>
      <c r="E215" s="75" t="s">
        <v>2090</v>
      </c>
      <c r="F215" s="75" t="s">
        <v>2328</v>
      </c>
      <c r="G215" s="75" t="s">
        <v>2329</v>
      </c>
      <c r="H215" s="75" t="s">
        <v>2330</v>
      </c>
      <c r="I215" s="75" t="s">
        <v>2143</v>
      </c>
      <c r="J215" s="75" t="s">
        <v>2331</v>
      </c>
      <c r="K215" s="75" t="s">
        <v>2332</v>
      </c>
      <c r="L215" s="75" t="s">
        <v>1195</v>
      </c>
      <c r="M215" s="75" t="s">
        <v>2076</v>
      </c>
      <c r="N215" s="75" t="s">
        <v>2333</v>
      </c>
    </row>
    <row r="216" customFormat="false" ht="57.45" hidden="false" customHeight="false" outlineLevel="0" collapsed="false">
      <c r="A216" s="73" t="s">
        <v>2055</v>
      </c>
      <c r="B216" s="73" t="s">
        <v>2334</v>
      </c>
      <c r="C216" s="73" t="s">
        <v>2335</v>
      </c>
      <c r="D216" s="73" t="s">
        <v>1661</v>
      </c>
      <c r="E216" s="75" t="s">
        <v>2336</v>
      </c>
      <c r="F216" s="75" t="s">
        <v>2310</v>
      </c>
      <c r="G216" s="75" t="s">
        <v>2337</v>
      </c>
      <c r="H216" s="75" t="s">
        <v>2338</v>
      </c>
      <c r="I216" s="75" t="s">
        <v>2304</v>
      </c>
      <c r="J216" s="75" t="s">
        <v>2339</v>
      </c>
      <c r="K216" s="75" t="s">
        <v>2340</v>
      </c>
      <c r="L216" s="75" t="s">
        <v>1195</v>
      </c>
      <c r="M216" s="75" t="s">
        <v>2076</v>
      </c>
      <c r="N216" s="75" t="s">
        <v>2341</v>
      </c>
    </row>
    <row r="217" customFormat="false" ht="57.45" hidden="false" customHeight="false" outlineLevel="0" collapsed="false">
      <c r="A217" s="73" t="s">
        <v>2055</v>
      </c>
      <c r="B217" s="73" t="s">
        <v>2342</v>
      </c>
      <c r="C217" s="73" t="s">
        <v>2343</v>
      </c>
      <c r="D217" s="73" t="s">
        <v>1661</v>
      </c>
      <c r="E217" s="75" t="s">
        <v>2110</v>
      </c>
      <c r="F217" s="75" t="s">
        <v>2344</v>
      </c>
      <c r="G217" s="75" t="s">
        <v>2345</v>
      </c>
      <c r="H217" s="75" t="s">
        <v>2346</v>
      </c>
      <c r="I217" s="75" t="s">
        <v>2143</v>
      </c>
      <c r="J217" s="75" t="s">
        <v>2347</v>
      </c>
      <c r="K217" s="75" t="s">
        <v>2348</v>
      </c>
      <c r="L217" s="75" t="s">
        <v>1195</v>
      </c>
      <c r="M217" s="75" t="s">
        <v>2076</v>
      </c>
      <c r="N217" s="75" t="s">
        <v>2349</v>
      </c>
    </row>
    <row r="218" customFormat="false" ht="46.25" hidden="false" customHeight="false" outlineLevel="0" collapsed="false">
      <c r="A218" s="73" t="s">
        <v>1898</v>
      </c>
      <c r="B218" s="73" t="s">
        <v>2350</v>
      </c>
      <c r="C218" s="73" t="s">
        <v>2351</v>
      </c>
      <c r="D218" s="73" t="s">
        <v>2214</v>
      </c>
      <c r="E218" s="75" t="s">
        <v>2352</v>
      </c>
      <c r="F218" s="75" t="s">
        <v>451</v>
      </c>
      <c r="G218" s="75" t="s">
        <v>2353</v>
      </c>
      <c r="H218" s="75" t="s">
        <v>2354</v>
      </c>
      <c r="I218" s="75" t="s">
        <v>2355</v>
      </c>
      <c r="J218" s="75" t="s">
        <v>2356</v>
      </c>
      <c r="K218" s="75" t="s">
        <v>2227</v>
      </c>
      <c r="L218" s="75" t="s">
        <v>2065</v>
      </c>
      <c r="M218" s="75" t="s">
        <v>2076</v>
      </c>
      <c r="N218" s="75" t="s">
        <v>2357</v>
      </c>
    </row>
    <row r="219" customFormat="false" ht="46.25" hidden="false" customHeight="false" outlineLevel="0" collapsed="false">
      <c r="A219" s="73" t="s">
        <v>1898</v>
      </c>
      <c r="B219" s="73" t="s">
        <v>2358</v>
      </c>
      <c r="C219" s="73" t="s">
        <v>2359</v>
      </c>
      <c r="D219" s="73" t="s">
        <v>2214</v>
      </c>
      <c r="E219" s="75" t="s">
        <v>2360</v>
      </c>
      <c r="F219" s="75" t="s">
        <v>451</v>
      </c>
      <c r="G219" s="75" t="s">
        <v>2361</v>
      </c>
      <c r="H219" s="75" t="s">
        <v>2362</v>
      </c>
      <c r="I219" s="75" t="s">
        <v>2363</v>
      </c>
      <c r="J219" s="75" t="s">
        <v>2364</v>
      </c>
      <c r="K219" s="75" t="s">
        <v>2365</v>
      </c>
      <c r="L219" s="75" t="s">
        <v>2065</v>
      </c>
      <c r="M219" s="75" t="s">
        <v>2249</v>
      </c>
      <c r="N219" s="75" t="s">
        <v>2366</v>
      </c>
    </row>
    <row r="220" customFormat="false" ht="46.25" hidden="false" customHeight="false" outlineLevel="0" collapsed="false">
      <c r="A220" s="73" t="s">
        <v>836</v>
      </c>
      <c r="B220" s="73" t="s">
        <v>2367</v>
      </c>
      <c r="C220" s="73" t="s">
        <v>2368</v>
      </c>
      <c r="D220" s="73" t="s">
        <v>2231</v>
      </c>
      <c r="E220" s="75" t="s">
        <v>2369</v>
      </c>
      <c r="F220" s="75" t="s">
        <v>451</v>
      </c>
      <c r="G220" s="75" t="s">
        <v>2370</v>
      </c>
      <c r="H220" s="75" t="s">
        <v>2371</v>
      </c>
      <c r="I220" s="75" t="s">
        <v>2372</v>
      </c>
      <c r="J220" s="75" t="s">
        <v>2373</v>
      </c>
      <c r="K220" s="75" t="s">
        <v>2374</v>
      </c>
      <c r="L220" s="75" t="s">
        <v>2065</v>
      </c>
      <c r="M220" s="75" t="s">
        <v>2375</v>
      </c>
      <c r="N220" s="75" t="s">
        <v>2376</v>
      </c>
    </row>
    <row r="221" customFormat="false" ht="91" hidden="false" customHeight="false" outlineLevel="0" collapsed="false">
      <c r="A221" s="73" t="s">
        <v>836</v>
      </c>
      <c r="B221" s="73" t="s">
        <v>2377</v>
      </c>
      <c r="C221" s="73" t="s">
        <v>2378</v>
      </c>
      <c r="D221" s="73" t="s">
        <v>2231</v>
      </c>
      <c r="E221" s="75" t="s">
        <v>2379</v>
      </c>
      <c r="F221" s="75" t="s">
        <v>451</v>
      </c>
      <c r="G221" s="75" t="s">
        <v>2380</v>
      </c>
      <c r="H221" s="75" t="s">
        <v>2381</v>
      </c>
      <c r="I221" s="75" t="s">
        <v>2382</v>
      </c>
      <c r="J221" s="75" t="s">
        <v>2383</v>
      </c>
      <c r="K221" s="75" t="s">
        <v>2384</v>
      </c>
      <c r="L221" s="75" t="s">
        <v>2248</v>
      </c>
      <c r="M221" s="75" t="s">
        <v>2385</v>
      </c>
      <c r="N221" s="75" t="s">
        <v>2386</v>
      </c>
    </row>
  </sheetData>
  <mergeCells count="8">
    <mergeCell ref="A1:J1"/>
    <mergeCell ref="A3:J3"/>
    <mergeCell ref="A26:J26"/>
    <mergeCell ref="A55:J55"/>
    <mergeCell ref="A74:J74"/>
    <mergeCell ref="A99:J99"/>
    <mergeCell ref="A115:J115"/>
    <mergeCell ref="A184:M1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77F2"/>
    <pageSetUpPr fitToPage="false"/>
  </sheetPr>
  <dimension ref="A1:P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9" min="1" style="1" width="24"/>
  </cols>
  <sheetData>
    <row r="1" customFormat="false" ht="15" hidden="false" customHeight="true" outlineLevel="0" collapsed="false">
      <c r="A1" s="119" t="s">
        <v>2387</v>
      </c>
      <c r="B1" s="119"/>
      <c r="C1" s="119"/>
      <c r="D1" s="119"/>
      <c r="E1" s="119"/>
      <c r="F1" s="119"/>
      <c r="G1" s="119"/>
      <c r="H1" s="119"/>
    </row>
    <row r="3" customFormat="false" ht="15" hidden="false" customHeight="true" outlineLevel="0" collapsed="false">
      <c r="A3" s="120" t="s">
        <v>2388</v>
      </c>
      <c r="B3" s="120"/>
      <c r="C3" s="120"/>
      <c r="D3" s="120"/>
      <c r="E3" s="120"/>
      <c r="F3" s="120"/>
      <c r="G3" s="120"/>
      <c r="H3" s="120"/>
    </row>
    <row r="4" customFormat="false" ht="15" hidden="false" customHeight="true" outlineLevel="0" collapsed="false">
      <c r="A4" s="121" t="s">
        <v>1589</v>
      </c>
      <c r="B4" s="121" t="s">
        <v>2389</v>
      </c>
      <c r="C4" s="121" t="s">
        <v>2390</v>
      </c>
      <c r="D4" s="121" t="s">
        <v>2391</v>
      </c>
      <c r="E4" s="121" t="s">
        <v>2392</v>
      </c>
      <c r="F4" s="121" t="s">
        <v>1795</v>
      </c>
      <c r="G4" s="121" t="s">
        <v>2393</v>
      </c>
      <c r="H4" s="121" t="s">
        <v>2394</v>
      </c>
    </row>
    <row r="5" customFormat="false" ht="23.25" hidden="false" customHeight="true" outlineLevel="0" collapsed="false">
      <c r="A5" s="83" t="s">
        <v>2395</v>
      </c>
      <c r="B5" s="83" t="s">
        <v>2396</v>
      </c>
      <c r="C5" s="83" t="s">
        <v>2397</v>
      </c>
      <c r="D5" s="83" t="s">
        <v>2398</v>
      </c>
      <c r="E5" s="83" t="n">
        <f aca="false">0.38*'1. Input'!B15*0.25/6</f>
        <v>134583333.333333</v>
      </c>
      <c r="F5" s="83" t="s">
        <v>1799</v>
      </c>
      <c r="G5" s="83" t="s">
        <v>2399</v>
      </c>
      <c r="H5" s="83" t="s">
        <v>2400</v>
      </c>
    </row>
    <row r="6" customFormat="false" ht="23.25" hidden="false" customHeight="true" outlineLevel="0" collapsed="false">
      <c r="A6" s="85" t="s">
        <v>2401</v>
      </c>
      <c r="B6" s="85" t="s">
        <v>2396</v>
      </c>
      <c r="C6" s="85" t="s">
        <v>2402</v>
      </c>
      <c r="D6" s="85" t="s">
        <v>2403</v>
      </c>
      <c r="E6" s="85" t="n">
        <f aca="false">0.38*'1. Input'!B15*0.12/6</f>
        <v>64600000</v>
      </c>
      <c r="F6" s="85" t="s">
        <v>1829</v>
      </c>
      <c r="G6" s="85" t="s">
        <v>2399</v>
      </c>
      <c r="H6" s="85" t="s">
        <v>2404</v>
      </c>
    </row>
    <row r="7" customFormat="false" ht="23.25" hidden="false" customHeight="true" outlineLevel="0" collapsed="false">
      <c r="A7" s="83" t="s">
        <v>2405</v>
      </c>
      <c r="B7" s="83" t="s">
        <v>2396</v>
      </c>
      <c r="C7" s="83" t="s">
        <v>2406</v>
      </c>
      <c r="D7" s="83" t="s">
        <v>2407</v>
      </c>
      <c r="E7" s="83" t="n">
        <f aca="false">0.38*'1. Input'!B15*0.18/6</f>
        <v>96900000</v>
      </c>
      <c r="F7" s="83" t="s">
        <v>1805</v>
      </c>
      <c r="G7" s="83" t="s">
        <v>2408</v>
      </c>
      <c r="H7" s="83" t="s">
        <v>2404</v>
      </c>
    </row>
    <row r="8" customFormat="false" ht="15" hidden="false" customHeight="true" outlineLevel="0" collapsed="false">
      <c r="A8" s="85" t="s">
        <v>2409</v>
      </c>
      <c r="B8" s="85" t="s">
        <v>2396</v>
      </c>
      <c r="C8" s="85" t="s">
        <v>2410</v>
      </c>
      <c r="D8" s="85" t="s">
        <v>2411</v>
      </c>
      <c r="E8" s="85" t="n">
        <f aca="false">0.38*'1. Input'!B15*0.15/6</f>
        <v>80750000</v>
      </c>
      <c r="F8" s="85" t="s">
        <v>1810</v>
      </c>
      <c r="G8" s="85" t="s">
        <v>2408</v>
      </c>
      <c r="H8" s="85" t="s">
        <v>2412</v>
      </c>
    </row>
    <row r="9" customFormat="false" ht="15" hidden="false" customHeight="true" outlineLevel="0" collapsed="false">
      <c r="A9" s="83" t="s">
        <v>2413</v>
      </c>
      <c r="B9" s="83" t="s">
        <v>2396</v>
      </c>
      <c r="C9" s="83" t="s">
        <v>2414</v>
      </c>
      <c r="D9" s="83" t="s">
        <v>2415</v>
      </c>
      <c r="E9" s="83" t="n">
        <f aca="false">0.38*'1. Input'!B15*0.08/6</f>
        <v>43066666.6666667</v>
      </c>
      <c r="F9" s="83" t="s">
        <v>1834</v>
      </c>
      <c r="G9" s="83" t="s">
        <v>2408</v>
      </c>
      <c r="H9" s="83" t="s">
        <v>2412</v>
      </c>
    </row>
    <row r="10" customFormat="false" ht="23.25" hidden="false" customHeight="true" outlineLevel="0" collapsed="false">
      <c r="A10" s="85" t="s">
        <v>2416</v>
      </c>
      <c r="B10" s="85" t="s">
        <v>2417</v>
      </c>
      <c r="C10" s="85" t="s">
        <v>2418</v>
      </c>
      <c r="D10" s="85" t="s">
        <v>2419</v>
      </c>
      <c r="E10" s="85" t="n">
        <f aca="false">0.38*'1. Input'!B15*0.2/6</f>
        <v>107666666.666667</v>
      </c>
      <c r="F10" s="85" t="s">
        <v>1814</v>
      </c>
      <c r="G10" s="85" t="s">
        <v>2420</v>
      </c>
      <c r="H10" s="85" t="s">
        <v>2421</v>
      </c>
    </row>
    <row r="11" customFormat="false" ht="23.25" hidden="false" customHeight="true" outlineLevel="0" collapsed="false">
      <c r="A11" s="83" t="s">
        <v>2422</v>
      </c>
      <c r="B11" s="83" t="s">
        <v>2417</v>
      </c>
      <c r="C11" s="83" t="s">
        <v>2423</v>
      </c>
      <c r="D11" s="83" t="s">
        <v>2424</v>
      </c>
      <c r="E11" s="83" t="n">
        <f aca="false">0.38*'1. Input'!B15*0.2/6</f>
        <v>107666666.666667</v>
      </c>
      <c r="F11" s="83" t="s">
        <v>1819</v>
      </c>
      <c r="G11" s="83" t="s">
        <v>2425</v>
      </c>
      <c r="H11" s="83" t="s">
        <v>2426</v>
      </c>
    </row>
    <row r="12" customFormat="false" ht="23.25" hidden="false" customHeight="true" outlineLevel="0" collapsed="false">
      <c r="A12" s="85" t="s">
        <v>2427</v>
      </c>
      <c r="B12" s="85" t="s">
        <v>2417</v>
      </c>
      <c r="C12" s="85" t="s">
        <v>2428</v>
      </c>
      <c r="D12" s="85" t="s">
        <v>2429</v>
      </c>
      <c r="E12" s="85" t="n">
        <f aca="false">0.12*'1. Input'!B15*0.5/6</f>
        <v>85000000</v>
      </c>
      <c r="F12" s="85" t="s">
        <v>2430</v>
      </c>
      <c r="G12" s="85" t="s">
        <v>2431</v>
      </c>
      <c r="H12" s="85" t="s">
        <v>2432</v>
      </c>
    </row>
    <row r="14" customFormat="false" ht="15" hidden="false" customHeight="true" outlineLevel="0" collapsed="false">
      <c r="A14" s="120" t="s">
        <v>2433</v>
      </c>
      <c r="B14" s="120"/>
      <c r="C14" s="120"/>
      <c r="D14" s="120"/>
      <c r="E14" s="120"/>
      <c r="F14" s="120"/>
      <c r="G14" s="120"/>
      <c r="H14" s="120"/>
    </row>
    <row r="15" customFormat="false" ht="15" hidden="false" customHeight="true" outlineLevel="0" collapsed="false">
      <c r="A15" s="121" t="s">
        <v>1752</v>
      </c>
      <c r="B15" s="121" t="s">
        <v>1753</v>
      </c>
      <c r="C15" s="121" t="s">
        <v>1754</v>
      </c>
      <c r="D15" s="121" t="s">
        <v>1840</v>
      </c>
      <c r="E15" s="121" t="s">
        <v>576</v>
      </c>
      <c r="F15" s="121" t="s">
        <v>412</v>
      </c>
    </row>
    <row r="16" customFormat="false" ht="23.25" hidden="false" customHeight="true" outlineLevel="0" collapsed="false">
      <c r="A16" s="83" t="s">
        <v>490</v>
      </c>
      <c r="B16" s="83" t="s">
        <v>2434</v>
      </c>
      <c r="C16" s="83" t="s">
        <v>2435</v>
      </c>
      <c r="D16" s="83" t="s">
        <v>2436</v>
      </c>
      <c r="E16" s="83" t="s">
        <v>527</v>
      </c>
      <c r="F16" s="83" t="s">
        <v>1759</v>
      </c>
    </row>
    <row r="17" customFormat="false" ht="23.25" hidden="false" customHeight="true" outlineLevel="0" collapsed="false">
      <c r="A17" s="85" t="s">
        <v>496</v>
      </c>
      <c r="B17" s="85" t="s">
        <v>2437</v>
      </c>
      <c r="C17" s="85" t="s">
        <v>2438</v>
      </c>
      <c r="D17" s="85" t="s">
        <v>2439</v>
      </c>
      <c r="E17" s="85" t="s">
        <v>527</v>
      </c>
      <c r="F17" s="85" t="s">
        <v>1759</v>
      </c>
    </row>
    <row r="18" customFormat="false" ht="23.25" hidden="false" customHeight="true" outlineLevel="0" collapsed="false">
      <c r="A18" s="83" t="s">
        <v>502</v>
      </c>
      <c r="B18" s="83" t="s">
        <v>2440</v>
      </c>
      <c r="C18" s="83" t="s">
        <v>2441</v>
      </c>
      <c r="D18" s="83" t="s">
        <v>2442</v>
      </c>
      <c r="E18" s="83" t="s">
        <v>1772</v>
      </c>
      <c r="F18" s="83" t="s">
        <v>1759</v>
      </c>
    </row>
    <row r="19" customFormat="false" ht="23.25" hidden="false" customHeight="true" outlineLevel="0" collapsed="false">
      <c r="A19" s="85" t="s">
        <v>507</v>
      </c>
      <c r="B19" s="85" t="s">
        <v>2443</v>
      </c>
      <c r="C19" s="85" t="s">
        <v>2444</v>
      </c>
      <c r="D19" s="85" t="s">
        <v>2445</v>
      </c>
      <c r="E19" s="85" t="s">
        <v>1772</v>
      </c>
      <c r="F19" s="85" t="s">
        <v>1759</v>
      </c>
    </row>
    <row r="20" customFormat="false" ht="23.25" hidden="false" customHeight="true" outlineLevel="0" collapsed="false">
      <c r="A20" s="83" t="s">
        <v>511</v>
      </c>
      <c r="B20" s="83" t="s">
        <v>2446</v>
      </c>
      <c r="C20" s="83" t="s">
        <v>2447</v>
      </c>
      <c r="D20" s="83" t="s">
        <v>2448</v>
      </c>
      <c r="E20" s="83" t="s">
        <v>527</v>
      </c>
      <c r="F20" s="83" t="s">
        <v>1759</v>
      </c>
    </row>
    <row r="21" customFormat="false" ht="23.25" hidden="false" customHeight="true" outlineLevel="0" collapsed="false">
      <c r="A21" s="85" t="s">
        <v>516</v>
      </c>
      <c r="B21" s="85" t="s">
        <v>2449</v>
      </c>
      <c r="C21" s="85" t="s">
        <v>2450</v>
      </c>
      <c r="D21" s="85" t="s">
        <v>2451</v>
      </c>
      <c r="E21" s="85" t="s">
        <v>1772</v>
      </c>
      <c r="F21" s="85" t="s">
        <v>1759</v>
      </c>
    </row>
    <row r="22" customFormat="false" ht="23.25" hidden="false" customHeight="true" outlineLevel="0" collapsed="false">
      <c r="A22" s="83" t="s">
        <v>519</v>
      </c>
      <c r="B22" s="83" t="s">
        <v>2452</v>
      </c>
      <c r="C22" s="83" t="s">
        <v>2453</v>
      </c>
      <c r="D22" s="83" t="s">
        <v>2442</v>
      </c>
      <c r="E22" s="83" t="s">
        <v>1780</v>
      </c>
      <c r="F22" s="83" t="s">
        <v>1759</v>
      </c>
    </row>
    <row r="23" customFormat="false" ht="23.25" hidden="false" customHeight="true" outlineLevel="0" collapsed="false">
      <c r="A23" s="85" t="s">
        <v>523</v>
      </c>
      <c r="B23" s="85" t="s">
        <v>2454</v>
      </c>
      <c r="C23" s="85" t="s">
        <v>2455</v>
      </c>
      <c r="D23" s="85" t="s">
        <v>447</v>
      </c>
      <c r="E23" s="85" t="s">
        <v>2456</v>
      </c>
      <c r="F23" s="85" t="s">
        <v>1759</v>
      </c>
    </row>
    <row r="25" customFormat="false" ht="15" hidden="false" customHeight="true" outlineLevel="0" collapsed="false">
      <c r="A25" s="6" t="s">
        <v>2457</v>
      </c>
    </row>
    <row r="26" customFormat="false" ht="15" hidden="false" customHeight="true" outlineLevel="0" collapsed="false">
      <c r="A26" s="3" t="s">
        <v>1589</v>
      </c>
      <c r="B26" s="3" t="s">
        <v>2458</v>
      </c>
      <c r="C26" s="3" t="s">
        <v>1883</v>
      </c>
      <c r="D26" s="3" t="s">
        <v>2459</v>
      </c>
      <c r="E26" s="3" t="s">
        <v>1552</v>
      </c>
      <c r="F26" s="3" t="s">
        <v>2460</v>
      </c>
      <c r="G26" s="3" t="s">
        <v>2461</v>
      </c>
      <c r="H26" s="3" t="s">
        <v>2462</v>
      </c>
      <c r="I26" s="3" t="s">
        <v>440</v>
      </c>
    </row>
    <row r="27" customFormat="false" ht="23.25" hidden="false" customHeight="true" outlineLevel="0" collapsed="false">
      <c r="A27" s="4" t="s">
        <v>2395</v>
      </c>
      <c r="B27" s="4" t="s">
        <v>2463</v>
      </c>
      <c r="C27" s="4" t="n">
        <v>3</v>
      </c>
      <c r="D27" s="4" t="s">
        <v>2464</v>
      </c>
      <c r="E27" s="4" t="s">
        <v>2465</v>
      </c>
      <c r="F27" s="4" t="s">
        <v>2466</v>
      </c>
      <c r="G27" s="4" t="s">
        <v>2467</v>
      </c>
      <c r="H27" s="4" t="s">
        <v>2468</v>
      </c>
      <c r="I27" s="4" t="s">
        <v>2469</v>
      </c>
    </row>
    <row r="28" customFormat="false" ht="34.5" hidden="false" customHeight="true" outlineLevel="0" collapsed="false">
      <c r="A28" s="5" t="s">
        <v>2395</v>
      </c>
      <c r="B28" s="5" t="s">
        <v>2470</v>
      </c>
      <c r="C28" s="5" t="n">
        <v>2</v>
      </c>
      <c r="D28" s="5" t="s">
        <v>2471</v>
      </c>
      <c r="E28" s="5" t="s">
        <v>2472</v>
      </c>
      <c r="F28" s="5" t="s">
        <v>2473</v>
      </c>
      <c r="G28" s="5" t="s">
        <v>1904</v>
      </c>
      <c r="H28" s="5" t="s">
        <v>2474</v>
      </c>
      <c r="I28" s="5" t="s">
        <v>2475</v>
      </c>
    </row>
    <row r="29" customFormat="false" ht="23.25" hidden="false" customHeight="true" outlineLevel="0" collapsed="false">
      <c r="A29" s="4" t="s">
        <v>2395</v>
      </c>
      <c r="B29" s="4" t="s">
        <v>2476</v>
      </c>
      <c r="C29" s="4" t="n">
        <v>2</v>
      </c>
      <c r="D29" s="4" t="s">
        <v>2471</v>
      </c>
      <c r="E29" s="4" t="s">
        <v>2477</v>
      </c>
      <c r="F29" s="4" t="s">
        <v>2478</v>
      </c>
      <c r="G29" s="4" t="s">
        <v>2479</v>
      </c>
      <c r="H29" s="4" t="s">
        <v>2480</v>
      </c>
      <c r="I29" s="4" t="s">
        <v>2481</v>
      </c>
    </row>
    <row r="30" customFormat="false" ht="23.25" hidden="false" customHeight="true" outlineLevel="0" collapsed="false">
      <c r="A30" s="5" t="s">
        <v>2405</v>
      </c>
      <c r="B30" s="5" t="s">
        <v>2482</v>
      </c>
      <c r="C30" s="5" t="n">
        <v>2</v>
      </c>
      <c r="D30" s="5" t="s">
        <v>2483</v>
      </c>
      <c r="E30" s="5" t="s">
        <v>2484</v>
      </c>
      <c r="F30" s="5" t="s">
        <v>2485</v>
      </c>
      <c r="G30" s="5" t="s">
        <v>1904</v>
      </c>
      <c r="H30" s="5" t="s">
        <v>2486</v>
      </c>
      <c r="I30" s="5" t="s">
        <v>2487</v>
      </c>
    </row>
    <row r="31" customFormat="false" ht="34.5" hidden="false" customHeight="true" outlineLevel="0" collapsed="false">
      <c r="A31" s="4" t="s">
        <v>2405</v>
      </c>
      <c r="B31" s="4" t="s">
        <v>2488</v>
      </c>
      <c r="C31" s="4" t="n">
        <v>2</v>
      </c>
      <c r="D31" s="4" t="s">
        <v>2471</v>
      </c>
      <c r="E31" s="4" t="s">
        <v>2489</v>
      </c>
      <c r="F31" s="4" t="s">
        <v>2490</v>
      </c>
      <c r="G31" s="4" t="s">
        <v>1904</v>
      </c>
      <c r="H31" s="4" t="s">
        <v>2491</v>
      </c>
      <c r="I31" s="4" t="s">
        <v>2492</v>
      </c>
    </row>
    <row r="32" customFormat="false" ht="34.5" hidden="false" customHeight="true" outlineLevel="0" collapsed="false">
      <c r="A32" s="5" t="s">
        <v>2409</v>
      </c>
      <c r="B32" s="5" t="s">
        <v>2493</v>
      </c>
      <c r="C32" s="5" t="n">
        <v>3</v>
      </c>
      <c r="D32" s="5" t="s">
        <v>2471</v>
      </c>
      <c r="E32" s="5" t="s">
        <v>2494</v>
      </c>
      <c r="F32" s="5" t="s">
        <v>2495</v>
      </c>
      <c r="G32" s="5" t="s">
        <v>2467</v>
      </c>
      <c r="H32" s="5" t="s">
        <v>2496</v>
      </c>
      <c r="I32" s="5" t="s">
        <v>2497</v>
      </c>
    </row>
    <row r="33" customFormat="false" ht="23.25" hidden="false" customHeight="true" outlineLevel="0" collapsed="false">
      <c r="A33" s="4" t="s">
        <v>2498</v>
      </c>
      <c r="B33" s="4" t="s">
        <v>2499</v>
      </c>
      <c r="C33" s="4" t="n">
        <v>3</v>
      </c>
      <c r="D33" s="4" t="s">
        <v>2483</v>
      </c>
      <c r="E33" s="4" t="s">
        <v>2500</v>
      </c>
      <c r="F33" s="4" t="s">
        <v>2501</v>
      </c>
      <c r="G33" s="4" t="s">
        <v>2467</v>
      </c>
      <c r="H33" s="4" t="s">
        <v>2502</v>
      </c>
      <c r="I33" s="4" t="s">
        <v>2503</v>
      </c>
    </row>
    <row r="34" customFormat="false" ht="23.25" hidden="false" customHeight="true" outlineLevel="0" collapsed="false">
      <c r="A34" s="5" t="s">
        <v>2504</v>
      </c>
      <c r="B34" s="5" t="s">
        <v>2505</v>
      </c>
      <c r="C34" s="5" t="n">
        <v>2</v>
      </c>
      <c r="D34" s="5" t="s">
        <v>2506</v>
      </c>
      <c r="E34" s="5" t="s">
        <v>2507</v>
      </c>
      <c r="F34" s="5" t="s">
        <v>2508</v>
      </c>
      <c r="G34" s="5" t="s">
        <v>2479</v>
      </c>
      <c r="H34" s="5" t="s">
        <v>2509</v>
      </c>
      <c r="I34" s="5" t="s">
        <v>2510</v>
      </c>
    </row>
    <row r="35" customFormat="false" ht="23.25" hidden="false" customHeight="true" outlineLevel="0" collapsed="false">
      <c r="A35" s="4" t="s">
        <v>2511</v>
      </c>
      <c r="B35" s="4" t="s">
        <v>2512</v>
      </c>
      <c r="C35" s="4" t="n">
        <v>3</v>
      </c>
      <c r="D35" s="4" t="s">
        <v>2483</v>
      </c>
      <c r="E35" s="4" t="s">
        <v>2513</v>
      </c>
      <c r="F35" s="4" t="s">
        <v>2514</v>
      </c>
      <c r="G35" s="4" t="s">
        <v>2467</v>
      </c>
      <c r="H35" s="4" t="s">
        <v>2515</v>
      </c>
      <c r="I35" s="4" t="s">
        <v>2516</v>
      </c>
    </row>
    <row r="36" customFormat="false" ht="34.5" hidden="false" customHeight="true" outlineLevel="0" collapsed="false">
      <c r="A36" s="5" t="s">
        <v>2517</v>
      </c>
      <c r="B36" s="5" t="s">
        <v>2518</v>
      </c>
      <c r="C36" s="5" t="n">
        <v>3</v>
      </c>
      <c r="D36" s="5" t="s">
        <v>2471</v>
      </c>
      <c r="E36" s="5" t="s">
        <v>2519</v>
      </c>
      <c r="F36" s="5" t="s">
        <v>2520</v>
      </c>
      <c r="G36" s="5" t="s">
        <v>2479</v>
      </c>
      <c r="H36" s="5" t="s">
        <v>2521</v>
      </c>
      <c r="I36" s="5" t="s">
        <v>2522</v>
      </c>
    </row>
    <row r="37" customFormat="false" ht="23.25" hidden="false" customHeight="true" outlineLevel="0" collapsed="false">
      <c r="A37" s="4" t="s">
        <v>2523</v>
      </c>
      <c r="B37" s="4" t="s">
        <v>2524</v>
      </c>
      <c r="C37" s="4" t="n">
        <v>4</v>
      </c>
      <c r="D37" s="4" t="s">
        <v>2525</v>
      </c>
      <c r="E37" s="4" t="s">
        <v>2526</v>
      </c>
      <c r="F37" s="4" t="s">
        <v>2527</v>
      </c>
      <c r="G37" s="4" t="s">
        <v>2479</v>
      </c>
      <c r="H37" s="4" t="s">
        <v>2528</v>
      </c>
      <c r="I37" s="4" t="s">
        <v>2529</v>
      </c>
    </row>
    <row r="38" customFormat="false" ht="23.25" hidden="false" customHeight="true" outlineLevel="0" collapsed="false">
      <c r="A38" s="5" t="s">
        <v>2530</v>
      </c>
      <c r="B38" s="5" t="s">
        <v>2531</v>
      </c>
      <c r="C38" s="5" t="n">
        <v>2</v>
      </c>
      <c r="D38" s="5" t="s">
        <v>2532</v>
      </c>
      <c r="E38" s="5" t="s">
        <v>2533</v>
      </c>
      <c r="F38" s="5" t="s">
        <v>2534</v>
      </c>
      <c r="G38" s="5" t="s">
        <v>1915</v>
      </c>
      <c r="H38" s="5" t="s">
        <v>2535</v>
      </c>
      <c r="I38" s="5" t="s">
        <v>2536</v>
      </c>
    </row>
    <row r="41" customFormat="false" ht="15" hidden="false" customHeight="true" outlineLevel="0" collapsed="false">
      <c r="A41" s="6" t="s">
        <v>2537</v>
      </c>
    </row>
    <row r="42" customFormat="false" ht="15" hidden="false" customHeight="true" outlineLevel="0" collapsed="false">
      <c r="A42" s="3" t="s">
        <v>1838</v>
      </c>
      <c r="B42" s="3" t="s">
        <v>1839</v>
      </c>
      <c r="C42" s="3" t="s">
        <v>1754</v>
      </c>
      <c r="D42" s="3" t="s">
        <v>1840</v>
      </c>
      <c r="E42" s="3" t="s">
        <v>1841</v>
      </c>
      <c r="F42" s="3" t="s">
        <v>1842</v>
      </c>
      <c r="G42" s="3" t="s">
        <v>1843</v>
      </c>
    </row>
    <row r="43" customFormat="false" ht="34.5" hidden="false" customHeight="true" outlineLevel="0" collapsed="false">
      <c r="A43" s="4" t="s">
        <v>1844</v>
      </c>
      <c r="B43" s="4" t="s">
        <v>2538</v>
      </c>
      <c r="C43" s="4" t="s">
        <v>2539</v>
      </c>
      <c r="D43" s="4" t="s">
        <v>2540</v>
      </c>
      <c r="E43" s="4" t="s">
        <v>2541</v>
      </c>
      <c r="F43" s="4" t="s">
        <v>2542</v>
      </c>
      <c r="G43" s="4" t="s">
        <v>610</v>
      </c>
    </row>
    <row r="44" customFormat="false" ht="23.25" hidden="false" customHeight="true" outlineLevel="0" collapsed="false">
      <c r="A44" s="5" t="s">
        <v>1850</v>
      </c>
      <c r="B44" s="5" t="s">
        <v>2543</v>
      </c>
      <c r="C44" s="5" t="s">
        <v>2544</v>
      </c>
      <c r="D44" s="5" t="s">
        <v>2451</v>
      </c>
      <c r="E44" s="5" t="s">
        <v>2545</v>
      </c>
      <c r="F44" s="5" t="s">
        <v>2546</v>
      </c>
      <c r="G44" s="5" t="s">
        <v>610</v>
      </c>
    </row>
    <row r="45" customFormat="false" ht="34.5" hidden="false" customHeight="true" outlineLevel="0" collapsed="false">
      <c r="A45" s="4" t="s">
        <v>1856</v>
      </c>
      <c r="B45" s="4" t="s">
        <v>2547</v>
      </c>
      <c r="C45" s="4" t="s">
        <v>2548</v>
      </c>
      <c r="D45" s="4" t="s">
        <v>2451</v>
      </c>
      <c r="E45" s="4" t="s">
        <v>2549</v>
      </c>
      <c r="F45" s="4" t="s">
        <v>2550</v>
      </c>
      <c r="G45" s="4" t="s">
        <v>610</v>
      </c>
    </row>
    <row r="46" customFormat="false" ht="23.25" hidden="false" customHeight="true" outlineLevel="0" collapsed="false">
      <c r="A46" s="5" t="s">
        <v>1861</v>
      </c>
      <c r="B46" s="5" t="s">
        <v>2551</v>
      </c>
      <c r="C46" s="5" t="s">
        <v>2552</v>
      </c>
      <c r="D46" s="5" t="s">
        <v>2451</v>
      </c>
      <c r="E46" s="5" t="s">
        <v>2553</v>
      </c>
      <c r="F46" s="5" t="s">
        <v>2554</v>
      </c>
      <c r="G46" s="5" t="s">
        <v>610</v>
      </c>
    </row>
    <row r="47" customFormat="false" ht="34.5" hidden="false" customHeight="true" outlineLevel="0" collapsed="false">
      <c r="A47" s="4" t="s">
        <v>2555</v>
      </c>
      <c r="B47" s="4" t="s">
        <v>2556</v>
      </c>
      <c r="C47" s="4" t="s">
        <v>2557</v>
      </c>
      <c r="D47" s="4" t="s">
        <v>2451</v>
      </c>
      <c r="E47" s="4" t="s">
        <v>2558</v>
      </c>
      <c r="F47" s="4" t="s">
        <v>2559</v>
      </c>
      <c r="G47" s="4" t="s">
        <v>610</v>
      </c>
    </row>
    <row r="48" customFormat="false" ht="34.5" hidden="false" customHeight="true" outlineLevel="0" collapsed="false">
      <c r="A48" s="5" t="s">
        <v>1866</v>
      </c>
      <c r="B48" s="5" t="s">
        <v>2560</v>
      </c>
      <c r="C48" s="5" t="s">
        <v>2561</v>
      </c>
      <c r="D48" s="5" t="s">
        <v>2562</v>
      </c>
      <c r="E48" s="5" t="s">
        <v>2563</v>
      </c>
      <c r="F48" s="5" t="s">
        <v>2564</v>
      </c>
      <c r="G48" s="5" t="s">
        <v>610</v>
      </c>
    </row>
    <row r="49" customFormat="false" ht="23.25" hidden="false" customHeight="true" outlineLevel="0" collapsed="false">
      <c r="A49" s="4" t="s">
        <v>1871</v>
      </c>
      <c r="B49" s="4" t="s">
        <v>2565</v>
      </c>
      <c r="C49" s="4" t="s">
        <v>2566</v>
      </c>
      <c r="D49" s="4" t="s">
        <v>2451</v>
      </c>
      <c r="E49" s="4" t="s">
        <v>2567</v>
      </c>
      <c r="F49" s="4" t="s">
        <v>2568</v>
      </c>
      <c r="G49" s="4" t="s">
        <v>610</v>
      </c>
    </row>
    <row r="50" customFormat="false" ht="23.25" hidden="false" customHeight="true" outlineLevel="0" collapsed="false">
      <c r="A50" s="5" t="s">
        <v>1876</v>
      </c>
      <c r="B50" s="5" t="s">
        <v>2569</v>
      </c>
      <c r="C50" s="5" t="s">
        <v>2570</v>
      </c>
      <c r="D50" s="5" t="s">
        <v>2571</v>
      </c>
      <c r="E50" s="5" t="s">
        <v>550</v>
      </c>
      <c r="F50" s="5" t="s">
        <v>550</v>
      </c>
      <c r="G50" s="5" t="s">
        <v>610</v>
      </c>
    </row>
    <row r="53" customFormat="false" ht="15" hidden="false" customHeight="true" outlineLevel="0" collapsed="false">
      <c r="A53" s="6" t="s">
        <v>2572</v>
      </c>
    </row>
    <row r="54" customFormat="false" ht="15" hidden="false" customHeight="true" outlineLevel="0" collapsed="false">
      <c r="A54" s="3" t="s">
        <v>2573</v>
      </c>
      <c r="B54" s="3" t="s">
        <v>2574</v>
      </c>
      <c r="C54" s="3" t="s">
        <v>2575</v>
      </c>
      <c r="D54" s="3" t="s">
        <v>2576</v>
      </c>
      <c r="E54" s="3" t="s">
        <v>2577</v>
      </c>
      <c r="F54" s="3" t="s">
        <v>1886</v>
      </c>
      <c r="G54" s="3" t="s">
        <v>440</v>
      </c>
    </row>
    <row r="55" customFormat="false" ht="45.75" hidden="false" customHeight="true" outlineLevel="0" collapsed="false">
      <c r="A55" s="4" t="s">
        <v>2578</v>
      </c>
      <c r="B55" s="4" t="s">
        <v>2579</v>
      </c>
      <c r="C55" s="4" t="s">
        <v>2580</v>
      </c>
      <c r="D55" s="4" t="s">
        <v>2581</v>
      </c>
      <c r="E55" s="4" t="s">
        <v>2395</v>
      </c>
      <c r="F55" s="4" t="s">
        <v>494</v>
      </c>
      <c r="G55" s="4" t="s">
        <v>2582</v>
      </c>
    </row>
    <row r="56" customFormat="false" ht="34.5" hidden="false" customHeight="true" outlineLevel="0" collapsed="false">
      <c r="A56" s="5" t="s">
        <v>2583</v>
      </c>
      <c r="B56" s="5" t="s">
        <v>2579</v>
      </c>
      <c r="C56" s="5" t="s">
        <v>2584</v>
      </c>
      <c r="D56" s="5" t="s">
        <v>2585</v>
      </c>
      <c r="E56" s="5" t="s">
        <v>2405</v>
      </c>
      <c r="F56" s="5" t="s">
        <v>494</v>
      </c>
      <c r="G56" s="5" t="s">
        <v>2586</v>
      </c>
    </row>
    <row r="57" customFormat="false" ht="23.25" hidden="false" customHeight="true" outlineLevel="0" collapsed="false">
      <c r="A57" s="4" t="s">
        <v>2587</v>
      </c>
      <c r="B57" s="4" t="s">
        <v>2579</v>
      </c>
      <c r="C57" s="4" t="s">
        <v>2588</v>
      </c>
      <c r="D57" s="4" t="s">
        <v>2589</v>
      </c>
      <c r="E57" s="4" t="s">
        <v>2409</v>
      </c>
      <c r="F57" s="4" t="s">
        <v>494</v>
      </c>
      <c r="G57" s="4" t="s">
        <v>2590</v>
      </c>
    </row>
    <row r="58" customFormat="false" ht="34.5" hidden="false" customHeight="true" outlineLevel="0" collapsed="false">
      <c r="A58" s="5" t="s">
        <v>2591</v>
      </c>
      <c r="B58" s="5" t="s">
        <v>2579</v>
      </c>
      <c r="C58" s="5" t="s">
        <v>2592</v>
      </c>
      <c r="D58" s="5" t="s">
        <v>2593</v>
      </c>
      <c r="E58" s="5" t="s">
        <v>2498</v>
      </c>
      <c r="F58" s="5" t="s">
        <v>494</v>
      </c>
      <c r="G58" s="5" t="s">
        <v>2594</v>
      </c>
    </row>
    <row r="59" customFormat="false" ht="45.75" hidden="false" customHeight="true" outlineLevel="0" collapsed="false">
      <c r="A59" s="4" t="s">
        <v>2595</v>
      </c>
      <c r="B59" s="4" t="s">
        <v>2579</v>
      </c>
      <c r="C59" s="4" t="s">
        <v>2596</v>
      </c>
      <c r="D59" s="4" t="s">
        <v>2597</v>
      </c>
      <c r="E59" s="4" t="s">
        <v>2511</v>
      </c>
      <c r="F59" s="4" t="s">
        <v>494</v>
      </c>
      <c r="G59" s="4" t="s">
        <v>2598</v>
      </c>
    </row>
    <row r="60" customFormat="false" ht="23.25" hidden="false" customHeight="true" outlineLevel="0" collapsed="false">
      <c r="A60" s="5" t="s">
        <v>2599</v>
      </c>
      <c r="B60" s="5" t="s">
        <v>2600</v>
      </c>
      <c r="C60" s="5" t="s">
        <v>2601</v>
      </c>
      <c r="D60" s="5" t="s">
        <v>2602</v>
      </c>
      <c r="E60" s="5" t="s">
        <v>2603</v>
      </c>
      <c r="F60" s="5" t="s">
        <v>499</v>
      </c>
      <c r="G60" s="5" t="s">
        <v>2604</v>
      </c>
    </row>
    <row r="61" customFormat="false" ht="23.25" hidden="false" customHeight="true" outlineLevel="0" collapsed="false">
      <c r="A61" s="4" t="s">
        <v>2605</v>
      </c>
      <c r="B61" s="4" t="s">
        <v>2600</v>
      </c>
      <c r="C61" s="4" t="s">
        <v>2606</v>
      </c>
      <c r="D61" s="4" t="s">
        <v>2607</v>
      </c>
      <c r="E61" s="4" t="s">
        <v>2608</v>
      </c>
      <c r="F61" s="4" t="s">
        <v>499</v>
      </c>
      <c r="G61" s="4" t="s">
        <v>2609</v>
      </c>
    </row>
    <row r="62" customFormat="false" ht="23.25" hidden="false" customHeight="true" outlineLevel="0" collapsed="false">
      <c r="A62" s="5" t="s">
        <v>2610</v>
      </c>
      <c r="B62" s="5" t="s">
        <v>2611</v>
      </c>
      <c r="C62" s="5" t="s">
        <v>2612</v>
      </c>
      <c r="D62" s="5" t="s">
        <v>2613</v>
      </c>
      <c r="E62" s="5" t="s">
        <v>2523</v>
      </c>
      <c r="F62" s="5" t="s">
        <v>1592</v>
      </c>
      <c r="G62" s="5" t="s">
        <v>2614</v>
      </c>
    </row>
    <row r="63" customFormat="false" ht="15" hidden="false" customHeight="true" outlineLevel="0" collapsed="false">
      <c r="A63" s="4" t="s">
        <v>2615</v>
      </c>
      <c r="B63" s="4" t="s">
        <v>2611</v>
      </c>
      <c r="C63" s="4" t="s">
        <v>2616</v>
      </c>
      <c r="D63" s="4" t="s">
        <v>2617</v>
      </c>
      <c r="E63" s="4" t="s">
        <v>2618</v>
      </c>
      <c r="F63" s="4" t="s">
        <v>1592</v>
      </c>
      <c r="G63" s="4" t="s">
        <v>2619</v>
      </c>
    </row>
    <row r="64" customFormat="false" ht="23.25" hidden="false" customHeight="true" outlineLevel="0" collapsed="false">
      <c r="A64" s="5" t="s">
        <v>2620</v>
      </c>
      <c r="B64" s="5" t="s">
        <v>2611</v>
      </c>
      <c r="C64" s="5" t="s">
        <v>2621</v>
      </c>
      <c r="D64" s="5" t="s">
        <v>2622</v>
      </c>
      <c r="E64" s="5" t="s">
        <v>2523</v>
      </c>
      <c r="F64" s="5" t="s">
        <v>1592</v>
      </c>
      <c r="G64" s="5" t="s">
        <v>2623</v>
      </c>
    </row>
    <row r="65" customFormat="false" ht="23.25" hidden="false" customHeight="true" outlineLevel="0" collapsed="false">
      <c r="A65" s="4" t="s">
        <v>2624</v>
      </c>
      <c r="B65" s="4" t="s">
        <v>2611</v>
      </c>
      <c r="C65" s="4" t="s">
        <v>2625</v>
      </c>
      <c r="D65" s="4" t="s">
        <v>2626</v>
      </c>
      <c r="E65" s="4" t="s">
        <v>2618</v>
      </c>
      <c r="F65" s="4" t="s">
        <v>1592</v>
      </c>
      <c r="G65" s="4" t="s">
        <v>2627</v>
      </c>
    </row>
    <row r="66" customFormat="false" ht="15" hidden="false" customHeight="true" outlineLevel="0" collapsed="false">
      <c r="A66" s="5" t="s">
        <v>2628</v>
      </c>
      <c r="B66" s="5" t="s">
        <v>2611</v>
      </c>
      <c r="C66" s="5" t="s">
        <v>2629</v>
      </c>
      <c r="D66" s="5" t="s">
        <v>2630</v>
      </c>
      <c r="E66" s="5" t="s">
        <v>2631</v>
      </c>
      <c r="F66" s="5" t="s">
        <v>499</v>
      </c>
      <c r="G66" s="5" t="s">
        <v>2632</v>
      </c>
    </row>
    <row r="69" customFormat="false" ht="17.35" hidden="false" customHeight="false" outlineLevel="0" collapsed="false">
      <c r="A69" s="71" t="s">
        <v>2633</v>
      </c>
    </row>
    <row r="71" customFormat="false" ht="39.55" hidden="false" customHeight="false" outlineLevel="0" collapsed="false">
      <c r="A71" s="3" t="s">
        <v>2634</v>
      </c>
      <c r="B71" s="3" t="s">
        <v>1589</v>
      </c>
      <c r="C71" s="3" t="s">
        <v>2459</v>
      </c>
      <c r="D71" s="3" t="s">
        <v>2635</v>
      </c>
      <c r="E71" s="3" t="s">
        <v>2636</v>
      </c>
      <c r="F71" s="3" t="s">
        <v>2637</v>
      </c>
      <c r="G71" s="3" t="s">
        <v>1728</v>
      </c>
      <c r="H71" s="3" t="s">
        <v>2638</v>
      </c>
      <c r="I71" s="3" t="s">
        <v>2639</v>
      </c>
      <c r="J71" s="3" t="s">
        <v>2640</v>
      </c>
      <c r="K71" s="3" t="s">
        <v>1940</v>
      </c>
      <c r="L71" s="3" t="s">
        <v>2641</v>
      </c>
      <c r="M71" s="3" t="s">
        <v>2642</v>
      </c>
      <c r="N71" s="3" t="s">
        <v>2643</v>
      </c>
    </row>
    <row r="72" customFormat="false" ht="46.25" hidden="false" customHeight="false" outlineLevel="0" collapsed="false">
      <c r="A72" s="8" t="s">
        <v>2644</v>
      </c>
      <c r="B72" s="8" t="s">
        <v>2645</v>
      </c>
      <c r="C72" s="8" t="s">
        <v>2646</v>
      </c>
      <c r="D72" s="8" t="s">
        <v>2647</v>
      </c>
      <c r="E72" s="8" t="s">
        <v>2648</v>
      </c>
      <c r="F72" s="8" t="s">
        <v>2649</v>
      </c>
      <c r="G72" s="8" t="s">
        <v>2650</v>
      </c>
      <c r="H72" s="8" t="s">
        <v>2651</v>
      </c>
      <c r="I72" s="8" t="s">
        <v>2652</v>
      </c>
      <c r="J72" s="8" t="s">
        <v>2653</v>
      </c>
      <c r="K72" s="8" t="s">
        <v>1953</v>
      </c>
      <c r="L72" s="8" t="s">
        <v>2654</v>
      </c>
      <c r="M72" s="116" t="n">
        <v>2.8</v>
      </c>
      <c r="N72" s="117" t="n">
        <v>300000</v>
      </c>
    </row>
    <row r="73" customFormat="false" ht="46.25" hidden="false" customHeight="false" outlineLevel="0" collapsed="false">
      <c r="A73" s="8" t="s">
        <v>2655</v>
      </c>
      <c r="B73" s="8" t="s">
        <v>2645</v>
      </c>
      <c r="C73" s="8" t="s">
        <v>866</v>
      </c>
      <c r="D73" s="8" t="s">
        <v>2656</v>
      </c>
      <c r="E73" s="8" t="s">
        <v>2657</v>
      </c>
      <c r="F73" s="8" t="s">
        <v>2658</v>
      </c>
      <c r="G73" s="8" t="s">
        <v>2659</v>
      </c>
      <c r="H73" s="8" t="s">
        <v>2660</v>
      </c>
      <c r="I73" s="8" t="s">
        <v>2652</v>
      </c>
      <c r="J73" s="8" t="s">
        <v>2661</v>
      </c>
      <c r="K73" s="8" t="s">
        <v>2662</v>
      </c>
      <c r="L73" s="8" t="s">
        <v>559</v>
      </c>
      <c r="M73" s="116" t="n">
        <v>3.2</v>
      </c>
      <c r="N73" s="117" t="n">
        <v>350000</v>
      </c>
    </row>
    <row r="74" customFormat="false" ht="46.25" hidden="false" customHeight="false" outlineLevel="0" collapsed="false">
      <c r="A74" s="8" t="s">
        <v>2663</v>
      </c>
      <c r="B74" s="8" t="s">
        <v>1962</v>
      </c>
      <c r="C74" s="8" t="s">
        <v>2664</v>
      </c>
      <c r="D74" s="8" t="s">
        <v>2665</v>
      </c>
      <c r="E74" s="8" t="s">
        <v>2666</v>
      </c>
      <c r="F74" s="8" t="s">
        <v>2667</v>
      </c>
      <c r="G74" s="8" t="s">
        <v>2313</v>
      </c>
      <c r="H74" s="8" t="s">
        <v>2651</v>
      </c>
      <c r="I74" s="8" t="s">
        <v>2668</v>
      </c>
      <c r="J74" s="8" t="s">
        <v>2653</v>
      </c>
      <c r="K74" s="8" t="s">
        <v>2669</v>
      </c>
      <c r="L74" s="8" t="s">
        <v>2670</v>
      </c>
      <c r="M74" s="116" t="n">
        <v>2.5</v>
      </c>
      <c r="N74" s="117" t="n">
        <v>280000</v>
      </c>
    </row>
    <row r="75" customFormat="false" ht="46.25" hidden="false" customHeight="false" outlineLevel="0" collapsed="false">
      <c r="A75" s="8" t="s">
        <v>2671</v>
      </c>
      <c r="B75" s="8" t="s">
        <v>1962</v>
      </c>
      <c r="C75" s="8" t="s">
        <v>2646</v>
      </c>
      <c r="D75" s="8" t="s">
        <v>2672</v>
      </c>
      <c r="E75" s="8" t="s">
        <v>2673</v>
      </c>
      <c r="F75" s="8" t="s">
        <v>2674</v>
      </c>
      <c r="G75" s="8" t="s">
        <v>2675</v>
      </c>
      <c r="H75" s="8" t="s">
        <v>2651</v>
      </c>
      <c r="I75" s="8" t="s">
        <v>2676</v>
      </c>
      <c r="J75" s="8" t="s">
        <v>2653</v>
      </c>
      <c r="K75" s="8" t="s">
        <v>2040</v>
      </c>
      <c r="L75" s="8" t="s">
        <v>559</v>
      </c>
      <c r="M75" s="116" t="n">
        <v>3.1</v>
      </c>
      <c r="N75" s="117" t="n">
        <v>320000</v>
      </c>
    </row>
    <row r="76" customFormat="false" ht="46.25" hidden="false" customHeight="false" outlineLevel="0" collapsed="false">
      <c r="A76" s="8" t="s">
        <v>2677</v>
      </c>
      <c r="B76" s="8" t="s">
        <v>1975</v>
      </c>
      <c r="C76" s="8" t="s">
        <v>2664</v>
      </c>
      <c r="D76" s="8" t="s">
        <v>2678</v>
      </c>
      <c r="E76" s="8" t="s">
        <v>2679</v>
      </c>
      <c r="F76" s="8" t="s">
        <v>2680</v>
      </c>
      <c r="G76" s="8" t="s">
        <v>2143</v>
      </c>
      <c r="H76" s="8" t="s">
        <v>2651</v>
      </c>
      <c r="I76" s="8" t="s">
        <v>2681</v>
      </c>
      <c r="J76" s="8" t="s">
        <v>2653</v>
      </c>
      <c r="K76" s="8" t="s">
        <v>1976</v>
      </c>
      <c r="L76" s="8" t="s">
        <v>559</v>
      </c>
      <c r="M76" s="116" t="n">
        <v>2.3</v>
      </c>
      <c r="N76" s="117" t="n">
        <v>260000</v>
      </c>
    </row>
    <row r="77" customFormat="false" ht="57.45" hidden="false" customHeight="false" outlineLevel="0" collapsed="false">
      <c r="A77" s="8" t="s">
        <v>2682</v>
      </c>
      <c r="B77" s="8" t="s">
        <v>1975</v>
      </c>
      <c r="C77" s="8" t="s">
        <v>866</v>
      </c>
      <c r="D77" s="8" t="s">
        <v>2683</v>
      </c>
      <c r="E77" s="8" t="s">
        <v>2684</v>
      </c>
      <c r="F77" s="8" t="s">
        <v>2685</v>
      </c>
      <c r="G77" s="8" t="s">
        <v>2686</v>
      </c>
      <c r="H77" s="8" t="s">
        <v>2660</v>
      </c>
      <c r="I77" s="8" t="s">
        <v>2681</v>
      </c>
      <c r="J77" s="8" t="s">
        <v>2661</v>
      </c>
      <c r="K77" s="8" t="s">
        <v>2687</v>
      </c>
      <c r="L77" s="8" t="s">
        <v>563</v>
      </c>
      <c r="M77" s="116" t="n">
        <v>2.9</v>
      </c>
      <c r="N77" s="117" t="n">
        <v>300000</v>
      </c>
    </row>
    <row r="78" customFormat="false" ht="46.25" hidden="false" customHeight="false" outlineLevel="0" collapsed="false">
      <c r="A78" s="8" t="s">
        <v>2688</v>
      </c>
      <c r="B78" s="8" t="s">
        <v>1979</v>
      </c>
      <c r="C78" s="8" t="s">
        <v>2646</v>
      </c>
      <c r="D78" s="8" t="s">
        <v>2689</v>
      </c>
      <c r="E78" s="8" t="s">
        <v>2690</v>
      </c>
      <c r="F78" s="8" t="s">
        <v>2691</v>
      </c>
      <c r="G78" s="8" t="s">
        <v>2692</v>
      </c>
      <c r="H78" s="8" t="s">
        <v>2651</v>
      </c>
      <c r="I78" s="8" t="s">
        <v>2693</v>
      </c>
      <c r="J78" s="8" t="s">
        <v>2653</v>
      </c>
      <c r="K78" s="8" t="s">
        <v>2694</v>
      </c>
      <c r="L78" s="8" t="s">
        <v>559</v>
      </c>
      <c r="M78" s="116" t="n">
        <v>2.7</v>
      </c>
      <c r="N78" s="117" t="n">
        <v>310000</v>
      </c>
    </row>
    <row r="79" customFormat="false" ht="46.25" hidden="false" customHeight="false" outlineLevel="0" collapsed="false">
      <c r="A79" s="8" t="s">
        <v>2695</v>
      </c>
      <c r="B79" s="8" t="s">
        <v>1979</v>
      </c>
      <c r="C79" s="8" t="s">
        <v>866</v>
      </c>
      <c r="D79" s="8" t="s">
        <v>2696</v>
      </c>
      <c r="E79" s="8" t="s">
        <v>2697</v>
      </c>
      <c r="F79" s="8" t="s">
        <v>2698</v>
      </c>
      <c r="G79" s="8" t="s">
        <v>2699</v>
      </c>
      <c r="H79" s="8" t="s">
        <v>2660</v>
      </c>
      <c r="I79" s="8" t="s">
        <v>2693</v>
      </c>
      <c r="J79" s="8" t="s">
        <v>2661</v>
      </c>
      <c r="K79" s="8" t="s">
        <v>2700</v>
      </c>
      <c r="L79" s="8" t="s">
        <v>563</v>
      </c>
      <c r="M79" s="116" t="n">
        <v>2.8</v>
      </c>
      <c r="N79" s="117" t="n">
        <v>320000</v>
      </c>
    </row>
    <row r="80" customFormat="false" ht="46.25" hidden="false" customHeight="false" outlineLevel="0" collapsed="false">
      <c r="A80" s="8" t="s">
        <v>2701</v>
      </c>
      <c r="B80" s="8" t="s">
        <v>1967</v>
      </c>
      <c r="C80" s="8" t="s">
        <v>2646</v>
      </c>
      <c r="D80" s="8" t="s">
        <v>2702</v>
      </c>
      <c r="E80" s="8" t="s">
        <v>2703</v>
      </c>
      <c r="F80" s="8" t="s">
        <v>2704</v>
      </c>
      <c r="G80" s="8" t="s">
        <v>2705</v>
      </c>
      <c r="H80" s="8" t="s">
        <v>2651</v>
      </c>
      <c r="I80" s="8" t="s">
        <v>2706</v>
      </c>
      <c r="J80" s="8" t="s">
        <v>2653</v>
      </c>
      <c r="K80" s="8" t="s">
        <v>2040</v>
      </c>
      <c r="L80" s="8" t="s">
        <v>559</v>
      </c>
      <c r="M80" s="116" t="n">
        <v>4.2</v>
      </c>
      <c r="N80" s="117" t="n">
        <v>400000</v>
      </c>
    </row>
    <row r="81" customFormat="false" ht="57.45" hidden="false" customHeight="false" outlineLevel="0" collapsed="false">
      <c r="A81" s="8" t="s">
        <v>2707</v>
      </c>
      <c r="B81" s="8" t="s">
        <v>1957</v>
      </c>
      <c r="C81" s="8" t="s">
        <v>2664</v>
      </c>
      <c r="D81" s="8" t="s">
        <v>2708</v>
      </c>
      <c r="E81" s="8" t="s">
        <v>2709</v>
      </c>
      <c r="F81" s="8" t="s">
        <v>2710</v>
      </c>
      <c r="G81" s="8" t="s">
        <v>2711</v>
      </c>
      <c r="H81" s="8" t="s">
        <v>2651</v>
      </c>
      <c r="I81" s="8" t="s">
        <v>2712</v>
      </c>
      <c r="J81" s="8" t="s">
        <v>2713</v>
      </c>
      <c r="K81" s="8" t="s">
        <v>2000</v>
      </c>
      <c r="L81" s="8" t="s">
        <v>559</v>
      </c>
      <c r="M81" s="116" t="n">
        <v>2.1</v>
      </c>
      <c r="N81" s="117" t="n">
        <v>220000</v>
      </c>
    </row>
    <row r="82" customFormat="false" ht="46.25" hidden="false" customHeight="false" outlineLevel="0" collapsed="false">
      <c r="A82" s="8" t="s">
        <v>2714</v>
      </c>
      <c r="B82" s="8" t="s">
        <v>1946</v>
      </c>
      <c r="C82" s="8" t="s">
        <v>2664</v>
      </c>
      <c r="D82" s="8" t="s">
        <v>2715</v>
      </c>
      <c r="E82" s="8" t="s">
        <v>2716</v>
      </c>
      <c r="F82" s="8" t="s">
        <v>2717</v>
      </c>
      <c r="G82" s="8" t="s">
        <v>299</v>
      </c>
      <c r="H82" s="8" t="s">
        <v>2651</v>
      </c>
      <c r="I82" s="8" t="s">
        <v>2706</v>
      </c>
      <c r="J82" s="8" t="s">
        <v>2653</v>
      </c>
      <c r="K82" s="8" t="s">
        <v>1995</v>
      </c>
      <c r="L82" s="8" t="s">
        <v>559</v>
      </c>
      <c r="M82" s="116" t="n">
        <v>2.4</v>
      </c>
      <c r="N82" s="117" t="n">
        <v>240000</v>
      </c>
    </row>
    <row r="83" customFormat="false" ht="46.25" hidden="false" customHeight="false" outlineLevel="0" collapsed="false">
      <c r="A83" s="8" t="s">
        <v>2718</v>
      </c>
      <c r="B83" s="8" t="s">
        <v>1946</v>
      </c>
      <c r="C83" s="8" t="s">
        <v>2646</v>
      </c>
      <c r="D83" s="8" t="s">
        <v>2719</v>
      </c>
      <c r="E83" s="8" t="s">
        <v>2720</v>
      </c>
      <c r="F83" s="8" t="s">
        <v>2721</v>
      </c>
      <c r="G83" s="8" t="s">
        <v>2722</v>
      </c>
      <c r="H83" s="8" t="s">
        <v>2651</v>
      </c>
      <c r="I83" s="8" t="s">
        <v>2706</v>
      </c>
      <c r="J83" s="8" t="s">
        <v>2653</v>
      </c>
      <c r="K83" s="8" t="s">
        <v>1991</v>
      </c>
      <c r="L83" s="8" t="s">
        <v>559</v>
      </c>
      <c r="M83" s="116" t="n">
        <v>2.6</v>
      </c>
      <c r="N83" s="117" t="n">
        <v>260000</v>
      </c>
    </row>
    <row r="84" customFormat="false" ht="46.25" hidden="false" customHeight="false" outlineLevel="0" collapsed="false">
      <c r="A84" s="8" t="s">
        <v>2723</v>
      </c>
      <c r="B84" s="8" t="s">
        <v>1946</v>
      </c>
      <c r="C84" s="8" t="s">
        <v>2664</v>
      </c>
      <c r="D84" s="8" t="s">
        <v>2724</v>
      </c>
      <c r="E84" s="8" t="s">
        <v>2725</v>
      </c>
      <c r="F84" s="8" t="s">
        <v>2726</v>
      </c>
      <c r="G84" s="8" t="s">
        <v>2727</v>
      </c>
      <c r="H84" s="8" t="s">
        <v>2651</v>
      </c>
      <c r="I84" s="8" t="s">
        <v>2728</v>
      </c>
      <c r="J84" s="8" t="s">
        <v>2653</v>
      </c>
      <c r="K84" s="8" t="s">
        <v>1983</v>
      </c>
      <c r="L84" s="8" t="s">
        <v>563</v>
      </c>
      <c r="M84" s="116" t="n">
        <v>2.9</v>
      </c>
      <c r="N84" s="117" t="n">
        <v>280000</v>
      </c>
    </row>
    <row r="85" customFormat="false" ht="46.25" hidden="false" customHeight="false" outlineLevel="0" collapsed="false">
      <c r="A85" s="8" t="s">
        <v>2729</v>
      </c>
      <c r="B85" s="8" t="s">
        <v>1946</v>
      </c>
      <c r="C85" s="8" t="s">
        <v>866</v>
      </c>
      <c r="D85" s="8" t="s">
        <v>2730</v>
      </c>
      <c r="E85" s="8" t="s">
        <v>2731</v>
      </c>
      <c r="F85" s="8" t="s">
        <v>2732</v>
      </c>
      <c r="G85" s="8" t="s">
        <v>2733</v>
      </c>
      <c r="H85" s="8" t="s">
        <v>2660</v>
      </c>
      <c r="I85" s="8" t="s">
        <v>2706</v>
      </c>
      <c r="J85" s="8" t="s">
        <v>2734</v>
      </c>
      <c r="K85" s="8" t="s">
        <v>2006</v>
      </c>
      <c r="L85" s="8" t="s">
        <v>559</v>
      </c>
      <c r="M85" s="116" t="n">
        <v>3.4</v>
      </c>
      <c r="N85" s="117" t="n">
        <v>290000</v>
      </c>
    </row>
    <row r="86" customFormat="false" ht="46.25" hidden="false" customHeight="false" outlineLevel="0" collapsed="false">
      <c r="A86" s="8" t="s">
        <v>2735</v>
      </c>
      <c r="B86" s="8" t="s">
        <v>1946</v>
      </c>
      <c r="C86" s="8" t="s">
        <v>2664</v>
      </c>
      <c r="D86" s="8" t="s">
        <v>2736</v>
      </c>
      <c r="E86" s="8" t="s">
        <v>2737</v>
      </c>
      <c r="F86" s="8" t="s">
        <v>2738</v>
      </c>
      <c r="G86" s="8" t="s">
        <v>299</v>
      </c>
      <c r="H86" s="8" t="s">
        <v>2651</v>
      </c>
      <c r="I86" s="8" t="s">
        <v>2739</v>
      </c>
      <c r="J86" s="8" t="s">
        <v>2653</v>
      </c>
      <c r="K86" s="8" t="s">
        <v>2003</v>
      </c>
      <c r="L86" s="8" t="s">
        <v>559</v>
      </c>
      <c r="M86" s="116" t="n">
        <v>2.2</v>
      </c>
      <c r="N86" s="117" t="n">
        <v>200000</v>
      </c>
    </row>
    <row r="87" customFormat="false" ht="57.45" hidden="false" customHeight="false" outlineLevel="0" collapsed="false">
      <c r="A87" s="8" t="s">
        <v>2740</v>
      </c>
      <c r="B87" s="8" t="s">
        <v>1957</v>
      </c>
      <c r="C87" s="8" t="s">
        <v>866</v>
      </c>
      <c r="D87" s="8" t="s">
        <v>2741</v>
      </c>
      <c r="E87" s="8" t="s">
        <v>2742</v>
      </c>
      <c r="F87" s="8" t="s">
        <v>2743</v>
      </c>
      <c r="G87" s="8" t="s">
        <v>2744</v>
      </c>
      <c r="H87" s="8" t="s">
        <v>2660</v>
      </c>
      <c r="I87" s="8" t="s">
        <v>2706</v>
      </c>
      <c r="J87" s="8" t="s">
        <v>2653</v>
      </c>
      <c r="K87" s="8" t="s">
        <v>2745</v>
      </c>
      <c r="L87" s="8" t="s">
        <v>559</v>
      </c>
      <c r="M87" s="116" t="n">
        <v>3.5</v>
      </c>
      <c r="N87" s="117" t="n">
        <v>310000</v>
      </c>
    </row>
    <row r="88" customFormat="false" ht="46.25" hidden="false" customHeight="false" outlineLevel="0" collapsed="false">
      <c r="A88" s="8" t="s">
        <v>2746</v>
      </c>
      <c r="B88" s="8" t="s">
        <v>1957</v>
      </c>
      <c r="C88" s="8" t="s">
        <v>2664</v>
      </c>
      <c r="D88" s="8" t="s">
        <v>2747</v>
      </c>
      <c r="E88" s="8" t="s">
        <v>2748</v>
      </c>
      <c r="F88" s="8" t="s">
        <v>2749</v>
      </c>
      <c r="G88" s="8" t="s">
        <v>2750</v>
      </c>
      <c r="H88" s="8" t="s">
        <v>2651</v>
      </c>
      <c r="I88" s="8" t="s">
        <v>2751</v>
      </c>
      <c r="J88" s="8" t="s">
        <v>2713</v>
      </c>
      <c r="K88" s="8" t="s">
        <v>1959</v>
      </c>
      <c r="L88" s="8" t="s">
        <v>559</v>
      </c>
      <c r="M88" s="116" t="n">
        <v>1.9</v>
      </c>
      <c r="N88" s="117" t="n">
        <v>180000</v>
      </c>
    </row>
    <row r="89" customFormat="false" ht="46.25" hidden="false" customHeight="false" outlineLevel="0" collapsed="false">
      <c r="A89" s="8" t="s">
        <v>2752</v>
      </c>
      <c r="B89" s="8" t="s">
        <v>1957</v>
      </c>
      <c r="C89" s="8" t="s">
        <v>2664</v>
      </c>
      <c r="D89" s="8" t="s">
        <v>2753</v>
      </c>
      <c r="E89" s="8" t="s">
        <v>2754</v>
      </c>
      <c r="F89" s="8" t="s">
        <v>2755</v>
      </c>
      <c r="G89" s="8" t="s">
        <v>2756</v>
      </c>
      <c r="H89" s="8" t="s">
        <v>2651</v>
      </c>
      <c r="I89" s="8" t="s">
        <v>2706</v>
      </c>
      <c r="J89" s="8" t="s">
        <v>2653</v>
      </c>
      <c r="K89" s="8" t="s">
        <v>2037</v>
      </c>
      <c r="L89" s="8" t="s">
        <v>559</v>
      </c>
      <c r="M89" s="116" t="n">
        <v>2.3</v>
      </c>
      <c r="N89" s="117" t="n">
        <v>210000</v>
      </c>
    </row>
    <row r="90" customFormat="false" ht="46.25" hidden="false" customHeight="false" outlineLevel="0" collapsed="false">
      <c r="A90" s="8" t="s">
        <v>2757</v>
      </c>
      <c r="B90" s="8" t="s">
        <v>1967</v>
      </c>
      <c r="C90" s="8" t="s">
        <v>2664</v>
      </c>
      <c r="D90" s="8" t="s">
        <v>2758</v>
      </c>
      <c r="E90" s="8" t="s">
        <v>2759</v>
      </c>
      <c r="F90" s="8" t="s">
        <v>2760</v>
      </c>
      <c r="G90" s="8" t="s">
        <v>2659</v>
      </c>
      <c r="H90" s="8" t="s">
        <v>2651</v>
      </c>
      <c r="I90" s="8" t="s">
        <v>2706</v>
      </c>
      <c r="J90" s="8" t="s">
        <v>2653</v>
      </c>
      <c r="K90" s="8" t="s">
        <v>2761</v>
      </c>
      <c r="L90" s="8" t="s">
        <v>559</v>
      </c>
      <c r="M90" s="116" t="n">
        <v>3.8</v>
      </c>
      <c r="N90" s="117" t="n">
        <v>350000</v>
      </c>
    </row>
    <row r="93" customFormat="false" ht="15" hidden="false" customHeight="false" outlineLevel="0" collapsed="false">
      <c r="A93" s="118" t="s">
        <v>2762</v>
      </c>
      <c r="B93" s="118"/>
      <c r="C93" s="118"/>
      <c r="D93" s="118"/>
      <c r="E93" s="118"/>
      <c r="F93" s="118"/>
      <c r="G93" s="118"/>
      <c r="H93" s="118"/>
      <c r="I93" s="118"/>
      <c r="J93" s="118"/>
    </row>
    <row r="95" customFormat="false" ht="39.55" hidden="false" customHeight="false" outlineLevel="0" collapsed="false">
      <c r="A95" s="3" t="s">
        <v>2042</v>
      </c>
      <c r="B95" s="3" t="s">
        <v>2389</v>
      </c>
      <c r="C95" s="3" t="s">
        <v>2763</v>
      </c>
      <c r="D95" s="3" t="s">
        <v>2764</v>
      </c>
      <c r="E95" s="3" t="s">
        <v>2765</v>
      </c>
      <c r="F95" s="3" t="s">
        <v>2766</v>
      </c>
      <c r="G95" s="3" t="s">
        <v>2767</v>
      </c>
      <c r="H95" s="3" t="s">
        <v>2768</v>
      </c>
      <c r="I95" s="3" t="s">
        <v>2769</v>
      </c>
      <c r="J95" s="3" t="s">
        <v>2459</v>
      </c>
      <c r="K95" s="3" t="s">
        <v>1719</v>
      </c>
      <c r="L95" s="3" t="s">
        <v>2770</v>
      </c>
      <c r="M95" s="3" t="s">
        <v>1728</v>
      </c>
      <c r="N95" s="3" t="s">
        <v>2052</v>
      </c>
      <c r="O95" s="3" t="s">
        <v>1553</v>
      </c>
      <c r="P95" s="3" t="s">
        <v>2054</v>
      </c>
    </row>
    <row r="96" customFormat="false" ht="124.6" hidden="false" customHeight="false" outlineLevel="0" collapsed="false">
      <c r="A96" s="73" t="s">
        <v>2771</v>
      </c>
      <c r="B96" s="73" t="s">
        <v>2772</v>
      </c>
      <c r="C96" s="73" t="s">
        <v>2773</v>
      </c>
      <c r="D96" s="75" t="s">
        <v>2774</v>
      </c>
      <c r="E96" s="75" t="s">
        <v>2775</v>
      </c>
      <c r="F96" s="75" t="s">
        <v>2776</v>
      </c>
      <c r="G96" s="75" t="s">
        <v>2777</v>
      </c>
      <c r="H96" s="75" t="s">
        <v>2778</v>
      </c>
      <c r="I96" s="75" t="s">
        <v>2779</v>
      </c>
      <c r="J96" s="75" t="s">
        <v>2646</v>
      </c>
      <c r="K96" s="75" t="s">
        <v>2780</v>
      </c>
      <c r="L96" s="75" t="s">
        <v>2781</v>
      </c>
      <c r="M96" s="75" t="s">
        <v>2782</v>
      </c>
      <c r="N96" s="75" t="s">
        <v>1176</v>
      </c>
      <c r="O96" s="75" t="s">
        <v>2783</v>
      </c>
      <c r="P96" s="75" t="s">
        <v>2784</v>
      </c>
    </row>
    <row r="97" customFormat="false" ht="68.65" hidden="false" customHeight="false" outlineLevel="0" collapsed="false">
      <c r="A97" s="73" t="s">
        <v>2771</v>
      </c>
      <c r="B97" s="73" t="s">
        <v>2772</v>
      </c>
      <c r="C97" s="73" t="s">
        <v>2773</v>
      </c>
      <c r="D97" s="75" t="s">
        <v>2774</v>
      </c>
      <c r="E97" s="75" t="s">
        <v>2775</v>
      </c>
      <c r="F97" s="75" t="s">
        <v>2776</v>
      </c>
      <c r="G97" s="75" t="s">
        <v>2777</v>
      </c>
      <c r="H97" s="75" t="s">
        <v>2778</v>
      </c>
      <c r="I97" s="75" t="s">
        <v>2785</v>
      </c>
      <c r="J97" s="75" t="s">
        <v>866</v>
      </c>
      <c r="K97" s="75" t="s">
        <v>2786</v>
      </c>
      <c r="L97" s="75" t="s">
        <v>2787</v>
      </c>
      <c r="M97" s="75" t="s">
        <v>2788</v>
      </c>
      <c r="N97" s="75" t="s">
        <v>1176</v>
      </c>
      <c r="O97" s="75" t="s">
        <v>2783</v>
      </c>
      <c r="P97" s="75" t="s">
        <v>2789</v>
      </c>
    </row>
    <row r="98" customFormat="false" ht="68.65" hidden="false" customHeight="false" outlineLevel="0" collapsed="false">
      <c r="A98" s="73" t="s">
        <v>2771</v>
      </c>
      <c r="B98" s="73" t="s">
        <v>2772</v>
      </c>
      <c r="C98" s="73" t="s">
        <v>2773</v>
      </c>
      <c r="D98" s="75" t="s">
        <v>2774</v>
      </c>
      <c r="E98" s="75" t="s">
        <v>2775</v>
      </c>
      <c r="F98" s="75" t="s">
        <v>2776</v>
      </c>
      <c r="G98" s="75" t="s">
        <v>2777</v>
      </c>
      <c r="H98" s="75" t="s">
        <v>2778</v>
      </c>
      <c r="I98" s="75" t="s">
        <v>2790</v>
      </c>
      <c r="J98" s="75" t="s">
        <v>2791</v>
      </c>
      <c r="K98" s="75" t="s">
        <v>2792</v>
      </c>
      <c r="L98" s="75" t="s">
        <v>2793</v>
      </c>
      <c r="M98" s="75" t="s">
        <v>2794</v>
      </c>
      <c r="N98" s="75" t="s">
        <v>1176</v>
      </c>
      <c r="O98" s="75" t="s">
        <v>2783</v>
      </c>
      <c r="P98" s="75" t="s">
        <v>2795</v>
      </c>
    </row>
    <row r="99" customFormat="false" ht="68.65" hidden="false" customHeight="false" outlineLevel="0" collapsed="false">
      <c r="A99" s="73" t="s">
        <v>2771</v>
      </c>
      <c r="B99" s="73" t="s">
        <v>2772</v>
      </c>
      <c r="C99" s="73" t="s">
        <v>2796</v>
      </c>
      <c r="D99" s="75" t="s">
        <v>2797</v>
      </c>
      <c r="E99" s="75" t="s">
        <v>2775</v>
      </c>
      <c r="F99" s="75" t="s">
        <v>2776</v>
      </c>
      <c r="G99" s="75" t="s">
        <v>2798</v>
      </c>
      <c r="H99" s="75" t="s">
        <v>2799</v>
      </c>
      <c r="I99" s="75" t="s">
        <v>2800</v>
      </c>
      <c r="J99" s="75" t="s">
        <v>2646</v>
      </c>
      <c r="K99" s="75" t="s">
        <v>2801</v>
      </c>
      <c r="L99" s="75" t="s">
        <v>2802</v>
      </c>
      <c r="M99" s="75" t="s">
        <v>2782</v>
      </c>
      <c r="N99" s="75" t="s">
        <v>1176</v>
      </c>
      <c r="O99" s="75" t="s">
        <v>2783</v>
      </c>
      <c r="P99" s="75" t="s">
        <v>2803</v>
      </c>
    </row>
    <row r="100" customFormat="false" ht="68.65" hidden="false" customHeight="false" outlineLevel="0" collapsed="false">
      <c r="A100" s="73" t="s">
        <v>2771</v>
      </c>
      <c r="B100" s="73" t="s">
        <v>2772</v>
      </c>
      <c r="C100" s="73" t="s">
        <v>2796</v>
      </c>
      <c r="D100" s="75" t="s">
        <v>2797</v>
      </c>
      <c r="E100" s="75" t="s">
        <v>2775</v>
      </c>
      <c r="F100" s="75" t="s">
        <v>2776</v>
      </c>
      <c r="G100" s="75" t="s">
        <v>2798</v>
      </c>
      <c r="H100" s="75" t="s">
        <v>2799</v>
      </c>
      <c r="I100" s="75" t="s">
        <v>2804</v>
      </c>
      <c r="J100" s="75" t="s">
        <v>866</v>
      </c>
      <c r="K100" s="75" t="s">
        <v>2805</v>
      </c>
      <c r="L100" s="75" t="s">
        <v>2806</v>
      </c>
      <c r="M100" s="75" t="s">
        <v>2788</v>
      </c>
      <c r="N100" s="75" t="s">
        <v>1176</v>
      </c>
      <c r="O100" s="75" t="s">
        <v>2783</v>
      </c>
      <c r="P100" s="75" t="s">
        <v>2807</v>
      </c>
    </row>
    <row r="101" customFormat="false" ht="68.65" hidden="false" customHeight="false" outlineLevel="0" collapsed="false">
      <c r="A101" s="73" t="s">
        <v>2771</v>
      </c>
      <c r="B101" s="73" t="s">
        <v>2772</v>
      </c>
      <c r="C101" s="73" t="s">
        <v>2796</v>
      </c>
      <c r="D101" s="75" t="s">
        <v>2797</v>
      </c>
      <c r="E101" s="75" t="s">
        <v>2775</v>
      </c>
      <c r="F101" s="75" t="s">
        <v>2776</v>
      </c>
      <c r="G101" s="75" t="s">
        <v>2798</v>
      </c>
      <c r="H101" s="75" t="s">
        <v>2799</v>
      </c>
      <c r="I101" s="75" t="s">
        <v>2808</v>
      </c>
      <c r="J101" s="75" t="s">
        <v>2791</v>
      </c>
      <c r="K101" s="75" t="s">
        <v>2809</v>
      </c>
      <c r="L101" s="75" t="s">
        <v>2810</v>
      </c>
      <c r="M101" s="75" t="s">
        <v>2794</v>
      </c>
      <c r="N101" s="75" t="s">
        <v>1176</v>
      </c>
      <c r="O101" s="75" t="s">
        <v>2783</v>
      </c>
      <c r="P101" s="75" t="s">
        <v>2811</v>
      </c>
    </row>
    <row r="102" customFormat="false" ht="102.2" hidden="false" customHeight="false" outlineLevel="0" collapsed="false">
      <c r="A102" s="73" t="s">
        <v>2771</v>
      </c>
      <c r="B102" s="73" t="s">
        <v>2772</v>
      </c>
      <c r="C102" s="73" t="s">
        <v>2812</v>
      </c>
      <c r="D102" s="75" t="s">
        <v>2813</v>
      </c>
      <c r="E102" s="75" t="s">
        <v>2814</v>
      </c>
      <c r="F102" s="75" t="s">
        <v>2776</v>
      </c>
      <c r="G102" s="75" t="s">
        <v>2798</v>
      </c>
      <c r="H102" s="75" t="s">
        <v>2815</v>
      </c>
      <c r="I102" s="75" t="s">
        <v>2816</v>
      </c>
      <c r="J102" s="75" t="s">
        <v>866</v>
      </c>
      <c r="K102" s="75" t="s">
        <v>2817</v>
      </c>
      <c r="L102" s="75" t="s">
        <v>2818</v>
      </c>
      <c r="M102" s="75" t="s">
        <v>2819</v>
      </c>
      <c r="N102" s="75" t="s">
        <v>2820</v>
      </c>
      <c r="O102" s="75" t="s">
        <v>2821</v>
      </c>
      <c r="P102" s="75" t="s">
        <v>2822</v>
      </c>
    </row>
    <row r="103" customFormat="false" ht="102.2" hidden="false" customHeight="false" outlineLevel="0" collapsed="false">
      <c r="A103" s="73" t="s">
        <v>2771</v>
      </c>
      <c r="B103" s="73" t="s">
        <v>2772</v>
      </c>
      <c r="C103" s="73" t="s">
        <v>2812</v>
      </c>
      <c r="D103" s="75" t="s">
        <v>2813</v>
      </c>
      <c r="E103" s="75" t="s">
        <v>2814</v>
      </c>
      <c r="F103" s="75" t="s">
        <v>2776</v>
      </c>
      <c r="G103" s="75" t="s">
        <v>2798</v>
      </c>
      <c r="H103" s="75" t="s">
        <v>2815</v>
      </c>
      <c r="I103" s="75" t="s">
        <v>2823</v>
      </c>
      <c r="J103" s="75" t="s">
        <v>2646</v>
      </c>
      <c r="K103" s="75" t="s">
        <v>2824</v>
      </c>
      <c r="L103" s="75" t="s">
        <v>2825</v>
      </c>
      <c r="M103" s="75" t="s">
        <v>2782</v>
      </c>
      <c r="N103" s="75" t="s">
        <v>2820</v>
      </c>
      <c r="O103" s="75" t="s">
        <v>2821</v>
      </c>
      <c r="P103" s="75" t="s">
        <v>2826</v>
      </c>
    </row>
    <row r="104" customFormat="false" ht="102.2" hidden="false" customHeight="false" outlineLevel="0" collapsed="false">
      <c r="A104" s="73" t="s">
        <v>2827</v>
      </c>
      <c r="B104" s="73" t="s">
        <v>2396</v>
      </c>
      <c r="C104" s="73" t="s">
        <v>2828</v>
      </c>
      <c r="D104" s="75" t="s">
        <v>2829</v>
      </c>
      <c r="E104" s="75" t="s">
        <v>2814</v>
      </c>
      <c r="F104" s="75" t="s">
        <v>2776</v>
      </c>
      <c r="G104" s="75" t="s">
        <v>2798</v>
      </c>
      <c r="H104" s="75" t="s">
        <v>2830</v>
      </c>
      <c r="I104" s="75" t="s">
        <v>2831</v>
      </c>
      <c r="J104" s="75" t="s">
        <v>2646</v>
      </c>
      <c r="K104" s="75" t="s">
        <v>2832</v>
      </c>
      <c r="L104" s="75" t="s">
        <v>2833</v>
      </c>
      <c r="M104" s="75" t="s">
        <v>2834</v>
      </c>
      <c r="N104" s="75" t="s">
        <v>2277</v>
      </c>
      <c r="O104" s="75" t="s">
        <v>2821</v>
      </c>
      <c r="P104" s="75" t="s">
        <v>2835</v>
      </c>
    </row>
    <row r="105" customFormat="false" ht="91" hidden="false" customHeight="false" outlineLevel="0" collapsed="false">
      <c r="A105" s="73" t="s">
        <v>2827</v>
      </c>
      <c r="B105" s="73" t="s">
        <v>2396</v>
      </c>
      <c r="C105" s="73" t="s">
        <v>2836</v>
      </c>
      <c r="D105" s="75" t="s">
        <v>2837</v>
      </c>
      <c r="E105" s="75" t="s">
        <v>2814</v>
      </c>
      <c r="F105" s="75" t="s">
        <v>2776</v>
      </c>
      <c r="G105" s="75" t="s">
        <v>2798</v>
      </c>
      <c r="H105" s="75" t="s">
        <v>2830</v>
      </c>
      <c r="I105" s="75" t="s">
        <v>2838</v>
      </c>
      <c r="J105" s="75" t="s">
        <v>866</v>
      </c>
      <c r="K105" s="75" t="s">
        <v>2839</v>
      </c>
      <c r="L105" s="75" t="s">
        <v>2840</v>
      </c>
      <c r="M105" s="75" t="s">
        <v>2841</v>
      </c>
      <c r="N105" s="75" t="s">
        <v>2116</v>
      </c>
      <c r="O105" s="75" t="s">
        <v>2821</v>
      </c>
      <c r="P105" s="75" t="s">
        <v>2842</v>
      </c>
    </row>
    <row r="106" customFormat="false" ht="91" hidden="false" customHeight="false" outlineLevel="0" collapsed="false">
      <c r="A106" s="73" t="s">
        <v>2827</v>
      </c>
      <c r="B106" s="73" t="s">
        <v>2396</v>
      </c>
      <c r="C106" s="73" t="s">
        <v>2843</v>
      </c>
      <c r="D106" s="75" t="s">
        <v>2844</v>
      </c>
      <c r="E106" s="75" t="s">
        <v>2814</v>
      </c>
      <c r="F106" s="75" t="s">
        <v>2776</v>
      </c>
      <c r="G106" s="75" t="s">
        <v>2798</v>
      </c>
      <c r="H106" s="75" t="s">
        <v>2830</v>
      </c>
      <c r="I106" s="75" t="s">
        <v>2845</v>
      </c>
      <c r="J106" s="75" t="s">
        <v>866</v>
      </c>
      <c r="K106" s="75" t="s">
        <v>2846</v>
      </c>
      <c r="L106" s="75" t="s">
        <v>2847</v>
      </c>
      <c r="M106" s="75" t="s">
        <v>2848</v>
      </c>
      <c r="N106" s="75" t="s">
        <v>2849</v>
      </c>
      <c r="O106" s="75" t="s">
        <v>2850</v>
      </c>
      <c r="P106" s="75" t="s">
        <v>2851</v>
      </c>
    </row>
    <row r="107" customFormat="false" ht="102.2" hidden="false" customHeight="false" outlineLevel="0" collapsed="false">
      <c r="A107" s="73" t="s">
        <v>2852</v>
      </c>
      <c r="B107" s="73" t="s">
        <v>2417</v>
      </c>
      <c r="C107" s="73" t="s">
        <v>2853</v>
      </c>
      <c r="D107" s="75" t="s">
        <v>2854</v>
      </c>
      <c r="E107" s="75" t="s">
        <v>2855</v>
      </c>
      <c r="F107" s="75" t="s">
        <v>2776</v>
      </c>
      <c r="G107" s="75" t="s">
        <v>2798</v>
      </c>
      <c r="H107" s="75" t="s">
        <v>2799</v>
      </c>
      <c r="I107" s="75" t="s">
        <v>2856</v>
      </c>
      <c r="J107" s="75" t="s">
        <v>866</v>
      </c>
      <c r="K107" s="75" t="s">
        <v>2857</v>
      </c>
      <c r="L107" s="75" t="s">
        <v>2858</v>
      </c>
      <c r="M107" s="75" t="s">
        <v>2859</v>
      </c>
      <c r="N107" s="75" t="s">
        <v>2860</v>
      </c>
      <c r="O107" s="75" t="s">
        <v>2850</v>
      </c>
      <c r="P107" s="75" t="s">
        <v>2861</v>
      </c>
    </row>
    <row r="108" customFormat="false" ht="91" hidden="false" customHeight="false" outlineLevel="0" collapsed="false">
      <c r="A108" s="73" t="s">
        <v>2852</v>
      </c>
      <c r="B108" s="73" t="s">
        <v>2417</v>
      </c>
      <c r="C108" s="73" t="s">
        <v>2862</v>
      </c>
      <c r="D108" s="75" t="s">
        <v>2863</v>
      </c>
      <c r="E108" s="75" t="s">
        <v>2864</v>
      </c>
      <c r="F108" s="75" t="s">
        <v>2776</v>
      </c>
      <c r="G108" s="75" t="s">
        <v>2798</v>
      </c>
      <c r="H108" s="75" t="s">
        <v>2799</v>
      </c>
      <c r="I108" s="75" t="s">
        <v>2865</v>
      </c>
      <c r="J108" s="75" t="s">
        <v>866</v>
      </c>
      <c r="K108" s="75" t="s">
        <v>2866</v>
      </c>
      <c r="L108" s="75" t="s">
        <v>2867</v>
      </c>
      <c r="M108" s="75" t="s">
        <v>2866</v>
      </c>
      <c r="N108" s="75" t="s">
        <v>2868</v>
      </c>
      <c r="O108" s="75" t="s">
        <v>2869</v>
      </c>
      <c r="P108" s="75" t="s">
        <v>2870</v>
      </c>
    </row>
    <row r="109" customFormat="false" ht="91" hidden="false" customHeight="false" outlineLevel="0" collapsed="false">
      <c r="A109" s="73" t="s">
        <v>2871</v>
      </c>
      <c r="B109" s="73" t="s">
        <v>2872</v>
      </c>
      <c r="C109" s="73" t="s">
        <v>2873</v>
      </c>
      <c r="D109" s="75" t="s">
        <v>2874</v>
      </c>
      <c r="E109" s="75" t="s">
        <v>2875</v>
      </c>
      <c r="F109" s="75" t="s">
        <v>2776</v>
      </c>
      <c r="G109" s="75" t="s">
        <v>2798</v>
      </c>
      <c r="H109" s="75" t="s">
        <v>2815</v>
      </c>
      <c r="I109" s="75" t="s">
        <v>2876</v>
      </c>
      <c r="J109" s="75" t="s">
        <v>866</v>
      </c>
      <c r="K109" s="75" t="s">
        <v>2877</v>
      </c>
      <c r="L109" s="75" t="s">
        <v>2878</v>
      </c>
      <c r="M109" s="75" t="s">
        <v>2879</v>
      </c>
      <c r="N109" s="75" t="s">
        <v>2880</v>
      </c>
      <c r="O109" s="75" t="s">
        <v>2881</v>
      </c>
      <c r="P109" s="75" t="s">
        <v>2882</v>
      </c>
    </row>
    <row r="110" customFormat="false" ht="102.2" hidden="false" customHeight="false" outlineLevel="0" collapsed="false">
      <c r="A110" s="73" t="s">
        <v>2883</v>
      </c>
      <c r="B110" s="73" t="s">
        <v>2396</v>
      </c>
      <c r="C110" s="73" t="s">
        <v>2884</v>
      </c>
      <c r="D110" s="75" t="s">
        <v>2885</v>
      </c>
      <c r="E110" s="75" t="s">
        <v>2886</v>
      </c>
      <c r="F110" s="75" t="s">
        <v>2776</v>
      </c>
      <c r="G110" s="75" t="s">
        <v>2798</v>
      </c>
      <c r="H110" s="75" t="s">
        <v>2887</v>
      </c>
      <c r="I110" s="75" t="s">
        <v>2888</v>
      </c>
      <c r="J110" s="75" t="s">
        <v>866</v>
      </c>
      <c r="K110" s="75" t="s">
        <v>2889</v>
      </c>
      <c r="L110" s="75" t="s">
        <v>2890</v>
      </c>
      <c r="M110" s="75" t="s">
        <v>2891</v>
      </c>
      <c r="N110" s="75" t="s">
        <v>2892</v>
      </c>
      <c r="O110" s="75" t="s">
        <v>2404</v>
      </c>
      <c r="P110" s="75" t="s">
        <v>2893</v>
      </c>
    </row>
    <row r="111" customFormat="false" ht="91" hidden="false" customHeight="false" outlineLevel="0" collapsed="false">
      <c r="A111" s="73" t="s">
        <v>2894</v>
      </c>
      <c r="B111" s="73" t="s">
        <v>2396</v>
      </c>
      <c r="C111" s="73" t="s">
        <v>2895</v>
      </c>
      <c r="D111" s="75" t="s">
        <v>2896</v>
      </c>
      <c r="E111" s="75" t="s">
        <v>2864</v>
      </c>
      <c r="F111" s="75" t="s">
        <v>2897</v>
      </c>
      <c r="G111" s="75" t="s">
        <v>2898</v>
      </c>
      <c r="H111" s="75" t="s">
        <v>2899</v>
      </c>
      <c r="I111" s="75" t="s">
        <v>2900</v>
      </c>
      <c r="J111" s="75" t="s">
        <v>866</v>
      </c>
      <c r="K111" s="75" t="s">
        <v>2901</v>
      </c>
      <c r="L111" s="75" t="s">
        <v>2902</v>
      </c>
      <c r="M111" s="75" t="s">
        <v>2782</v>
      </c>
      <c r="N111" s="75" t="s">
        <v>2903</v>
      </c>
      <c r="O111" s="75" t="s">
        <v>2404</v>
      </c>
      <c r="P111" s="75" t="s">
        <v>2904</v>
      </c>
    </row>
    <row r="112" customFormat="false" ht="113.4" hidden="false" customHeight="false" outlineLevel="0" collapsed="false">
      <c r="A112" s="73" t="s">
        <v>2905</v>
      </c>
      <c r="B112" s="73" t="s">
        <v>2772</v>
      </c>
      <c r="C112" s="73" t="s">
        <v>2906</v>
      </c>
      <c r="D112" s="75" t="s">
        <v>2907</v>
      </c>
      <c r="E112" s="75" t="s">
        <v>2814</v>
      </c>
      <c r="F112" s="75" t="s">
        <v>2776</v>
      </c>
      <c r="G112" s="75" t="s">
        <v>2908</v>
      </c>
      <c r="H112" s="75" t="s">
        <v>2830</v>
      </c>
      <c r="I112" s="75" t="s">
        <v>2909</v>
      </c>
      <c r="J112" s="75" t="s">
        <v>866</v>
      </c>
      <c r="K112" s="75" t="s">
        <v>2910</v>
      </c>
      <c r="L112" s="75" t="s">
        <v>2911</v>
      </c>
      <c r="M112" s="75" t="s">
        <v>2912</v>
      </c>
      <c r="N112" s="75" t="s">
        <v>2288</v>
      </c>
      <c r="O112" s="75" t="s">
        <v>2821</v>
      </c>
      <c r="P112" s="75" t="s">
        <v>2913</v>
      </c>
    </row>
    <row r="113" customFormat="false" ht="68.65" hidden="false" customHeight="false" outlineLevel="0" collapsed="false">
      <c r="A113" s="73" t="s">
        <v>2914</v>
      </c>
      <c r="B113" s="73" t="s">
        <v>2772</v>
      </c>
      <c r="C113" s="73" t="s">
        <v>2915</v>
      </c>
      <c r="D113" s="75" t="s">
        <v>2774</v>
      </c>
      <c r="E113" s="75" t="s">
        <v>2775</v>
      </c>
      <c r="F113" s="75" t="s">
        <v>2916</v>
      </c>
      <c r="G113" s="75" t="s">
        <v>2777</v>
      </c>
      <c r="H113" s="75" t="s">
        <v>2917</v>
      </c>
      <c r="I113" s="75" t="s">
        <v>2918</v>
      </c>
      <c r="J113" s="75" t="s">
        <v>2646</v>
      </c>
      <c r="K113" s="75" t="s">
        <v>2919</v>
      </c>
      <c r="L113" s="75" t="s">
        <v>2920</v>
      </c>
      <c r="M113" s="75" t="s">
        <v>2782</v>
      </c>
      <c r="N113" s="75" t="s">
        <v>1184</v>
      </c>
      <c r="O113" s="75" t="s">
        <v>2783</v>
      </c>
      <c r="P113" s="75" t="s">
        <v>2921</v>
      </c>
    </row>
    <row r="114" customFormat="false" ht="68.65" hidden="false" customHeight="false" outlineLevel="0" collapsed="false">
      <c r="A114" s="73" t="s">
        <v>2914</v>
      </c>
      <c r="B114" s="73" t="s">
        <v>2772</v>
      </c>
      <c r="C114" s="73" t="s">
        <v>2922</v>
      </c>
      <c r="D114" s="75" t="s">
        <v>2923</v>
      </c>
      <c r="E114" s="75" t="s">
        <v>2775</v>
      </c>
      <c r="F114" s="75" t="s">
        <v>2916</v>
      </c>
      <c r="G114" s="75" t="s">
        <v>2798</v>
      </c>
      <c r="H114" s="75" t="s">
        <v>2778</v>
      </c>
      <c r="I114" s="75" t="s">
        <v>2924</v>
      </c>
      <c r="J114" s="75" t="s">
        <v>866</v>
      </c>
      <c r="K114" s="75" t="s">
        <v>2925</v>
      </c>
      <c r="L114" s="75" t="s">
        <v>2926</v>
      </c>
      <c r="M114" s="75" t="s">
        <v>2927</v>
      </c>
      <c r="N114" s="75" t="s">
        <v>1184</v>
      </c>
      <c r="O114" s="75" t="s">
        <v>2783</v>
      </c>
      <c r="P114" s="75" t="s">
        <v>2928</v>
      </c>
    </row>
    <row r="115" customFormat="false" ht="91" hidden="false" customHeight="false" outlineLevel="0" collapsed="false">
      <c r="A115" s="73" t="s">
        <v>2914</v>
      </c>
      <c r="B115" s="73" t="s">
        <v>2772</v>
      </c>
      <c r="C115" s="73" t="s">
        <v>2929</v>
      </c>
      <c r="D115" s="75" t="s">
        <v>2930</v>
      </c>
      <c r="E115" s="75" t="s">
        <v>2814</v>
      </c>
      <c r="F115" s="75" t="s">
        <v>2916</v>
      </c>
      <c r="G115" s="75" t="s">
        <v>2798</v>
      </c>
      <c r="H115" s="75" t="s">
        <v>2799</v>
      </c>
      <c r="I115" s="75" t="s">
        <v>2931</v>
      </c>
      <c r="J115" s="75" t="s">
        <v>866</v>
      </c>
      <c r="K115" s="75" t="s">
        <v>2932</v>
      </c>
      <c r="L115" s="75" t="s">
        <v>2933</v>
      </c>
      <c r="M115" s="75" t="s">
        <v>2819</v>
      </c>
      <c r="N115" s="75" t="s">
        <v>2934</v>
      </c>
      <c r="O115" s="75" t="s">
        <v>2821</v>
      </c>
      <c r="P115" s="75" t="s">
        <v>2935</v>
      </c>
    </row>
    <row r="116" customFormat="false" ht="91" hidden="false" customHeight="false" outlineLevel="0" collapsed="false">
      <c r="A116" s="73" t="s">
        <v>2936</v>
      </c>
      <c r="B116" s="73" t="s">
        <v>2396</v>
      </c>
      <c r="C116" s="73" t="s">
        <v>2937</v>
      </c>
      <c r="D116" s="75" t="s">
        <v>2938</v>
      </c>
      <c r="E116" s="75" t="s">
        <v>2814</v>
      </c>
      <c r="F116" s="75" t="s">
        <v>2916</v>
      </c>
      <c r="G116" s="75" t="s">
        <v>2798</v>
      </c>
      <c r="H116" s="75" t="s">
        <v>2799</v>
      </c>
      <c r="I116" s="75" t="s">
        <v>2939</v>
      </c>
      <c r="J116" s="75" t="s">
        <v>2646</v>
      </c>
      <c r="K116" s="75" t="s">
        <v>2940</v>
      </c>
      <c r="L116" s="75" t="s">
        <v>2941</v>
      </c>
      <c r="M116" s="75" t="s">
        <v>2942</v>
      </c>
      <c r="N116" s="75" t="s">
        <v>2146</v>
      </c>
      <c r="O116" s="75" t="s">
        <v>2404</v>
      </c>
      <c r="P116" s="75" t="s">
        <v>2943</v>
      </c>
    </row>
    <row r="117" customFormat="false" ht="79.85" hidden="false" customHeight="false" outlineLevel="0" collapsed="false">
      <c r="A117" s="73" t="s">
        <v>2944</v>
      </c>
      <c r="B117" s="73" t="s">
        <v>2417</v>
      </c>
      <c r="C117" s="73" t="s">
        <v>2945</v>
      </c>
      <c r="D117" s="75" t="s">
        <v>2946</v>
      </c>
      <c r="E117" s="75" t="s">
        <v>2947</v>
      </c>
      <c r="F117" s="75" t="s">
        <v>2916</v>
      </c>
      <c r="G117" s="75" t="s">
        <v>2798</v>
      </c>
      <c r="H117" s="75" t="s">
        <v>2948</v>
      </c>
      <c r="I117" s="75" t="s">
        <v>2949</v>
      </c>
      <c r="J117" s="75" t="s">
        <v>866</v>
      </c>
      <c r="K117" s="75" t="s">
        <v>2950</v>
      </c>
      <c r="L117" s="75" t="s">
        <v>2951</v>
      </c>
      <c r="M117" s="75" t="s">
        <v>2952</v>
      </c>
      <c r="N117" s="75" t="s">
        <v>2953</v>
      </c>
      <c r="O117" s="75" t="s">
        <v>1368</v>
      </c>
      <c r="P117" s="75" t="s">
        <v>2954</v>
      </c>
    </row>
    <row r="118" customFormat="false" ht="57.45" hidden="false" customHeight="false" outlineLevel="0" collapsed="false">
      <c r="A118" s="73" t="s">
        <v>2955</v>
      </c>
      <c r="B118" s="73" t="s">
        <v>2772</v>
      </c>
      <c r="C118" s="73" t="s">
        <v>2956</v>
      </c>
      <c r="D118" s="75" t="s">
        <v>2957</v>
      </c>
      <c r="E118" s="75" t="s">
        <v>2814</v>
      </c>
      <c r="F118" s="75" t="s">
        <v>2897</v>
      </c>
      <c r="G118" s="75" t="s">
        <v>2798</v>
      </c>
      <c r="H118" s="75" t="s">
        <v>2958</v>
      </c>
      <c r="I118" s="75" t="s">
        <v>2959</v>
      </c>
      <c r="J118" s="75" t="s">
        <v>2646</v>
      </c>
      <c r="K118" s="75" t="s">
        <v>2960</v>
      </c>
      <c r="L118" s="75" t="s">
        <v>2961</v>
      </c>
      <c r="M118" s="75" t="s">
        <v>2782</v>
      </c>
      <c r="N118" s="75" t="s">
        <v>1190</v>
      </c>
      <c r="O118" s="75" t="s">
        <v>2783</v>
      </c>
      <c r="P118" s="75" t="s">
        <v>2962</v>
      </c>
    </row>
    <row r="119" customFormat="false" ht="57.45" hidden="false" customHeight="false" outlineLevel="0" collapsed="false">
      <c r="A119" s="73" t="s">
        <v>2955</v>
      </c>
      <c r="B119" s="73" t="s">
        <v>2772</v>
      </c>
      <c r="C119" s="73" t="s">
        <v>2963</v>
      </c>
      <c r="D119" s="75" t="s">
        <v>2964</v>
      </c>
      <c r="E119" s="75" t="s">
        <v>2814</v>
      </c>
      <c r="F119" s="75" t="s">
        <v>2897</v>
      </c>
      <c r="G119" s="75" t="s">
        <v>2798</v>
      </c>
      <c r="H119" s="75" t="s">
        <v>2965</v>
      </c>
      <c r="I119" s="75" t="s">
        <v>2966</v>
      </c>
      <c r="J119" s="75" t="s">
        <v>866</v>
      </c>
      <c r="K119" s="75" t="s">
        <v>2967</v>
      </c>
      <c r="L119" s="75" t="s">
        <v>2968</v>
      </c>
      <c r="M119" s="75" t="s">
        <v>2969</v>
      </c>
      <c r="N119" s="75" t="s">
        <v>1190</v>
      </c>
      <c r="O119" s="75" t="s">
        <v>2783</v>
      </c>
      <c r="P119" s="75" t="s">
        <v>2970</v>
      </c>
    </row>
    <row r="120" customFormat="false" ht="57.45" hidden="false" customHeight="false" outlineLevel="0" collapsed="false">
      <c r="A120" s="73" t="s">
        <v>2971</v>
      </c>
      <c r="B120" s="73" t="s">
        <v>2772</v>
      </c>
      <c r="C120" s="73" t="s">
        <v>2972</v>
      </c>
      <c r="D120" s="75" t="s">
        <v>2973</v>
      </c>
      <c r="E120" s="75" t="s">
        <v>2814</v>
      </c>
      <c r="F120" s="75" t="s">
        <v>2974</v>
      </c>
      <c r="G120" s="75" t="s">
        <v>2798</v>
      </c>
      <c r="H120" s="75" t="s">
        <v>2975</v>
      </c>
      <c r="I120" s="75" t="s">
        <v>2976</v>
      </c>
      <c r="J120" s="75" t="s">
        <v>2646</v>
      </c>
      <c r="K120" s="75" t="s">
        <v>2977</v>
      </c>
      <c r="L120" s="75" t="s">
        <v>2978</v>
      </c>
      <c r="M120" s="75" t="s">
        <v>2782</v>
      </c>
      <c r="N120" s="75" t="s">
        <v>1195</v>
      </c>
      <c r="O120" s="75" t="s">
        <v>2783</v>
      </c>
      <c r="P120" s="75" t="s">
        <v>2979</v>
      </c>
    </row>
    <row r="121" customFormat="false" ht="57.45" hidden="false" customHeight="false" outlineLevel="0" collapsed="false">
      <c r="A121" s="73" t="s">
        <v>2971</v>
      </c>
      <c r="B121" s="73" t="s">
        <v>2772</v>
      </c>
      <c r="C121" s="73" t="s">
        <v>2980</v>
      </c>
      <c r="D121" s="75" t="s">
        <v>2981</v>
      </c>
      <c r="E121" s="75" t="s">
        <v>2814</v>
      </c>
      <c r="F121" s="75" t="s">
        <v>2974</v>
      </c>
      <c r="G121" s="75" t="s">
        <v>2798</v>
      </c>
      <c r="H121" s="75" t="s">
        <v>2917</v>
      </c>
      <c r="I121" s="75" t="s">
        <v>2982</v>
      </c>
      <c r="J121" s="75" t="s">
        <v>866</v>
      </c>
      <c r="K121" s="75" t="s">
        <v>2983</v>
      </c>
      <c r="L121" s="75" t="s">
        <v>2984</v>
      </c>
      <c r="M121" s="75" t="s">
        <v>2969</v>
      </c>
      <c r="N121" s="75" t="s">
        <v>1195</v>
      </c>
      <c r="O121" s="75" t="s">
        <v>2783</v>
      </c>
      <c r="P121" s="75" t="s">
        <v>2985</v>
      </c>
    </row>
    <row r="122" customFormat="false" ht="68.65" hidden="false" customHeight="false" outlineLevel="0" collapsed="false">
      <c r="A122" s="73" t="s">
        <v>2914</v>
      </c>
      <c r="B122" s="73" t="s">
        <v>2772</v>
      </c>
      <c r="C122" s="73" t="s">
        <v>2929</v>
      </c>
      <c r="D122" s="75" t="s">
        <v>2930</v>
      </c>
      <c r="E122" s="75" t="s">
        <v>2814</v>
      </c>
      <c r="F122" s="75" t="s">
        <v>2916</v>
      </c>
      <c r="G122" s="75" t="s">
        <v>2798</v>
      </c>
      <c r="H122" s="75" t="s">
        <v>2799</v>
      </c>
      <c r="I122" s="75" t="s">
        <v>2986</v>
      </c>
      <c r="J122" s="75" t="s">
        <v>866</v>
      </c>
      <c r="K122" s="75" t="s">
        <v>2987</v>
      </c>
      <c r="L122" s="75" t="s">
        <v>2988</v>
      </c>
      <c r="M122" s="75" t="s">
        <v>2969</v>
      </c>
      <c r="N122" s="75" t="s">
        <v>1184</v>
      </c>
      <c r="O122" s="75" t="s">
        <v>2783</v>
      </c>
      <c r="P122" s="75" t="s">
        <v>2989</v>
      </c>
    </row>
    <row r="123" customFormat="false" ht="68.65" hidden="false" customHeight="false" outlineLevel="0" collapsed="false">
      <c r="A123" s="73" t="s">
        <v>2914</v>
      </c>
      <c r="B123" s="73" t="s">
        <v>2772</v>
      </c>
      <c r="C123" s="73" t="s">
        <v>2990</v>
      </c>
      <c r="D123" s="75" t="s">
        <v>2991</v>
      </c>
      <c r="E123" s="75" t="s">
        <v>2814</v>
      </c>
      <c r="F123" s="75" t="s">
        <v>2916</v>
      </c>
      <c r="G123" s="75" t="s">
        <v>2798</v>
      </c>
      <c r="H123" s="75" t="s">
        <v>2992</v>
      </c>
      <c r="I123" s="75" t="s">
        <v>2993</v>
      </c>
      <c r="J123" s="75" t="s">
        <v>2646</v>
      </c>
      <c r="K123" s="75" t="s">
        <v>2994</v>
      </c>
      <c r="L123" s="75" t="s">
        <v>2995</v>
      </c>
      <c r="M123" s="75" t="s">
        <v>2996</v>
      </c>
      <c r="N123" s="75" t="s">
        <v>1184</v>
      </c>
      <c r="O123" s="75" t="s">
        <v>2783</v>
      </c>
      <c r="P123" s="75" t="s">
        <v>2997</v>
      </c>
    </row>
    <row r="124" customFormat="false" ht="79.85" hidden="false" customHeight="false" outlineLevel="0" collapsed="false">
      <c r="A124" s="73" t="s">
        <v>2936</v>
      </c>
      <c r="B124" s="73" t="s">
        <v>2396</v>
      </c>
      <c r="C124" s="73" t="s">
        <v>2998</v>
      </c>
      <c r="D124" s="75" t="s">
        <v>2999</v>
      </c>
      <c r="E124" s="75" t="s">
        <v>2814</v>
      </c>
      <c r="F124" s="75" t="s">
        <v>2916</v>
      </c>
      <c r="G124" s="75" t="s">
        <v>2798</v>
      </c>
      <c r="H124" s="75" t="s">
        <v>2992</v>
      </c>
      <c r="I124" s="75" t="s">
        <v>3000</v>
      </c>
      <c r="J124" s="75" t="s">
        <v>866</v>
      </c>
      <c r="K124" s="75" t="s">
        <v>3001</v>
      </c>
      <c r="L124" s="75" t="s">
        <v>3002</v>
      </c>
      <c r="M124" s="75" t="s">
        <v>2942</v>
      </c>
      <c r="N124" s="75" t="s">
        <v>3003</v>
      </c>
      <c r="O124" s="75" t="s">
        <v>2412</v>
      </c>
      <c r="P124" s="75" t="s">
        <v>3004</v>
      </c>
    </row>
    <row r="125" customFormat="false" ht="79.85" hidden="false" customHeight="false" outlineLevel="0" collapsed="false">
      <c r="A125" s="73" t="s">
        <v>2936</v>
      </c>
      <c r="B125" s="73" t="s">
        <v>2396</v>
      </c>
      <c r="C125" s="73" t="s">
        <v>3005</v>
      </c>
      <c r="D125" s="75" t="s">
        <v>3006</v>
      </c>
      <c r="E125" s="75" t="s">
        <v>2814</v>
      </c>
      <c r="F125" s="75" t="s">
        <v>2916</v>
      </c>
      <c r="G125" s="75" t="s">
        <v>2798</v>
      </c>
      <c r="H125" s="75" t="s">
        <v>3007</v>
      </c>
      <c r="I125" s="75" t="s">
        <v>3008</v>
      </c>
      <c r="J125" s="75" t="s">
        <v>866</v>
      </c>
      <c r="K125" s="75" t="s">
        <v>3009</v>
      </c>
      <c r="L125" s="75" t="s">
        <v>3010</v>
      </c>
      <c r="M125" s="75" t="s">
        <v>2848</v>
      </c>
      <c r="N125" s="75" t="s">
        <v>3011</v>
      </c>
      <c r="O125" s="75" t="s">
        <v>1368</v>
      </c>
      <c r="P125" s="75" t="s">
        <v>3012</v>
      </c>
    </row>
    <row r="126" customFormat="false" ht="91" hidden="false" customHeight="false" outlineLevel="0" collapsed="false">
      <c r="A126" s="73" t="s">
        <v>2944</v>
      </c>
      <c r="B126" s="73" t="s">
        <v>2417</v>
      </c>
      <c r="C126" s="73" t="s">
        <v>3013</v>
      </c>
      <c r="D126" s="75" t="s">
        <v>3014</v>
      </c>
      <c r="E126" s="75" t="s">
        <v>2947</v>
      </c>
      <c r="F126" s="75" t="s">
        <v>2916</v>
      </c>
      <c r="G126" s="75" t="s">
        <v>2798</v>
      </c>
      <c r="H126" s="75" t="s">
        <v>3015</v>
      </c>
      <c r="I126" s="75" t="s">
        <v>3016</v>
      </c>
      <c r="J126" s="75" t="s">
        <v>866</v>
      </c>
      <c r="K126" s="75" t="s">
        <v>3017</v>
      </c>
      <c r="L126" s="75" t="s">
        <v>3018</v>
      </c>
      <c r="M126" s="75" t="s">
        <v>2952</v>
      </c>
      <c r="N126" s="75" t="s">
        <v>3019</v>
      </c>
      <c r="O126" s="75" t="s">
        <v>1368</v>
      </c>
      <c r="P126" s="75" t="s">
        <v>3020</v>
      </c>
    </row>
    <row r="127" customFormat="false" ht="79.85" hidden="false" customHeight="false" outlineLevel="0" collapsed="false">
      <c r="A127" s="73" t="s">
        <v>2944</v>
      </c>
      <c r="B127" s="73" t="s">
        <v>2417</v>
      </c>
      <c r="C127" s="73" t="s">
        <v>3021</v>
      </c>
      <c r="D127" s="75" t="s">
        <v>2863</v>
      </c>
      <c r="E127" s="75" t="s">
        <v>2864</v>
      </c>
      <c r="F127" s="75" t="s">
        <v>2916</v>
      </c>
      <c r="G127" s="75" t="s">
        <v>2798</v>
      </c>
      <c r="H127" s="75" t="s">
        <v>3022</v>
      </c>
      <c r="I127" s="75" t="s">
        <v>3023</v>
      </c>
      <c r="J127" s="75" t="s">
        <v>866</v>
      </c>
      <c r="K127" s="75" t="s">
        <v>3024</v>
      </c>
      <c r="L127" s="75" t="s">
        <v>3025</v>
      </c>
      <c r="M127" s="75" t="s">
        <v>3026</v>
      </c>
      <c r="N127" s="75" t="s">
        <v>3011</v>
      </c>
      <c r="O127" s="75" t="s">
        <v>3027</v>
      </c>
      <c r="P127" s="75" t="s">
        <v>3028</v>
      </c>
    </row>
    <row r="128" customFormat="false" ht="79.85" hidden="false" customHeight="false" outlineLevel="0" collapsed="false">
      <c r="A128" s="73" t="s">
        <v>3029</v>
      </c>
      <c r="B128" s="73" t="s">
        <v>2396</v>
      </c>
      <c r="C128" s="73" t="s">
        <v>3030</v>
      </c>
      <c r="D128" s="75" t="s">
        <v>3031</v>
      </c>
      <c r="E128" s="75" t="s">
        <v>2814</v>
      </c>
      <c r="F128" s="75" t="s">
        <v>3032</v>
      </c>
      <c r="G128" s="75" t="s">
        <v>2898</v>
      </c>
      <c r="H128" s="75" t="s">
        <v>3033</v>
      </c>
      <c r="I128" s="75" t="s">
        <v>3034</v>
      </c>
      <c r="J128" s="75" t="s">
        <v>866</v>
      </c>
      <c r="K128" s="75" t="s">
        <v>3035</v>
      </c>
      <c r="L128" s="75" t="s">
        <v>3036</v>
      </c>
      <c r="M128" s="75" t="s">
        <v>3037</v>
      </c>
      <c r="N128" s="75" t="s">
        <v>3038</v>
      </c>
      <c r="O128" s="75" t="s">
        <v>2412</v>
      </c>
      <c r="P128" s="75" t="s">
        <v>3039</v>
      </c>
    </row>
    <row r="129" customFormat="false" ht="79.85" hidden="false" customHeight="false" outlineLevel="0" collapsed="false">
      <c r="A129" s="73" t="s">
        <v>3040</v>
      </c>
      <c r="B129" s="73" t="s">
        <v>2872</v>
      </c>
      <c r="C129" s="73" t="s">
        <v>3041</v>
      </c>
      <c r="D129" s="75" t="s">
        <v>3042</v>
      </c>
      <c r="E129" s="75" t="s">
        <v>3043</v>
      </c>
      <c r="F129" s="75" t="s">
        <v>2916</v>
      </c>
      <c r="G129" s="75" t="s">
        <v>2798</v>
      </c>
      <c r="H129" s="75" t="s">
        <v>2815</v>
      </c>
      <c r="I129" s="75" t="s">
        <v>3044</v>
      </c>
      <c r="J129" s="75" t="s">
        <v>866</v>
      </c>
      <c r="K129" s="75" t="s">
        <v>3045</v>
      </c>
      <c r="L129" s="75" t="s">
        <v>3046</v>
      </c>
      <c r="M129" s="75" t="s">
        <v>2879</v>
      </c>
      <c r="N129" s="75" t="s">
        <v>3047</v>
      </c>
      <c r="O129" s="75" t="s">
        <v>2412</v>
      </c>
      <c r="P129" s="75" t="s">
        <v>3048</v>
      </c>
    </row>
    <row r="130" customFormat="false" ht="57.45" hidden="false" customHeight="false" outlineLevel="0" collapsed="false">
      <c r="A130" s="73" t="s">
        <v>2955</v>
      </c>
      <c r="B130" s="73" t="s">
        <v>2772</v>
      </c>
      <c r="C130" s="73" t="s">
        <v>2963</v>
      </c>
      <c r="D130" s="75" t="s">
        <v>3049</v>
      </c>
      <c r="E130" s="75" t="s">
        <v>2814</v>
      </c>
      <c r="F130" s="75" t="s">
        <v>2897</v>
      </c>
      <c r="G130" s="75" t="s">
        <v>2798</v>
      </c>
      <c r="H130" s="75" t="s">
        <v>2965</v>
      </c>
      <c r="I130" s="75" t="s">
        <v>3050</v>
      </c>
      <c r="J130" s="75" t="s">
        <v>866</v>
      </c>
      <c r="K130" s="75" t="s">
        <v>3051</v>
      </c>
      <c r="L130" s="75" t="s">
        <v>3052</v>
      </c>
      <c r="M130" s="75" t="s">
        <v>2942</v>
      </c>
      <c r="N130" s="75" t="s">
        <v>1190</v>
      </c>
      <c r="O130" s="75" t="s">
        <v>2783</v>
      </c>
      <c r="P130" s="75" t="s">
        <v>3053</v>
      </c>
    </row>
    <row r="131" customFormat="false" ht="91" hidden="false" customHeight="false" outlineLevel="0" collapsed="false">
      <c r="A131" s="73" t="s">
        <v>2955</v>
      </c>
      <c r="B131" s="73" t="s">
        <v>2772</v>
      </c>
      <c r="C131" s="73" t="s">
        <v>3054</v>
      </c>
      <c r="D131" s="75" t="s">
        <v>3055</v>
      </c>
      <c r="E131" s="75" t="s">
        <v>2814</v>
      </c>
      <c r="F131" s="75" t="s">
        <v>2897</v>
      </c>
      <c r="G131" s="75" t="s">
        <v>2798</v>
      </c>
      <c r="H131" s="75" t="s">
        <v>2778</v>
      </c>
      <c r="I131" s="75" t="s">
        <v>3056</v>
      </c>
      <c r="J131" s="75" t="s">
        <v>866</v>
      </c>
      <c r="K131" s="75" t="s">
        <v>3057</v>
      </c>
      <c r="L131" s="75" t="s">
        <v>3058</v>
      </c>
      <c r="M131" s="75" t="s">
        <v>2819</v>
      </c>
      <c r="N131" s="75" t="s">
        <v>3059</v>
      </c>
      <c r="O131" s="75" t="s">
        <v>2783</v>
      </c>
      <c r="P131" s="75" t="s">
        <v>3060</v>
      </c>
    </row>
    <row r="132" customFormat="false" ht="91" hidden="false" customHeight="false" outlineLevel="0" collapsed="false">
      <c r="A132" s="73" t="s">
        <v>3061</v>
      </c>
      <c r="B132" s="73" t="s">
        <v>2396</v>
      </c>
      <c r="C132" s="73" t="s">
        <v>3062</v>
      </c>
      <c r="D132" s="75" t="s">
        <v>3063</v>
      </c>
      <c r="E132" s="75" t="s">
        <v>2814</v>
      </c>
      <c r="F132" s="75" t="s">
        <v>2897</v>
      </c>
      <c r="G132" s="75" t="s">
        <v>2798</v>
      </c>
      <c r="H132" s="75" t="s">
        <v>3022</v>
      </c>
      <c r="I132" s="75" t="s">
        <v>3064</v>
      </c>
      <c r="J132" s="75" t="s">
        <v>2646</v>
      </c>
      <c r="K132" s="75" t="s">
        <v>3065</v>
      </c>
      <c r="L132" s="75" t="s">
        <v>3066</v>
      </c>
      <c r="M132" s="75" t="s">
        <v>2834</v>
      </c>
      <c r="N132" s="75" t="s">
        <v>1533</v>
      </c>
      <c r="O132" s="75" t="s">
        <v>2412</v>
      </c>
      <c r="P132" s="75" t="s">
        <v>3067</v>
      </c>
    </row>
    <row r="133" customFormat="false" ht="79.85" hidden="false" customHeight="false" outlineLevel="0" collapsed="false">
      <c r="A133" s="73" t="s">
        <v>3061</v>
      </c>
      <c r="B133" s="73" t="s">
        <v>2396</v>
      </c>
      <c r="C133" s="73" t="s">
        <v>3068</v>
      </c>
      <c r="D133" s="75" t="s">
        <v>3069</v>
      </c>
      <c r="E133" s="75" t="s">
        <v>2814</v>
      </c>
      <c r="F133" s="75" t="s">
        <v>2897</v>
      </c>
      <c r="G133" s="75" t="s">
        <v>2798</v>
      </c>
      <c r="H133" s="75" t="s">
        <v>2799</v>
      </c>
      <c r="I133" s="75" t="s">
        <v>3070</v>
      </c>
      <c r="J133" s="75" t="s">
        <v>866</v>
      </c>
      <c r="K133" s="75" t="s">
        <v>3071</v>
      </c>
      <c r="L133" s="75" t="s">
        <v>3072</v>
      </c>
      <c r="M133" s="75" t="s">
        <v>2942</v>
      </c>
      <c r="N133" s="75" t="s">
        <v>1534</v>
      </c>
      <c r="O133" s="75" t="s">
        <v>2412</v>
      </c>
      <c r="P133" s="75" t="s">
        <v>3073</v>
      </c>
    </row>
    <row r="134" customFormat="false" ht="91" hidden="false" customHeight="false" outlineLevel="0" collapsed="false">
      <c r="A134" s="73" t="s">
        <v>3074</v>
      </c>
      <c r="B134" s="73" t="s">
        <v>2417</v>
      </c>
      <c r="C134" s="73" t="s">
        <v>3075</v>
      </c>
      <c r="D134" s="75" t="s">
        <v>3076</v>
      </c>
      <c r="E134" s="75" t="s">
        <v>2947</v>
      </c>
      <c r="F134" s="75" t="s">
        <v>2897</v>
      </c>
      <c r="G134" s="75" t="s">
        <v>2798</v>
      </c>
      <c r="H134" s="75" t="s">
        <v>2948</v>
      </c>
      <c r="I134" s="75" t="s">
        <v>3077</v>
      </c>
      <c r="J134" s="75" t="s">
        <v>866</v>
      </c>
      <c r="K134" s="75" t="s">
        <v>3078</v>
      </c>
      <c r="L134" s="75" t="s">
        <v>3079</v>
      </c>
      <c r="M134" s="75" t="s">
        <v>2952</v>
      </c>
      <c r="N134" s="75" t="s">
        <v>3080</v>
      </c>
      <c r="O134" s="75" t="s">
        <v>1368</v>
      </c>
      <c r="P134" s="75" t="s">
        <v>3081</v>
      </c>
    </row>
    <row r="135" customFormat="false" ht="91" hidden="false" customHeight="false" outlineLevel="0" collapsed="false">
      <c r="A135" s="73" t="s">
        <v>3074</v>
      </c>
      <c r="B135" s="73" t="s">
        <v>2417</v>
      </c>
      <c r="C135" s="73" t="s">
        <v>3082</v>
      </c>
      <c r="D135" s="75" t="s">
        <v>3083</v>
      </c>
      <c r="E135" s="75" t="s">
        <v>2864</v>
      </c>
      <c r="F135" s="75" t="s">
        <v>2897</v>
      </c>
      <c r="G135" s="75" t="s">
        <v>2798</v>
      </c>
      <c r="H135" s="75" t="s">
        <v>3015</v>
      </c>
      <c r="I135" s="75" t="s">
        <v>3084</v>
      </c>
      <c r="J135" s="75" t="s">
        <v>866</v>
      </c>
      <c r="K135" s="75" t="s">
        <v>3085</v>
      </c>
      <c r="L135" s="75" t="s">
        <v>3086</v>
      </c>
      <c r="M135" s="75" t="s">
        <v>3026</v>
      </c>
      <c r="N135" s="75" t="s">
        <v>3087</v>
      </c>
      <c r="O135" s="75" t="s">
        <v>3027</v>
      </c>
      <c r="P135" s="75" t="s">
        <v>3088</v>
      </c>
    </row>
    <row r="136" customFormat="false" ht="91" hidden="false" customHeight="false" outlineLevel="0" collapsed="false">
      <c r="A136" s="73" t="s">
        <v>3089</v>
      </c>
      <c r="B136" s="73" t="s">
        <v>2396</v>
      </c>
      <c r="C136" s="73" t="s">
        <v>3090</v>
      </c>
      <c r="D136" s="75" t="s">
        <v>3091</v>
      </c>
      <c r="E136" s="75" t="s">
        <v>2814</v>
      </c>
      <c r="F136" s="75" t="s">
        <v>2897</v>
      </c>
      <c r="G136" s="75" t="s">
        <v>2798</v>
      </c>
      <c r="H136" s="75" t="s">
        <v>2778</v>
      </c>
      <c r="I136" s="75" t="s">
        <v>3092</v>
      </c>
      <c r="J136" s="75" t="s">
        <v>866</v>
      </c>
      <c r="K136" s="75" t="s">
        <v>3093</v>
      </c>
      <c r="L136" s="75" t="s">
        <v>3094</v>
      </c>
      <c r="M136" s="75" t="s">
        <v>3095</v>
      </c>
      <c r="N136" s="75" t="s">
        <v>1533</v>
      </c>
      <c r="O136" s="75" t="s">
        <v>2412</v>
      </c>
      <c r="P136" s="75" t="s">
        <v>3096</v>
      </c>
    </row>
    <row r="137" customFormat="false" ht="91" hidden="false" customHeight="false" outlineLevel="0" collapsed="false">
      <c r="A137" s="73" t="s">
        <v>3097</v>
      </c>
      <c r="B137" s="73" t="s">
        <v>2396</v>
      </c>
      <c r="C137" s="73" t="s">
        <v>3098</v>
      </c>
      <c r="D137" s="75" t="s">
        <v>3099</v>
      </c>
      <c r="E137" s="75" t="s">
        <v>2814</v>
      </c>
      <c r="F137" s="75" t="s">
        <v>2897</v>
      </c>
      <c r="G137" s="75" t="s">
        <v>2798</v>
      </c>
      <c r="H137" s="75" t="s">
        <v>2887</v>
      </c>
      <c r="I137" s="75" t="s">
        <v>3100</v>
      </c>
      <c r="J137" s="75" t="s">
        <v>866</v>
      </c>
      <c r="K137" s="75" t="s">
        <v>3101</v>
      </c>
      <c r="L137" s="75" t="s">
        <v>3102</v>
      </c>
      <c r="M137" s="75" t="s">
        <v>2891</v>
      </c>
      <c r="N137" s="75" t="s">
        <v>3103</v>
      </c>
      <c r="O137" s="75" t="s">
        <v>2412</v>
      </c>
      <c r="P137" s="75" t="s">
        <v>3104</v>
      </c>
    </row>
    <row r="138" customFormat="false" ht="57.45" hidden="false" customHeight="false" outlineLevel="0" collapsed="false">
      <c r="A138" s="73" t="s">
        <v>2971</v>
      </c>
      <c r="B138" s="73" t="s">
        <v>2772</v>
      </c>
      <c r="C138" s="73" t="s">
        <v>2980</v>
      </c>
      <c r="D138" s="75" t="s">
        <v>3105</v>
      </c>
      <c r="E138" s="75" t="s">
        <v>2814</v>
      </c>
      <c r="F138" s="75" t="s">
        <v>2974</v>
      </c>
      <c r="G138" s="75" t="s">
        <v>2798</v>
      </c>
      <c r="H138" s="75" t="s">
        <v>2917</v>
      </c>
      <c r="I138" s="75" t="s">
        <v>3106</v>
      </c>
      <c r="J138" s="75" t="s">
        <v>866</v>
      </c>
      <c r="K138" s="75" t="s">
        <v>3107</v>
      </c>
      <c r="L138" s="75" t="s">
        <v>3108</v>
      </c>
      <c r="M138" s="75" t="s">
        <v>3109</v>
      </c>
      <c r="N138" s="75" t="s">
        <v>1195</v>
      </c>
      <c r="O138" s="75" t="s">
        <v>2783</v>
      </c>
      <c r="P138" s="75" t="s">
        <v>3110</v>
      </c>
    </row>
    <row r="139" customFormat="false" ht="91" hidden="false" customHeight="false" outlineLevel="0" collapsed="false">
      <c r="A139" s="73" t="s">
        <v>2971</v>
      </c>
      <c r="B139" s="73" t="s">
        <v>2772</v>
      </c>
      <c r="C139" s="73" t="s">
        <v>3111</v>
      </c>
      <c r="D139" s="75" t="s">
        <v>3112</v>
      </c>
      <c r="E139" s="75" t="s">
        <v>2814</v>
      </c>
      <c r="F139" s="75" t="s">
        <v>2974</v>
      </c>
      <c r="G139" s="75" t="s">
        <v>2798</v>
      </c>
      <c r="H139" s="75" t="s">
        <v>3113</v>
      </c>
      <c r="I139" s="75" t="s">
        <v>3114</v>
      </c>
      <c r="J139" s="75" t="s">
        <v>866</v>
      </c>
      <c r="K139" s="75" t="s">
        <v>3115</v>
      </c>
      <c r="L139" s="75" t="s">
        <v>3116</v>
      </c>
      <c r="M139" s="75" t="s">
        <v>2819</v>
      </c>
      <c r="N139" s="75" t="s">
        <v>3117</v>
      </c>
      <c r="O139" s="75" t="s">
        <v>2783</v>
      </c>
      <c r="P139" s="75" t="s">
        <v>3118</v>
      </c>
    </row>
    <row r="140" customFormat="false" ht="91" hidden="false" customHeight="false" outlineLevel="0" collapsed="false">
      <c r="A140" s="73" t="s">
        <v>3119</v>
      </c>
      <c r="B140" s="73" t="s">
        <v>2396</v>
      </c>
      <c r="C140" s="73" t="s">
        <v>3120</v>
      </c>
      <c r="D140" s="75" t="s">
        <v>3121</v>
      </c>
      <c r="E140" s="75" t="s">
        <v>2814</v>
      </c>
      <c r="F140" s="75" t="s">
        <v>2974</v>
      </c>
      <c r="G140" s="75" t="s">
        <v>2798</v>
      </c>
      <c r="H140" s="75" t="s">
        <v>2948</v>
      </c>
      <c r="I140" s="75" t="s">
        <v>3122</v>
      </c>
      <c r="J140" s="75" t="s">
        <v>2646</v>
      </c>
      <c r="K140" s="75" t="s">
        <v>3123</v>
      </c>
      <c r="L140" s="75" t="s">
        <v>3124</v>
      </c>
      <c r="M140" s="75" t="s">
        <v>2942</v>
      </c>
      <c r="N140" s="75" t="s">
        <v>3125</v>
      </c>
      <c r="O140" s="75" t="s">
        <v>2412</v>
      </c>
      <c r="P140" s="75" t="s">
        <v>3126</v>
      </c>
    </row>
    <row r="141" customFormat="false" ht="91" hidden="false" customHeight="false" outlineLevel="0" collapsed="false">
      <c r="A141" s="73" t="s">
        <v>3119</v>
      </c>
      <c r="B141" s="73" t="s">
        <v>2396</v>
      </c>
      <c r="C141" s="73" t="s">
        <v>3127</v>
      </c>
      <c r="D141" s="75" t="s">
        <v>3128</v>
      </c>
      <c r="E141" s="75" t="s">
        <v>2814</v>
      </c>
      <c r="F141" s="75" t="s">
        <v>2974</v>
      </c>
      <c r="G141" s="75" t="s">
        <v>2798</v>
      </c>
      <c r="H141" s="75" t="s">
        <v>3015</v>
      </c>
      <c r="I141" s="75" t="s">
        <v>3129</v>
      </c>
      <c r="J141" s="75" t="s">
        <v>866</v>
      </c>
      <c r="K141" s="75" t="s">
        <v>3130</v>
      </c>
      <c r="L141" s="75" t="s">
        <v>3131</v>
      </c>
      <c r="M141" s="75" t="s">
        <v>3132</v>
      </c>
      <c r="N141" s="75" t="s">
        <v>3133</v>
      </c>
      <c r="O141" s="75" t="s">
        <v>2412</v>
      </c>
      <c r="P141" s="75" t="s">
        <v>3134</v>
      </c>
    </row>
    <row r="142" customFormat="false" ht="91" hidden="false" customHeight="false" outlineLevel="0" collapsed="false">
      <c r="A142" s="73" t="s">
        <v>3135</v>
      </c>
      <c r="B142" s="73" t="s">
        <v>2417</v>
      </c>
      <c r="C142" s="73" t="s">
        <v>3136</v>
      </c>
      <c r="D142" s="75" t="s">
        <v>3137</v>
      </c>
      <c r="E142" s="75" t="s">
        <v>2947</v>
      </c>
      <c r="F142" s="75" t="s">
        <v>2974</v>
      </c>
      <c r="G142" s="75" t="s">
        <v>2798</v>
      </c>
      <c r="H142" s="75" t="s">
        <v>2965</v>
      </c>
      <c r="I142" s="75" t="s">
        <v>3138</v>
      </c>
      <c r="J142" s="75" t="s">
        <v>866</v>
      </c>
      <c r="K142" s="75" t="s">
        <v>3139</v>
      </c>
      <c r="L142" s="75" t="s">
        <v>3140</v>
      </c>
      <c r="M142" s="75" t="s">
        <v>2952</v>
      </c>
      <c r="N142" s="75" t="s">
        <v>3141</v>
      </c>
      <c r="O142" s="75" t="s">
        <v>1368</v>
      </c>
      <c r="P142" s="75" t="s">
        <v>3142</v>
      </c>
    </row>
    <row r="143" customFormat="false" ht="79.85" hidden="false" customHeight="false" outlineLevel="0" collapsed="false">
      <c r="A143" s="73" t="s">
        <v>3135</v>
      </c>
      <c r="B143" s="73" t="s">
        <v>2417</v>
      </c>
      <c r="C143" s="73" t="s">
        <v>3143</v>
      </c>
      <c r="D143" s="75" t="s">
        <v>3144</v>
      </c>
      <c r="E143" s="75" t="s">
        <v>2864</v>
      </c>
      <c r="F143" s="75" t="s">
        <v>2974</v>
      </c>
      <c r="G143" s="75" t="s">
        <v>2798</v>
      </c>
      <c r="H143" s="75" t="s">
        <v>3145</v>
      </c>
      <c r="I143" s="75" t="s">
        <v>3146</v>
      </c>
      <c r="J143" s="75" t="s">
        <v>866</v>
      </c>
      <c r="K143" s="75" t="s">
        <v>3147</v>
      </c>
      <c r="L143" s="75" t="s">
        <v>3148</v>
      </c>
      <c r="M143" s="75" t="s">
        <v>3026</v>
      </c>
      <c r="N143" s="75" t="s">
        <v>3149</v>
      </c>
      <c r="O143" s="75" t="s">
        <v>3027</v>
      </c>
      <c r="P143" s="75" t="s">
        <v>3150</v>
      </c>
    </row>
    <row r="144" customFormat="false" ht="79.85" hidden="false" customHeight="false" outlineLevel="0" collapsed="false">
      <c r="A144" s="73" t="s">
        <v>3151</v>
      </c>
      <c r="B144" s="73" t="s">
        <v>2396</v>
      </c>
      <c r="C144" s="73" t="s">
        <v>3152</v>
      </c>
      <c r="D144" s="75" t="s">
        <v>3153</v>
      </c>
      <c r="E144" s="75" t="s">
        <v>2814</v>
      </c>
      <c r="F144" s="75" t="s">
        <v>2974</v>
      </c>
      <c r="G144" s="75" t="s">
        <v>2898</v>
      </c>
      <c r="H144" s="75" t="s">
        <v>2830</v>
      </c>
      <c r="I144" s="75" t="s">
        <v>3154</v>
      </c>
      <c r="J144" s="75" t="s">
        <v>866</v>
      </c>
      <c r="K144" s="75" t="s">
        <v>3155</v>
      </c>
      <c r="L144" s="75" t="s">
        <v>3156</v>
      </c>
      <c r="M144" s="75" t="s">
        <v>2782</v>
      </c>
      <c r="N144" s="75" t="s">
        <v>3157</v>
      </c>
      <c r="O144" s="75" t="s">
        <v>2412</v>
      </c>
      <c r="P144" s="75" t="s">
        <v>3158</v>
      </c>
    </row>
    <row r="145" customFormat="false" ht="91" hidden="false" customHeight="false" outlineLevel="0" collapsed="false">
      <c r="A145" s="73" t="s">
        <v>3159</v>
      </c>
      <c r="B145" s="73" t="s">
        <v>2396</v>
      </c>
      <c r="C145" s="73" t="s">
        <v>3160</v>
      </c>
      <c r="D145" s="75" t="s">
        <v>3161</v>
      </c>
      <c r="E145" s="75" t="s">
        <v>2814</v>
      </c>
      <c r="F145" s="75" t="s">
        <v>2974</v>
      </c>
      <c r="G145" s="75" t="s">
        <v>2798</v>
      </c>
      <c r="H145" s="75" t="s">
        <v>2815</v>
      </c>
      <c r="I145" s="75" t="s">
        <v>3162</v>
      </c>
      <c r="J145" s="75" t="s">
        <v>866</v>
      </c>
      <c r="K145" s="75" t="s">
        <v>3163</v>
      </c>
      <c r="L145" s="75" t="s">
        <v>3164</v>
      </c>
      <c r="M145" s="75" t="s">
        <v>2891</v>
      </c>
      <c r="N145" s="75" t="s">
        <v>3165</v>
      </c>
      <c r="O145" s="75" t="s">
        <v>2412</v>
      </c>
      <c r="P145" s="75" t="s">
        <v>3166</v>
      </c>
    </row>
    <row r="146" customFormat="false" ht="79.85" hidden="false" customHeight="false" outlineLevel="0" collapsed="false">
      <c r="A146" s="73" t="s">
        <v>3167</v>
      </c>
      <c r="B146" s="73" t="s">
        <v>2872</v>
      </c>
      <c r="C146" s="73" t="s">
        <v>3168</v>
      </c>
      <c r="D146" s="75" t="s">
        <v>3169</v>
      </c>
      <c r="E146" s="75" t="s">
        <v>3043</v>
      </c>
      <c r="F146" s="75" t="s">
        <v>2974</v>
      </c>
      <c r="G146" s="75" t="s">
        <v>2798</v>
      </c>
      <c r="H146" s="75" t="s">
        <v>2830</v>
      </c>
      <c r="I146" s="75" t="s">
        <v>3170</v>
      </c>
      <c r="J146" s="75" t="s">
        <v>866</v>
      </c>
      <c r="K146" s="75" t="s">
        <v>3171</v>
      </c>
      <c r="L146" s="75" t="s">
        <v>3172</v>
      </c>
      <c r="M146" s="75" t="s">
        <v>2879</v>
      </c>
      <c r="N146" s="75" t="s">
        <v>3173</v>
      </c>
      <c r="O146" s="75" t="s">
        <v>2412</v>
      </c>
      <c r="P146" s="75" t="s">
        <v>3174</v>
      </c>
    </row>
    <row r="147" customFormat="false" ht="68.65" hidden="false" customHeight="false" outlineLevel="0" collapsed="false">
      <c r="A147" s="73" t="s">
        <v>3175</v>
      </c>
      <c r="B147" s="73" t="s">
        <v>2396</v>
      </c>
      <c r="C147" s="73" t="s">
        <v>3176</v>
      </c>
      <c r="D147" s="75" t="s">
        <v>3177</v>
      </c>
      <c r="E147" s="75" t="s">
        <v>2814</v>
      </c>
      <c r="F147" s="75" t="s">
        <v>3178</v>
      </c>
      <c r="G147" s="75" t="s">
        <v>3179</v>
      </c>
      <c r="H147" s="75" t="s">
        <v>2887</v>
      </c>
      <c r="I147" s="75" t="s">
        <v>3180</v>
      </c>
      <c r="J147" s="75" t="s">
        <v>866</v>
      </c>
      <c r="K147" s="75" t="s">
        <v>3181</v>
      </c>
      <c r="L147" s="75" t="s">
        <v>3182</v>
      </c>
      <c r="M147" s="75" t="s">
        <v>3183</v>
      </c>
      <c r="N147" s="75" t="s">
        <v>3184</v>
      </c>
      <c r="O147" s="75" t="s">
        <v>2412</v>
      </c>
      <c r="P147" s="75" t="s">
        <v>3185</v>
      </c>
    </row>
    <row r="148" customFormat="false" ht="46.25" hidden="false" customHeight="false" outlineLevel="0" collapsed="false">
      <c r="A148" s="73" t="s">
        <v>3186</v>
      </c>
      <c r="B148" s="73" t="s">
        <v>3187</v>
      </c>
      <c r="C148" s="73" t="s">
        <v>3188</v>
      </c>
      <c r="D148" s="75" t="s">
        <v>3189</v>
      </c>
      <c r="E148" s="75" t="s">
        <v>2783</v>
      </c>
      <c r="F148" s="75" t="s">
        <v>3178</v>
      </c>
      <c r="G148" s="75" t="s">
        <v>2798</v>
      </c>
      <c r="H148" s="75" t="s">
        <v>3190</v>
      </c>
      <c r="I148" s="75" t="s">
        <v>3191</v>
      </c>
      <c r="J148" s="75" t="s">
        <v>866</v>
      </c>
      <c r="K148" s="75" t="s">
        <v>3192</v>
      </c>
      <c r="L148" s="75" t="s">
        <v>3193</v>
      </c>
      <c r="M148" s="75" t="s">
        <v>672</v>
      </c>
      <c r="N148" s="75" t="s">
        <v>2065</v>
      </c>
      <c r="O148" s="75" t="s">
        <v>2783</v>
      </c>
      <c r="P148" s="75" t="s">
        <v>3194</v>
      </c>
    </row>
  </sheetData>
  <mergeCells count="4">
    <mergeCell ref="A1:H1"/>
    <mergeCell ref="A3:H3"/>
    <mergeCell ref="A14:H14"/>
    <mergeCell ref="A93:J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0101"/>
    <pageSetUpPr fitToPage="false"/>
  </sheetPr>
  <dimension ref="A1:M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22"/>
    <col collapsed="false" customWidth="true" hidden="false" outlineLevel="0" max="3" min="3" style="1" width="38"/>
    <col collapsed="false" customWidth="true" hidden="false" outlineLevel="0" max="4" min="4" style="1" width="40"/>
    <col collapsed="false" customWidth="true" hidden="false" outlineLevel="0" max="8" min="5" style="1" width="22"/>
  </cols>
  <sheetData>
    <row r="1" customFormat="false" ht="15" hidden="false" customHeight="true" outlineLevel="0" collapsed="false">
      <c r="A1" s="122" t="s">
        <v>3195</v>
      </c>
      <c r="B1" s="122"/>
      <c r="C1" s="122"/>
      <c r="D1" s="122"/>
      <c r="E1" s="122"/>
      <c r="F1" s="122"/>
      <c r="G1" s="122"/>
      <c r="H1" s="122"/>
    </row>
    <row r="3" customFormat="false" ht="15" hidden="false" customHeight="true" outlineLevel="0" collapsed="false">
      <c r="A3" s="123" t="s">
        <v>3196</v>
      </c>
      <c r="B3" s="123"/>
      <c r="C3" s="123"/>
      <c r="D3" s="123"/>
      <c r="E3" s="123"/>
      <c r="F3" s="123"/>
      <c r="G3" s="123"/>
      <c r="H3" s="123"/>
    </row>
    <row r="4" customFormat="false" ht="15" hidden="false" customHeight="true" outlineLevel="0" collapsed="false">
      <c r="A4" s="124" t="s">
        <v>1589</v>
      </c>
      <c r="B4" s="124" t="s">
        <v>2389</v>
      </c>
      <c r="C4" s="124" t="s">
        <v>3197</v>
      </c>
      <c r="D4" s="124" t="s">
        <v>3198</v>
      </c>
      <c r="E4" s="124" t="s">
        <v>2392</v>
      </c>
      <c r="F4" s="124" t="s">
        <v>291</v>
      </c>
      <c r="G4" s="124" t="s">
        <v>1798</v>
      </c>
      <c r="H4" s="124" t="s">
        <v>440</v>
      </c>
    </row>
    <row r="5" customFormat="false" ht="15" hidden="false" customHeight="true" outlineLevel="0" collapsed="false">
      <c r="A5" s="83" t="s">
        <v>3199</v>
      </c>
      <c r="B5" s="83" t="s">
        <v>3200</v>
      </c>
      <c r="C5" s="83" t="s">
        <v>3201</v>
      </c>
      <c r="D5" s="83" t="s">
        <v>3202</v>
      </c>
      <c r="E5" s="83" t="n">
        <f aca="false">0.1*'1. Input'!B15*0.3/6</f>
        <v>42500000</v>
      </c>
      <c r="F5" s="83" t="s">
        <v>3203</v>
      </c>
      <c r="G5" s="83" t="s">
        <v>3204</v>
      </c>
      <c r="H5" s="83" t="s">
        <v>3205</v>
      </c>
    </row>
    <row r="6" customFormat="false" ht="15" hidden="false" customHeight="true" outlineLevel="0" collapsed="false">
      <c r="A6" s="85" t="s">
        <v>3206</v>
      </c>
      <c r="B6" s="85" t="s">
        <v>3200</v>
      </c>
      <c r="C6" s="85" t="s">
        <v>3207</v>
      </c>
      <c r="D6" s="85" t="s">
        <v>3208</v>
      </c>
      <c r="E6" s="85" t="n">
        <f aca="false">0.1*'1. Input'!B15*0.25/6</f>
        <v>35416666.6666667</v>
      </c>
      <c r="F6" s="85" t="s">
        <v>3209</v>
      </c>
      <c r="G6" s="85" t="s">
        <v>2821</v>
      </c>
      <c r="H6" s="85" t="s">
        <v>3210</v>
      </c>
    </row>
    <row r="7" customFormat="false" ht="15" hidden="false" customHeight="true" outlineLevel="0" collapsed="false">
      <c r="A7" s="83" t="s">
        <v>3211</v>
      </c>
      <c r="B7" s="83" t="s">
        <v>3212</v>
      </c>
      <c r="C7" s="83" t="s">
        <v>3213</v>
      </c>
      <c r="D7" s="83" t="s">
        <v>3214</v>
      </c>
      <c r="E7" s="83" t="n">
        <f aca="false">0.1*'1. Input'!B15*0.2/6</f>
        <v>28333333.3333333</v>
      </c>
      <c r="F7" s="83" t="s">
        <v>3215</v>
      </c>
      <c r="G7" s="83" t="s">
        <v>3204</v>
      </c>
      <c r="H7" s="83" t="s">
        <v>3216</v>
      </c>
    </row>
    <row r="8" customFormat="false" ht="15" hidden="false" customHeight="true" outlineLevel="0" collapsed="false">
      <c r="A8" s="85" t="s">
        <v>3217</v>
      </c>
      <c r="B8" s="85" t="s">
        <v>3218</v>
      </c>
      <c r="C8" s="85" t="s">
        <v>3219</v>
      </c>
      <c r="D8" s="85" t="s">
        <v>3220</v>
      </c>
      <c r="E8" s="85" t="n">
        <f aca="false">0.1*'1. Input'!B15*0.2/6</f>
        <v>28333333.3333333</v>
      </c>
      <c r="F8" s="85" t="s">
        <v>3221</v>
      </c>
      <c r="G8" s="85" t="s">
        <v>3222</v>
      </c>
      <c r="H8" s="85" t="s">
        <v>3223</v>
      </c>
    </row>
    <row r="9" customFormat="false" ht="15" hidden="false" customHeight="true" outlineLevel="0" collapsed="false">
      <c r="A9" s="83" t="s">
        <v>3224</v>
      </c>
      <c r="B9" s="83" t="s">
        <v>3225</v>
      </c>
      <c r="C9" s="83" t="s">
        <v>3226</v>
      </c>
      <c r="D9" s="83" t="s">
        <v>3227</v>
      </c>
      <c r="E9" s="83" t="n">
        <f aca="false">0.1*'1. Input'!B15*0.05/6</f>
        <v>7083333.33333333</v>
      </c>
      <c r="F9" s="83" t="s">
        <v>3228</v>
      </c>
      <c r="G9" s="83" t="s">
        <v>3229</v>
      </c>
      <c r="H9" s="83" t="s">
        <v>3230</v>
      </c>
    </row>
    <row r="11" customFormat="false" ht="15" hidden="false" customHeight="true" outlineLevel="0" collapsed="false">
      <c r="A11" s="123" t="s">
        <v>3231</v>
      </c>
      <c r="B11" s="123"/>
      <c r="C11" s="123"/>
      <c r="D11" s="123"/>
      <c r="E11" s="123"/>
      <c r="F11" s="123"/>
      <c r="G11" s="123"/>
      <c r="H11" s="123"/>
    </row>
    <row r="12" customFormat="false" ht="15" hidden="false" customHeight="true" outlineLevel="0" collapsed="false">
      <c r="A12" s="124" t="s">
        <v>1752</v>
      </c>
      <c r="B12" s="124" t="s">
        <v>1753</v>
      </c>
      <c r="C12" s="124" t="s">
        <v>1754</v>
      </c>
      <c r="D12" s="124" t="s">
        <v>1840</v>
      </c>
      <c r="E12" s="124" t="s">
        <v>576</v>
      </c>
      <c r="F12" s="124" t="s">
        <v>412</v>
      </c>
    </row>
    <row r="13" customFormat="false" ht="15" hidden="false" customHeight="true" outlineLevel="0" collapsed="false">
      <c r="A13" s="83" t="s">
        <v>490</v>
      </c>
      <c r="B13" s="83" t="s">
        <v>3232</v>
      </c>
      <c r="C13" s="83" t="s">
        <v>3233</v>
      </c>
      <c r="D13" s="83" t="s">
        <v>453</v>
      </c>
      <c r="E13" s="83" t="s">
        <v>527</v>
      </c>
      <c r="F13" s="83" t="s">
        <v>1759</v>
      </c>
    </row>
    <row r="14" customFormat="false" ht="23.25" hidden="false" customHeight="true" outlineLevel="0" collapsed="false">
      <c r="A14" s="85" t="s">
        <v>496</v>
      </c>
      <c r="B14" s="85" t="s">
        <v>3234</v>
      </c>
      <c r="C14" s="85" t="s">
        <v>3235</v>
      </c>
      <c r="D14" s="85" t="s">
        <v>2439</v>
      </c>
      <c r="E14" s="85" t="s">
        <v>527</v>
      </c>
      <c r="F14" s="85" t="s">
        <v>1759</v>
      </c>
    </row>
    <row r="15" customFormat="false" ht="23.25" hidden="false" customHeight="true" outlineLevel="0" collapsed="false">
      <c r="A15" s="83" t="s">
        <v>502</v>
      </c>
      <c r="B15" s="83" t="s">
        <v>3236</v>
      </c>
      <c r="C15" s="83" t="s">
        <v>3237</v>
      </c>
      <c r="D15" s="83" t="s">
        <v>2439</v>
      </c>
      <c r="E15" s="83" t="s">
        <v>527</v>
      </c>
      <c r="F15" s="83" t="s">
        <v>1759</v>
      </c>
    </row>
    <row r="16" customFormat="false" ht="23.25" hidden="false" customHeight="true" outlineLevel="0" collapsed="false">
      <c r="A16" s="85" t="s">
        <v>507</v>
      </c>
      <c r="B16" s="85" t="s">
        <v>3238</v>
      </c>
      <c r="C16" s="85" t="s">
        <v>3239</v>
      </c>
      <c r="D16" s="85" t="s">
        <v>3240</v>
      </c>
      <c r="E16" s="85" t="s">
        <v>527</v>
      </c>
      <c r="F16" s="85" t="s">
        <v>1759</v>
      </c>
    </row>
    <row r="17" customFormat="false" ht="23.25" hidden="false" customHeight="true" outlineLevel="0" collapsed="false">
      <c r="A17" s="83" t="s">
        <v>511</v>
      </c>
      <c r="B17" s="83" t="s">
        <v>3241</v>
      </c>
      <c r="C17" s="83" t="s">
        <v>3242</v>
      </c>
      <c r="D17" s="83" t="s">
        <v>453</v>
      </c>
      <c r="E17" s="83" t="s">
        <v>1772</v>
      </c>
      <c r="F17" s="83" t="s">
        <v>1759</v>
      </c>
    </row>
    <row r="18" customFormat="false" ht="15" hidden="false" customHeight="true" outlineLevel="0" collapsed="false">
      <c r="A18" s="85" t="s">
        <v>516</v>
      </c>
      <c r="B18" s="85" t="s">
        <v>3243</v>
      </c>
      <c r="C18" s="85" t="s">
        <v>3244</v>
      </c>
      <c r="D18" s="85" t="s">
        <v>453</v>
      </c>
      <c r="E18" s="85" t="s">
        <v>1780</v>
      </c>
      <c r="F18" s="85" t="s">
        <v>1759</v>
      </c>
    </row>
    <row r="19" customFormat="false" ht="15" hidden="false" customHeight="true" outlineLevel="0" collapsed="false">
      <c r="A19" s="83" t="s">
        <v>519</v>
      </c>
      <c r="B19" s="83" t="s">
        <v>3245</v>
      </c>
      <c r="C19" s="83" t="s">
        <v>3246</v>
      </c>
      <c r="D19" s="83" t="s">
        <v>447</v>
      </c>
      <c r="E19" s="83" t="s">
        <v>2456</v>
      </c>
      <c r="F19" s="83" t="s">
        <v>1759</v>
      </c>
    </row>
    <row r="22" customFormat="false" ht="17.35" hidden="false" customHeight="false" outlineLevel="0" collapsed="false">
      <c r="A22" s="71" t="s">
        <v>3247</v>
      </c>
    </row>
    <row r="24" customFormat="false" ht="39.55" hidden="false" customHeight="false" outlineLevel="0" collapsed="false">
      <c r="A24" s="3" t="s">
        <v>2634</v>
      </c>
      <c r="B24" s="3" t="s">
        <v>3248</v>
      </c>
      <c r="C24" s="3" t="s">
        <v>2459</v>
      </c>
      <c r="D24" s="3" t="s">
        <v>3249</v>
      </c>
      <c r="E24" s="3" t="s">
        <v>3250</v>
      </c>
      <c r="F24" s="3" t="s">
        <v>3251</v>
      </c>
      <c r="G24" s="3" t="s">
        <v>3252</v>
      </c>
      <c r="H24" s="3" t="s">
        <v>3253</v>
      </c>
      <c r="I24" s="3" t="s">
        <v>3254</v>
      </c>
      <c r="J24" s="3" t="s">
        <v>3255</v>
      </c>
      <c r="K24" s="3" t="s">
        <v>2640</v>
      </c>
      <c r="L24" s="3" t="s">
        <v>2643</v>
      </c>
      <c r="M24" s="3" t="s">
        <v>3256</v>
      </c>
    </row>
    <row r="25" customFormat="false" ht="46.25" hidden="false" customHeight="false" outlineLevel="0" collapsed="false">
      <c r="A25" s="8" t="s">
        <v>3257</v>
      </c>
      <c r="B25" s="8" t="s">
        <v>3187</v>
      </c>
      <c r="C25" s="8" t="s">
        <v>3258</v>
      </c>
      <c r="D25" s="116" t="n">
        <v>15</v>
      </c>
      <c r="E25" s="8" t="s">
        <v>3259</v>
      </c>
      <c r="F25" s="8" t="s">
        <v>3260</v>
      </c>
      <c r="G25" s="8" t="s">
        <v>3261</v>
      </c>
      <c r="H25" s="8" t="s">
        <v>3262</v>
      </c>
      <c r="I25" s="8" t="s">
        <v>3263</v>
      </c>
      <c r="J25" s="8" t="s">
        <v>3264</v>
      </c>
      <c r="K25" s="8" t="s">
        <v>3265</v>
      </c>
      <c r="L25" s="116" t="n">
        <v>250000</v>
      </c>
      <c r="M25" s="8" t="s">
        <v>3266</v>
      </c>
    </row>
    <row r="26" customFormat="false" ht="35.05" hidden="false" customHeight="false" outlineLevel="0" collapsed="false">
      <c r="A26" s="8" t="s">
        <v>3267</v>
      </c>
      <c r="B26" s="8" t="s">
        <v>253</v>
      </c>
      <c r="C26" s="8" t="s">
        <v>3258</v>
      </c>
      <c r="D26" s="116" t="n">
        <v>30</v>
      </c>
      <c r="E26" s="8" t="s">
        <v>3268</v>
      </c>
      <c r="F26" s="8" t="s">
        <v>3269</v>
      </c>
      <c r="G26" s="8" t="s">
        <v>3270</v>
      </c>
      <c r="H26" s="8" t="s">
        <v>3271</v>
      </c>
      <c r="I26" s="8" t="s">
        <v>3272</v>
      </c>
      <c r="J26" s="8" t="s">
        <v>3273</v>
      </c>
      <c r="K26" s="8" t="s">
        <v>3274</v>
      </c>
      <c r="L26" s="116" t="n">
        <v>280000</v>
      </c>
      <c r="M26" s="8" t="s">
        <v>3275</v>
      </c>
    </row>
    <row r="27" customFormat="false" ht="46.25" hidden="false" customHeight="false" outlineLevel="0" collapsed="false">
      <c r="A27" s="8" t="s">
        <v>3276</v>
      </c>
      <c r="B27" s="8" t="s">
        <v>3187</v>
      </c>
      <c r="C27" s="8" t="s">
        <v>3258</v>
      </c>
      <c r="D27" s="116" t="n">
        <v>20</v>
      </c>
      <c r="E27" s="8" t="s">
        <v>3277</v>
      </c>
      <c r="F27" s="8" t="s">
        <v>3278</v>
      </c>
      <c r="G27" s="8" t="s">
        <v>3279</v>
      </c>
      <c r="H27" s="8" t="s">
        <v>3280</v>
      </c>
      <c r="I27" s="8" t="s">
        <v>3281</v>
      </c>
      <c r="J27" s="8" t="s">
        <v>3282</v>
      </c>
      <c r="K27" s="8" t="s">
        <v>3265</v>
      </c>
      <c r="L27" s="116" t="n">
        <v>270000</v>
      </c>
      <c r="M27" s="8" t="s">
        <v>3283</v>
      </c>
    </row>
    <row r="28" customFormat="false" ht="46.25" hidden="false" customHeight="false" outlineLevel="0" collapsed="false">
      <c r="A28" s="8" t="s">
        <v>3284</v>
      </c>
      <c r="B28" s="8" t="s">
        <v>253</v>
      </c>
      <c r="C28" s="8" t="s">
        <v>3258</v>
      </c>
      <c r="D28" s="116" t="n">
        <v>25</v>
      </c>
      <c r="E28" s="8" t="s">
        <v>3285</v>
      </c>
      <c r="F28" s="8" t="s">
        <v>3286</v>
      </c>
      <c r="G28" s="8" t="s">
        <v>3287</v>
      </c>
      <c r="H28" s="8" t="s">
        <v>3288</v>
      </c>
      <c r="I28" s="8" t="s">
        <v>3289</v>
      </c>
      <c r="J28" s="8" t="s">
        <v>3290</v>
      </c>
      <c r="K28" s="8" t="s">
        <v>3265</v>
      </c>
      <c r="L28" s="116" t="n">
        <v>290000</v>
      </c>
      <c r="M28" s="8" t="s">
        <v>3291</v>
      </c>
    </row>
    <row r="29" customFormat="false" ht="46.25" hidden="false" customHeight="false" outlineLevel="0" collapsed="false">
      <c r="A29" s="8" t="s">
        <v>3292</v>
      </c>
      <c r="B29" s="8" t="s">
        <v>3293</v>
      </c>
      <c r="C29" s="8" t="s">
        <v>3258</v>
      </c>
      <c r="D29" s="116" t="n">
        <v>15</v>
      </c>
      <c r="E29" s="8" t="s">
        <v>3294</v>
      </c>
      <c r="F29" s="8" t="s">
        <v>3295</v>
      </c>
      <c r="G29" s="8" t="s">
        <v>3296</v>
      </c>
      <c r="H29" s="8" t="s">
        <v>3297</v>
      </c>
      <c r="I29" s="8" t="s">
        <v>3272</v>
      </c>
      <c r="J29" s="8" t="s">
        <v>3298</v>
      </c>
      <c r="K29" s="8" t="s">
        <v>3265</v>
      </c>
      <c r="L29" s="116" t="n">
        <v>320000</v>
      </c>
      <c r="M29" s="8" t="s">
        <v>3299</v>
      </c>
    </row>
    <row r="30" customFormat="false" ht="46.25" hidden="false" customHeight="false" outlineLevel="0" collapsed="false">
      <c r="A30" s="8" t="s">
        <v>3300</v>
      </c>
      <c r="B30" s="8" t="s">
        <v>3293</v>
      </c>
      <c r="C30" s="8" t="s">
        <v>3258</v>
      </c>
      <c r="D30" s="116" t="n">
        <v>18</v>
      </c>
      <c r="E30" s="8" t="s">
        <v>3301</v>
      </c>
      <c r="F30" s="8" t="s">
        <v>3302</v>
      </c>
      <c r="G30" s="8" t="s">
        <v>3303</v>
      </c>
      <c r="H30" s="8" t="s">
        <v>3304</v>
      </c>
      <c r="I30" s="8" t="s">
        <v>3281</v>
      </c>
      <c r="J30" s="8" t="s">
        <v>3305</v>
      </c>
      <c r="K30" s="8" t="s">
        <v>3265</v>
      </c>
      <c r="L30" s="116" t="n">
        <v>260000</v>
      </c>
      <c r="M30" s="8" t="s">
        <v>3306</v>
      </c>
    </row>
    <row r="31" customFormat="false" ht="46.25" hidden="false" customHeight="false" outlineLevel="0" collapsed="false">
      <c r="A31" s="8" t="s">
        <v>3307</v>
      </c>
      <c r="B31" s="8" t="s">
        <v>253</v>
      </c>
      <c r="C31" s="8" t="s">
        <v>3258</v>
      </c>
      <c r="D31" s="116" t="n">
        <v>20</v>
      </c>
      <c r="E31" s="8" t="s">
        <v>3308</v>
      </c>
      <c r="F31" s="8" t="s">
        <v>3309</v>
      </c>
      <c r="G31" s="8" t="s">
        <v>3310</v>
      </c>
      <c r="H31" s="8" t="s">
        <v>3311</v>
      </c>
      <c r="I31" s="8" t="s">
        <v>3312</v>
      </c>
      <c r="J31" s="8" t="s">
        <v>3298</v>
      </c>
      <c r="K31" s="8" t="s">
        <v>3265</v>
      </c>
      <c r="L31" s="116" t="n">
        <v>240000</v>
      </c>
      <c r="M31" s="8" t="s">
        <v>3313</v>
      </c>
    </row>
    <row r="32" customFormat="false" ht="46.25" hidden="false" customHeight="false" outlineLevel="0" collapsed="false">
      <c r="A32" s="8" t="s">
        <v>3314</v>
      </c>
      <c r="B32" s="8" t="s">
        <v>253</v>
      </c>
      <c r="C32" s="8" t="s">
        <v>3258</v>
      </c>
      <c r="D32" s="116" t="n">
        <v>30</v>
      </c>
      <c r="E32" s="8" t="s">
        <v>3315</v>
      </c>
      <c r="F32" s="8" t="s">
        <v>3316</v>
      </c>
      <c r="G32" s="8" t="s">
        <v>3317</v>
      </c>
      <c r="H32" s="8" t="s">
        <v>3318</v>
      </c>
      <c r="I32" s="8" t="s">
        <v>3272</v>
      </c>
      <c r="J32" s="8" t="s">
        <v>3298</v>
      </c>
      <c r="K32" s="8" t="s">
        <v>3265</v>
      </c>
      <c r="L32" s="116" t="n">
        <v>250000</v>
      </c>
      <c r="M32" s="8" t="s">
        <v>3319</v>
      </c>
    </row>
    <row r="33" customFormat="false" ht="46.25" hidden="false" customHeight="false" outlineLevel="0" collapsed="false">
      <c r="A33" s="8" t="s">
        <v>3320</v>
      </c>
      <c r="B33" s="8" t="s">
        <v>3187</v>
      </c>
      <c r="C33" s="8" t="s">
        <v>3258</v>
      </c>
      <c r="D33" s="116" t="n">
        <v>25</v>
      </c>
      <c r="E33" s="8" t="s">
        <v>3321</v>
      </c>
      <c r="F33" s="8" t="s">
        <v>3322</v>
      </c>
      <c r="G33" s="8" t="s">
        <v>3323</v>
      </c>
      <c r="H33" s="8" t="s">
        <v>3324</v>
      </c>
      <c r="I33" s="8" t="s">
        <v>3325</v>
      </c>
      <c r="J33" s="8" t="s">
        <v>3326</v>
      </c>
      <c r="K33" s="8" t="s">
        <v>3327</v>
      </c>
      <c r="L33" s="116" t="n">
        <v>200000</v>
      </c>
      <c r="M33" s="8" t="s">
        <v>3328</v>
      </c>
    </row>
    <row r="34" customFormat="false" ht="35.05" hidden="false" customHeight="false" outlineLevel="0" collapsed="false">
      <c r="A34" s="8" t="s">
        <v>3329</v>
      </c>
      <c r="B34" s="8" t="s">
        <v>253</v>
      </c>
      <c r="C34" s="8" t="s">
        <v>3258</v>
      </c>
      <c r="D34" s="116" t="n">
        <v>20</v>
      </c>
      <c r="E34" s="8" t="s">
        <v>3330</v>
      </c>
      <c r="F34" s="8" t="s">
        <v>3331</v>
      </c>
      <c r="G34" s="8" t="s">
        <v>3332</v>
      </c>
      <c r="H34" s="8" t="s">
        <v>3333</v>
      </c>
      <c r="I34" s="8" t="s">
        <v>3281</v>
      </c>
      <c r="J34" s="8" t="s">
        <v>3298</v>
      </c>
      <c r="K34" s="8" t="s">
        <v>3265</v>
      </c>
      <c r="L34" s="116" t="n">
        <v>270000</v>
      </c>
      <c r="M34" s="8" t="s">
        <v>3334</v>
      </c>
    </row>
    <row r="35" customFormat="false" ht="46.25" hidden="false" customHeight="false" outlineLevel="0" collapsed="false">
      <c r="A35" s="8" t="s">
        <v>3335</v>
      </c>
      <c r="B35" s="8" t="s">
        <v>3187</v>
      </c>
      <c r="C35" s="8" t="s">
        <v>3258</v>
      </c>
      <c r="D35" s="116" t="n">
        <v>15</v>
      </c>
      <c r="E35" s="8" t="s">
        <v>3336</v>
      </c>
      <c r="F35" s="8" t="s">
        <v>3337</v>
      </c>
      <c r="G35" s="8" t="s">
        <v>3338</v>
      </c>
      <c r="H35" s="8" t="s">
        <v>3339</v>
      </c>
      <c r="I35" s="8" t="s">
        <v>3340</v>
      </c>
      <c r="J35" s="8" t="s">
        <v>3264</v>
      </c>
      <c r="K35" s="8" t="s">
        <v>3265</v>
      </c>
      <c r="L35" s="116" t="n">
        <v>260000</v>
      </c>
      <c r="M35" s="8" t="s">
        <v>3341</v>
      </c>
    </row>
    <row r="36" customFormat="false" ht="35.05" hidden="false" customHeight="false" outlineLevel="0" collapsed="false">
      <c r="A36" s="8" t="s">
        <v>3342</v>
      </c>
      <c r="B36" s="8" t="s">
        <v>253</v>
      </c>
      <c r="C36" s="8" t="s">
        <v>3258</v>
      </c>
      <c r="D36" s="116" t="n">
        <v>20</v>
      </c>
      <c r="E36" s="8" t="s">
        <v>3343</v>
      </c>
      <c r="F36" s="8" t="s">
        <v>3344</v>
      </c>
      <c r="G36" s="8" t="s">
        <v>3345</v>
      </c>
      <c r="H36" s="8" t="s">
        <v>3346</v>
      </c>
      <c r="I36" s="8" t="s">
        <v>3289</v>
      </c>
      <c r="J36" s="8" t="s">
        <v>3298</v>
      </c>
      <c r="K36" s="8" t="s">
        <v>3265</v>
      </c>
      <c r="L36" s="116" t="n">
        <v>220000</v>
      </c>
      <c r="M36" s="8" t="s">
        <v>3347</v>
      </c>
    </row>
    <row r="37" customFormat="false" ht="46.25" hidden="false" customHeight="false" outlineLevel="0" collapsed="false">
      <c r="A37" s="8" t="s">
        <v>3348</v>
      </c>
      <c r="B37" s="8" t="s">
        <v>3293</v>
      </c>
      <c r="C37" s="8" t="s">
        <v>3258</v>
      </c>
      <c r="D37" s="116" t="n">
        <v>18</v>
      </c>
      <c r="E37" s="8" t="s">
        <v>3349</v>
      </c>
      <c r="F37" s="8" t="s">
        <v>3350</v>
      </c>
      <c r="G37" s="8" t="s">
        <v>3351</v>
      </c>
      <c r="H37" s="8" t="s">
        <v>3352</v>
      </c>
      <c r="I37" s="8" t="s">
        <v>3312</v>
      </c>
      <c r="J37" s="8" t="s">
        <v>3298</v>
      </c>
      <c r="K37" s="8" t="s">
        <v>3265</v>
      </c>
      <c r="L37" s="116" t="n">
        <v>240000</v>
      </c>
      <c r="M37" s="8" t="s">
        <v>3353</v>
      </c>
    </row>
    <row r="38" customFormat="false" ht="46.25" hidden="false" customHeight="false" outlineLevel="0" collapsed="false">
      <c r="A38" s="8" t="s">
        <v>3354</v>
      </c>
      <c r="B38" s="8" t="s">
        <v>253</v>
      </c>
      <c r="C38" s="8" t="s">
        <v>3258</v>
      </c>
      <c r="D38" s="116" t="n">
        <v>20</v>
      </c>
      <c r="E38" s="8" t="s">
        <v>3355</v>
      </c>
      <c r="F38" s="8" t="s">
        <v>3356</v>
      </c>
      <c r="G38" s="8" t="s">
        <v>3357</v>
      </c>
      <c r="H38" s="8" t="s">
        <v>3358</v>
      </c>
      <c r="I38" s="8" t="s">
        <v>3178</v>
      </c>
      <c r="J38" s="8" t="s">
        <v>3264</v>
      </c>
      <c r="K38" s="8" t="s">
        <v>3265</v>
      </c>
      <c r="L38" s="116" t="n">
        <v>230000</v>
      </c>
      <c r="M38" s="8" t="s">
        <v>3359</v>
      </c>
    </row>
    <row r="39" customFormat="false" ht="46.25" hidden="false" customHeight="false" outlineLevel="0" collapsed="false">
      <c r="A39" s="8" t="s">
        <v>3360</v>
      </c>
      <c r="B39" s="8" t="s">
        <v>253</v>
      </c>
      <c r="C39" s="8" t="s">
        <v>3258</v>
      </c>
      <c r="D39" s="116" t="n">
        <v>25</v>
      </c>
      <c r="E39" s="8" t="s">
        <v>3361</v>
      </c>
      <c r="F39" s="8" t="s">
        <v>3362</v>
      </c>
      <c r="G39" s="8" t="s">
        <v>3363</v>
      </c>
      <c r="H39" s="8" t="s">
        <v>3364</v>
      </c>
      <c r="I39" s="8" t="s">
        <v>3340</v>
      </c>
      <c r="J39" s="8" t="s">
        <v>3298</v>
      </c>
      <c r="K39" s="8" t="s">
        <v>3265</v>
      </c>
      <c r="L39" s="116" t="n">
        <v>250000</v>
      </c>
      <c r="M39" s="8" t="s">
        <v>3365</v>
      </c>
    </row>
    <row r="42" customFormat="false" ht="15" hidden="false" customHeight="false" outlineLevel="0" collapsed="false">
      <c r="A42" s="118" t="s">
        <v>3366</v>
      </c>
      <c r="B42" s="118"/>
      <c r="C42" s="118"/>
      <c r="D42" s="118"/>
      <c r="E42" s="118"/>
      <c r="F42" s="118"/>
      <c r="G42" s="118"/>
      <c r="H42" s="118"/>
      <c r="I42" s="118"/>
      <c r="J42" s="118"/>
      <c r="K42" s="118"/>
    </row>
    <row r="44" customFormat="false" ht="39.55" hidden="false" customHeight="false" outlineLevel="0" collapsed="false">
      <c r="A44" s="3" t="s">
        <v>2042</v>
      </c>
      <c r="B44" s="3" t="s">
        <v>2389</v>
      </c>
      <c r="C44" s="3" t="s">
        <v>3367</v>
      </c>
      <c r="D44" s="3" t="s">
        <v>3368</v>
      </c>
      <c r="E44" s="3" t="s">
        <v>3369</v>
      </c>
      <c r="F44" s="3" t="s">
        <v>3370</v>
      </c>
      <c r="G44" s="3" t="s">
        <v>3371</v>
      </c>
      <c r="H44" s="3" t="s">
        <v>2768</v>
      </c>
      <c r="I44" s="3" t="s">
        <v>3372</v>
      </c>
      <c r="J44" s="3" t="s">
        <v>2052</v>
      </c>
      <c r="K44" s="3" t="s">
        <v>1798</v>
      </c>
      <c r="L44" s="3" t="s">
        <v>2054</v>
      </c>
    </row>
    <row r="45" customFormat="false" ht="102.2" hidden="false" customHeight="false" outlineLevel="0" collapsed="false">
      <c r="A45" s="73" t="s">
        <v>3373</v>
      </c>
      <c r="B45" s="73" t="s">
        <v>2396</v>
      </c>
      <c r="C45" s="73" t="s">
        <v>3374</v>
      </c>
      <c r="D45" s="73" t="s">
        <v>3375</v>
      </c>
      <c r="E45" s="75" t="s">
        <v>3376</v>
      </c>
      <c r="F45" s="75" t="s">
        <v>3377</v>
      </c>
      <c r="G45" s="75" t="s">
        <v>3378</v>
      </c>
      <c r="H45" s="75" t="s">
        <v>2887</v>
      </c>
      <c r="I45" s="75" t="s">
        <v>3379</v>
      </c>
      <c r="J45" s="75" t="s">
        <v>2820</v>
      </c>
      <c r="K45" s="75" t="s">
        <v>3204</v>
      </c>
      <c r="L45" s="75" t="s">
        <v>3380</v>
      </c>
    </row>
    <row r="46" customFormat="false" ht="102.2" hidden="false" customHeight="false" outlineLevel="0" collapsed="false">
      <c r="A46" s="73" t="s">
        <v>3381</v>
      </c>
      <c r="B46" s="73" t="s">
        <v>2396</v>
      </c>
      <c r="C46" s="73" t="s">
        <v>3382</v>
      </c>
      <c r="D46" s="73" t="s">
        <v>3375</v>
      </c>
      <c r="E46" s="75" t="s">
        <v>3383</v>
      </c>
      <c r="F46" s="75" t="s">
        <v>3384</v>
      </c>
      <c r="G46" s="75" t="s">
        <v>3385</v>
      </c>
      <c r="H46" s="75" t="s">
        <v>3386</v>
      </c>
      <c r="I46" s="75" t="s">
        <v>3387</v>
      </c>
      <c r="J46" s="75" t="s">
        <v>2860</v>
      </c>
      <c r="K46" s="75" t="s">
        <v>3388</v>
      </c>
      <c r="L46" s="75" t="s">
        <v>3389</v>
      </c>
    </row>
    <row r="47" customFormat="false" ht="68.65" hidden="false" customHeight="false" outlineLevel="0" collapsed="false">
      <c r="A47" s="73" t="s">
        <v>3390</v>
      </c>
      <c r="B47" s="73" t="s">
        <v>3187</v>
      </c>
      <c r="C47" s="73" t="s">
        <v>3391</v>
      </c>
      <c r="D47" s="73" t="s">
        <v>3375</v>
      </c>
      <c r="E47" s="75" t="s">
        <v>3392</v>
      </c>
      <c r="F47" s="75" t="s">
        <v>3393</v>
      </c>
      <c r="G47" s="75" t="s">
        <v>3394</v>
      </c>
      <c r="H47" s="75" t="s">
        <v>2899</v>
      </c>
      <c r="I47" s="75" t="s">
        <v>3395</v>
      </c>
      <c r="J47" s="75" t="s">
        <v>1176</v>
      </c>
      <c r="K47" s="75" t="s">
        <v>3396</v>
      </c>
      <c r="L47" s="75" t="s">
        <v>3397</v>
      </c>
    </row>
    <row r="48" customFormat="false" ht="68.65" hidden="false" customHeight="false" outlineLevel="0" collapsed="false">
      <c r="A48" s="73" t="s">
        <v>3398</v>
      </c>
      <c r="B48" s="73" t="s">
        <v>2396</v>
      </c>
      <c r="C48" s="73" t="s">
        <v>3399</v>
      </c>
      <c r="D48" s="73" t="s">
        <v>3375</v>
      </c>
      <c r="E48" s="75" t="s">
        <v>3400</v>
      </c>
      <c r="F48" s="75" t="s">
        <v>3401</v>
      </c>
      <c r="G48" s="75" t="s">
        <v>3402</v>
      </c>
      <c r="H48" s="75" t="s">
        <v>2815</v>
      </c>
      <c r="I48" s="75" t="s">
        <v>3403</v>
      </c>
      <c r="J48" s="75" t="s">
        <v>1184</v>
      </c>
      <c r="K48" s="75" t="s">
        <v>3404</v>
      </c>
      <c r="L48" s="75" t="s">
        <v>3405</v>
      </c>
    </row>
    <row r="49" customFormat="false" ht="91" hidden="false" customHeight="false" outlineLevel="0" collapsed="false">
      <c r="A49" s="73" t="s">
        <v>3406</v>
      </c>
      <c r="B49" s="73" t="s">
        <v>2396</v>
      </c>
      <c r="C49" s="73" t="s">
        <v>3407</v>
      </c>
      <c r="D49" s="73" t="s">
        <v>3375</v>
      </c>
      <c r="E49" s="75" t="s">
        <v>3408</v>
      </c>
      <c r="F49" s="75" t="s">
        <v>3409</v>
      </c>
      <c r="G49" s="75" t="s">
        <v>3410</v>
      </c>
      <c r="H49" s="75" t="s">
        <v>3411</v>
      </c>
      <c r="I49" s="75" t="s">
        <v>3412</v>
      </c>
      <c r="J49" s="75" t="s">
        <v>2146</v>
      </c>
      <c r="K49" s="75" t="s">
        <v>3404</v>
      </c>
      <c r="L49" s="75" t="s">
        <v>3413</v>
      </c>
    </row>
    <row r="50" customFormat="false" ht="57.45" hidden="false" customHeight="false" outlineLevel="0" collapsed="false">
      <c r="A50" s="73" t="s">
        <v>3414</v>
      </c>
      <c r="B50" s="73" t="s">
        <v>2396</v>
      </c>
      <c r="C50" s="73" t="s">
        <v>3415</v>
      </c>
      <c r="D50" s="73" t="s">
        <v>3375</v>
      </c>
      <c r="E50" s="75" t="s">
        <v>3416</v>
      </c>
      <c r="F50" s="75" t="s">
        <v>3417</v>
      </c>
      <c r="G50" s="75" t="s">
        <v>3418</v>
      </c>
      <c r="H50" s="75" t="s">
        <v>2830</v>
      </c>
      <c r="I50" s="75" t="s">
        <v>3419</v>
      </c>
      <c r="J50" s="75" t="s">
        <v>1190</v>
      </c>
      <c r="K50" s="75" t="s">
        <v>3404</v>
      </c>
      <c r="L50" s="75" t="s">
        <v>3420</v>
      </c>
    </row>
    <row r="51" customFormat="false" ht="57.45" hidden="false" customHeight="false" outlineLevel="0" collapsed="false">
      <c r="A51" s="73" t="s">
        <v>3421</v>
      </c>
      <c r="B51" s="73" t="s">
        <v>2396</v>
      </c>
      <c r="C51" s="73" t="s">
        <v>3422</v>
      </c>
      <c r="D51" s="73" t="s">
        <v>3375</v>
      </c>
      <c r="E51" s="75" t="s">
        <v>3423</v>
      </c>
      <c r="F51" s="75" t="s">
        <v>3424</v>
      </c>
      <c r="G51" s="75" t="s">
        <v>3425</v>
      </c>
      <c r="H51" s="75" t="s">
        <v>2799</v>
      </c>
      <c r="I51" s="75" t="s">
        <v>3426</v>
      </c>
      <c r="J51" s="75" t="s">
        <v>1195</v>
      </c>
      <c r="K51" s="75" t="s">
        <v>3404</v>
      </c>
      <c r="L51" s="75" t="s">
        <v>3427</v>
      </c>
    </row>
    <row r="52" customFormat="false" ht="91" hidden="false" customHeight="false" outlineLevel="0" collapsed="false">
      <c r="A52" s="73" t="s">
        <v>3428</v>
      </c>
      <c r="B52" s="73" t="s">
        <v>3429</v>
      </c>
      <c r="C52" s="73" t="s">
        <v>3430</v>
      </c>
      <c r="D52" s="73" t="s">
        <v>3375</v>
      </c>
      <c r="E52" s="75" t="s">
        <v>3431</v>
      </c>
      <c r="F52" s="75" t="s">
        <v>3432</v>
      </c>
      <c r="G52" s="75" t="s">
        <v>3433</v>
      </c>
      <c r="H52" s="75" t="s">
        <v>2815</v>
      </c>
      <c r="I52" s="75" t="s">
        <v>3434</v>
      </c>
      <c r="J52" s="75" t="s">
        <v>2880</v>
      </c>
      <c r="K52" s="75" t="s">
        <v>3435</v>
      </c>
      <c r="L52" s="75" t="s">
        <v>3436</v>
      </c>
    </row>
    <row r="53" customFormat="false" ht="102.2" hidden="false" customHeight="false" outlineLevel="0" collapsed="false">
      <c r="A53" s="73" t="s">
        <v>3437</v>
      </c>
      <c r="B53" s="73" t="s">
        <v>2396</v>
      </c>
      <c r="C53" s="73" t="s">
        <v>3438</v>
      </c>
      <c r="D53" s="73" t="s">
        <v>3375</v>
      </c>
      <c r="E53" s="75" t="s">
        <v>3439</v>
      </c>
      <c r="F53" s="75" t="s">
        <v>3440</v>
      </c>
      <c r="G53" s="75" t="s">
        <v>3441</v>
      </c>
      <c r="H53" s="75" t="s">
        <v>3386</v>
      </c>
      <c r="I53" s="75" t="s">
        <v>3442</v>
      </c>
      <c r="J53" s="75" t="s">
        <v>2892</v>
      </c>
      <c r="K53" s="75" t="s">
        <v>3404</v>
      </c>
      <c r="L53" s="75" t="s">
        <v>3443</v>
      </c>
    </row>
    <row r="54" customFormat="false" ht="91" hidden="false" customHeight="false" outlineLevel="0" collapsed="false">
      <c r="A54" s="73" t="s">
        <v>3444</v>
      </c>
      <c r="B54" s="73" t="s">
        <v>2396</v>
      </c>
      <c r="C54" s="73" t="s">
        <v>3445</v>
      </c>
      <c r="D54" s="73" t="s">
        <v>3375</v>
      </c>
      <c r="E54" s="75" t="s">
        <v>3446</v>
      </c>
      <c r="F54" s="75" t="s">
        <v>3447</v>
      </c>
      <c r="G54" s="75" t="s">
        <v>3448</v>
      </c>
      <c r="H54" s="75" t="s">
        <v>2899</v>
      </c>
      <c r="I54" s="75" t="s">
        <v>3449</v>
      </c>
      <c r="J54" s="75" t="s">
        <v>2903</v>
      </c>
      <c r="K54" s="75" t="s">
        <v>3404</v>
      </c>
      <c r="L54" s="75" t="s">
        <v>3450</v>
      </c>
    </row>
    <row r="55" customFormat="false" ht="113.4" hidden="false" customHeight="false" outlineLevel="0" collapsed="false">
      <c r="A55" s="73" t="s">
        <v>3451</v>
      </c>
      <c r="B55" s="73" t="s">
        <v>2396</v>
      </c>
      <c r="C55" s="73" t="s">
        <v>3452</v>
      </c>
      <c r="D55" s="73" t="s">
        <v>3375</v>
      </c>
      <c r="E55" s="75" t="s">
        <v>3453</v>
      </c>
      <c r="F55" s="75" t="s">
        <v>3454</v>
      </c>
      <c r="G55" s="75" t="s">
        <v>3455</v>
      </c>
      <c r="H55" s="75" t="s">
        <v>3190</v>
      </c>
      <c r="I55" s="75" t="s">
        <v>3456</v>
      </c>
      <c r="J55" s="75" t="s">
        <v>3457</v>
      </c>
      <c r="K55" s="75" t="s">
        <v>3404</v>
      </c>
      <c r="L55" s="75" t="s">
        <v>3458</v>
      </c>
    </row>
    <row r="56" customFormat="false" ht="46.25" hidden="false" customHeight="false" outlineLevel="0" collapsed="false">
      <c r="A56" s="73" t="s">
        <v>3459</v>
      </c>
      <c r="B56" s="73" t="s">
        <v>2772</v>
      </c>
      <c r="C56" s="73" t="s">
        <v>3460</v>
      </c>
      <c r="D56" s="73" t="s">
        <v>3375</v>
      </c>
      <c r="E56" s="75" t="s">
        <v>3461</v>
      </c>
      <c r="F56" s="75" t="s">
        <v>3462</v>
      </c>
      <c r="G56" s="75" t="s">
        <v>3463</v>
      </c>
      <c r="H56" s="75" t="s">
        <v>2887</v>
      </c>
      <c r="I56" s="75" t="s">
        <v>3464</v>
      </c>
      <c r="J56" s="75" t="s">
        <v>2065</v>
      </c>
      <c r="K56" s="75" t="s">
        <v>3396</v>
      </c>
      <c r="L56" s="75" t="s">
        <v>3465</v>
      </c>
    </row>
    <row r="57" customFormat="false" ht="57.45" hidden="false" customHeight="false" outlineLevel="0" collapsed="false">
      <c r="A57" s="73" t="s">
        <v>3466</v>
      </c>
      <c r="B57" s="73" t="s">
        <v>3187</v>
      </c>
      <c r="C57" s="73" t="s">
        <v>3467</v>
      </c>
      <c r="D57" s="73" t="s">
        <v>3375</v>
      </c>
      <c r="E57" s="75" t="s">
        <v>3468</v>
      </c>
      <c r="F57" s="75" t="s">
        <v>3469</v>
      </c>
      <c r="G57" s="75" t="s">
        <v>3470</v>
      </c>
      <c r="H57" s="75" t="s">
        <v>3471</v>
      </c>
      <c r="I57" s="75" t="s">
        <v>3472</v>
      </c>
      <c r="J57" s="75" t="s">
        <v>2065</v>
      </c>
      <c r="K57" s="75" t="s">
        <v>3473</v>
      </c>
      <c r="L57" s="75" t="s">
        <v>3474</v>
      </c>
    </row>
    <row r="58" customFormat="false" ht="102.2" hidden="false" customHeight="false" outlineLevel="0" collapsed="false">
      <c r="A58" s="73" t="s">
        <v>3475</v>
      </c>
      <c r="B58" s="73" t="s">
        <v>2396</v>
      </c>
      <c r="C58" s="73" t="s">
        <v>3476</v>
      </c>
      <c r="D58" s="73" t="s">
        <v>3477</v>
      </c>
      <c r="E58" s="75" t="s">
        <v>3478</v>
      </c>
      <c r="F58" s="75" t="s">
        <v>3479</v>
      </c>
      <c r="G58" s="75" t="s">
        <v>3480</v>
      </c>
      <c r="H58" s="75" t="s">
        <v>3481</v>
      </c>
      <c r="I58" s="75" t="s">
        <v>3482</v>
      </c>
      <c r="J58" s="75" t="s">
        <v>2820</v>
      </c>
      <c r="K58" s="75" t="s">
        <v>3204</v>
      </c>
      <c r="L58" s="75" t="s">
        <v>3483</v>
      </c>
    </row>
    <row r="59" customFormat="false" ht="102.2" hidden="false" customHeight="false" outlineLevel="0" collapsed="false">
      <c r="A59" s="73" t="s">
        <v>3484</v>
      </c>
      <c r="B59" s="73" t="s">
        <v>3485</v>
      </c>
      <c r="C59" s="73" t="s">
        <v>3486</v>
      </c>
      <c r="D59" s="73" t="s">
        <v>3477</v>
      </c>
      <c r="E59" s="75" t="s">
        <v>3487</v>
      </c>
      <c r="F59" s="75" t="s">
        <v>3488</v>
      </c>
      <c r="G59" s="75" t="s">
        <v>3489</v>
      </c>
      <c r="H59" s="75" t="s">
        <v>3490</v>
      </c>
      <c r="I59" s="75" t="s">
        <v>3491</v>
      </c>
      <c r="J59" s="75" t="s">
        <v>2277</v>
      </c>
      <c r="K59" s="75" t="s">
        <v>3204</v>
      </c>
      <c r="L59" s="75" t="s">
        <v>3492</v>
      </c>
    </row>
    <row r="60" customFormat="false" ht="68.65" hidden="false" customHeight="false" outlineLevel="0" collapsed="false">
      <c r="A60" s="73" t="s">
        <v>3493</v>
      </c>
      <c r="B60" s="73" t="s">
        <v>2396</v>
      </c>
      <c r="C60" s="73" t="s">
        <v>3494</v>
      </c>
      <c r="D60" s="73" t="s">
        <v>3477</v>
      </c>
      <c r="E60" s="75" t="s">
        <v>3495</v>
      </c>
      <c r="F60" s="75" t="s">
        <v>3496</v>
      </c>
      <c r="G60" s="75" t="s">
        <v>3497</v>
      </c>
      <c r="H60" s="75" t="s">
        <v>2887</v>
      </c>
      <c r="I60" s="75" t="s">
        <v>3498</v>
      </c>
      <c r="J60" s="75" t="s">
        <v>1176</v>
      </c>
      <c r="K60" s="75" t="s">
        <v>3404</v>
      </c>
      <c r="L60" s="75" t="s">
        <v>3499</v>
      </c>
    </row>
    <row r="61" customFormat="false" ht="91" hidden="false" customHeight="false" outlineLevel="0" collapsed="false">
      <c r="A61" s="73" t="s">
        <v>3500</v>
      </c>
      <c r="B61" s="73" t="s">
        <v>2396</v>
      </c>
      <c r="C61" s="73" t="s">
        <v>3501</v>
      </c>
      <c r="D61" s="73" t="s">
        <v>3477</v>
      </c>
      <c r="E61" s="75" t="s">
        <v>3502</v>
      </c>
      <c r="F61" s="75" t="s">
        <v>3503</v>
      </c>
      <c r="G61" s="75" t="s">
        <v>3504</v>
      </c>
      <c r="H61" s="75" t="s">
        <v>3505</v>
      </c>
      <c r="I61" s="75" t="s">
        <v>3506</v>
      </c>
      <c r="J61" s="75" t="s">
        <v>3507</v>
      </c>
      <c r="K61" s="75" t="s">
        <v>3404</v>
      </c>
      <c r="L61" s="75" t="s">
        <v>3508</v>
      </c>
    </row>
    <row r="62" customFormat="false" ht="91" hidden="false" customHeight="false" outlineLevel="0" collapsed="false">
      <c r="A62" s="73" t="s">
        <v>3509</v>
      </c>
      <c r="B62" s="73" t="s">
        <v>3485</v>
      </c>
      <c r="C62" s="73" t="s">
        <v>3510</v>
      </c>
      <c r="D62" s="73" t="s">
        <v>3477</v>
      </c>
      <c r="E62" s="75" t="s">
        <v>3511</v>
      </c>
      <c r="F62" s="75" t="s">
        <v>3512</v>
      </c>
      <c r="G62" s="75" t="s">
        <v>3513</v>
      </c>
      <c r="H62" s="75" t="s">
        <v>3386</v>
      </c>
      <c r="I62" s="75" t="s">
        <v>3514</v>
      </c>
      <c r="J62" s="75" t="s">
        <v>2146</v>
      </c>
      <c r="K62" s="75" t="s">
        <v>3204</v>
      </c>
      <c r="L62" s="75" t="s">
        <v>3515</v>
      </c>
    </row>
    <row r="63" customFormat="false" ht="57.45" hidden="false" customHeight="false" outlineLevel="0" collapsed="false">
      <c r="A63" s="73" t="s">
        <v>3516</v>
      </c>
      <c r="B63" s="73" t="s">
        <v>2396</v>
      </c>
      <c r="C63" s="73" t="s">
        <v>3517</v>
      </c>
      <c r="D63" s="73" t="s">
        <v>3477</v>
      </c>
      <c r="E63" s="75" t="s">
        <v>3518</v>
      </c>
      <c r="F63" s="75" t="s">
        <v>3519</v>
      </c>
      <c r="G63" s="75" t="s">
        <v>3520</v>
      </c>
      <c r="H63" s="75" t="s">
        <v>3521</v>
      </c>
      <c r="I63" s="75" t="s">
        <v>3522</v>
      </c>
      <c r="J63" s="75" t="s">
        <v>1190</v>
      </c>
      <c r="K63" s="75" t="s">
        <v>3404</v>
      </c>
      <c r="L63" s="75" t="s">
        <v>3523</v>
      </c>
    </row>
    <row r="64" customFormat="false" ht="91" hidden="false" customHeight="false" outlineLevel="0" collapsed="false">
      <c r="A64" s="73" t="s">
        <v>3524</v>
      </c>
      <c r="B64" s="73" t="s">
        <v>3485</v>
      </c>
      <c r="C64" s="73" t="s">
        <v>3525</v>
      </c>
      <c r="D64" s="73" t="s">
        <v>3477</v>
      </c>
      <c r="E64" s="75" t="s">
        <v>3526</v>
      </c>
      <c r="F64" s="75" t="s">
        <v>3527</v>
      </c>
      <c r="G64" s="75" t="s">
        <v>3528</v>
      </c>
      <c r="H64" s="75" t="s">
        <v>3033</v>
      </c>
      <c r="I64" s="75" t="s">
        <v>3529</v>
      </c>
      <c r="J64" s="75" t="s">
        <v>1533</v>
      </c>
      <c r="K64" s="75" t="s">
        <v>3204</v>
      </c>
      <c r="L64" s="75" t="s">
        <v>3530</v>
      </c>
    </row>
    <row r="65" customFormat="false" ht="57.45" hidden="false" customHeight="false" outlineLevel="0" collapsed="false">
      <c r="A65" s="73" t="s">
        <v>3531</v>
      </c>
      <c r="B65" s="73" t="s">
        <v>2396</v>
      </c>
      <c r="C65" s="73" t="s">
        <v>3532</v>
      </c>
      <c r="D65" s="73" t="s">
        <v>3477</v>
      </c>
      <c r="E65" s="75" t="s">
        <v>3533</v>
      </c>
      <c r="F65" s="75" t="s">
        <v>3534</v>
      </c>
      <c r="G65" s="75" t="s">
        <v>3535</v>
      </c>
      <c r="H65" s="75" t="s">
        <v>3022</v>
      </c>
      <c r="I65" s="75" t="s">
        <v>3536</v>
      </c>
      <c r="J65" s="75" t="s">
        <v>1195</v>
      </c>
      <c r="K65" s="75" t="s">
        <v>3404</v>
      </c>
      <c r="L65" s="75" t="s">
        <v>3537</v>
      </c>
    </row>
    <row r="66" customFormat="false" ht="91" hidden="false" customHeight="false" outlineLevel="0" collapsed="false">
      <c r="A66" s="73" t="s">
        <v>3538</v>
      </c>
      <c r="B66" s="73" t="s">
        <v>2396</v>
      </c>
      <c r="C66" s="73" t="s">
        <v>3539</v>
      </c>
      <c r="D66" s="73" t="s">
        <v>3477</v>
      </c>
      <c r="E66" s="75" t="s">
        <v>3540</v>
      </c>
      <c r="F66" s="75" t="s">
        <v>3541</v>
      </c>
      <c r="G66" s="75" t="s">
        <v>3542</v>
      </c>
      <c r="H66" s="75" t="s">
        <v>2992</v>
      </c>
      <c r="I66" s="75" t="s">
        <v>3543</v>
      </c>
      <c r="J66" s="75" t="s">
        <v>3125</v>
      </c>
      <c r="K66" s="75" t="s">
        <v>3404</v>
      </c>
      <c r="L66" s="75" t="s">
        <v>3544</v>
      </c>
    </row>
    <row r="67" customFormat="false" ht="46.25" hidden="false" customHeight="false" outlineLevel="0" collapsed="false">
      <c r="A67" s="73" t="s">
        <v>3545</v>
      </c>
      <c r="B67" s="73" t="s">
        <v>3187</v>
      </c>
      <c r="C67" s="73" t="s">
        <v>3546</v>
      </c>
      <c r="D67" s="73" t="s">
        <v>3477</v>
      </c>
      <c r="E67" s="75" t="s">
        <v>3547</v>
      </c>
      <c r="F67" s="75" t="s">
        <v>3548</v>
      </c>
      <c r="G67" s="75" t="s">
        <v>3549</v>
      </c>
      <c r="H67" s="75" t="s">
        <v>3411</v>
      </c>
      <c r="I67" s="75" t="s">
        <v>3403</v>
      </c>
      <c r="J67" s="75" t="s">
        <v>2065</v>
      </c>
      <c r="K67" s="75" t="s">
        <v>3473</v>
      </c>
      <c r="L67" s="75" t="s">
        <v>3550</v>
      </c>
    </row>
    <row r="68" customFormat="false" ht="46.25" hidden="false" customHeight="false" outlineLevel="0" collapsed="false">
      <c r="A68" s="73" t="s">
        <v>3551</v>
      </c>
      <c r="B68" s="73" t="s">
        <v>253</v>
      </c>
      <c r="C68" s="73" t="s">
        <v>3552</v>
      </c>
      <c r="D68" s="73" t="s">
        <v>3477</v>
      </c>
      <c r="E68" s="75" t="s">
        <v>3553</v>
      </c>
      <c r="F68" s="75" t="s">
        <v>3554</v>
      </c>
      <c r="G68" s="75" t="s">
        <v>3555</v>
      </c>
      <c r="H68" s="75" t="s">
        <v>3490</v>
      </c>
      <c r="I68" s="75" t="s">
        <v>3556</v>
      </c>
      <c r="J68" s="75" t="s">
        <v>2065</v>
      </c>
      <c r="K68" s="75" t="s">
        <v>3396</v>
      </c>
      <c r="L68" s="75" t="s">
        <v>3557</v>
      </c>
    </row>
  </sheetData>
  <mergeCells count="4">
    <mergeCell ref="A1:H1"/>
    <mergeCell ref="A3:H3"/>
    <mergeCell ref="A11:H11"/>
    <mergeCell ref="A42:K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B00"/>
    <pageSetUpPr fitToPage="false"/>
  </sheetPr>
  <dimension ref="A1:H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8" min="1" style="1" width="22"/>
  </cols>
  <sheetData>
    <row r="1" customFormat="false" ht="15" hidden="false" customHeight="true" outlineLevel="0" collapsed="false">
      <c r="A1" s="125" t="s">
        <v>3558</v>
      </c>
      <c r="B1" s="125"/>
      <c r="C1" s="125"/>
      <c r="D1" s="125"/>
      <c r="E1" s="125"/>
      <c r="F1" s="125"/>
      <c r="G1" s="125"/>
    </row>
    <row r="3" customFormat="false" ht="15" hidden="false" customHeight="true" outlineLevel="0" collapsed="false">
      <c r="A3" s="126" t="s">
        <v>3559</v>
      </c>
      <c r="B3" s="126"/>
      <c r="C3" s="126"/>
      <c r="D3" s="126"/>
      <c r="E3" s="126"/>
      <c r="F3" s="126"/>
      <c r="G3" s="126"/>
    </row>
    <row r="4" customFormat="false" ht="15" hidden="false" customHeight="true" outlineLevel="0" collapsed="false">
      <c r="A4" s="127" t="s">
        <v>1752</v>
      </c>
      <c r="B4" s="127" t="s">
        <v>3560</v>
      </c>
      <c r="C4" s="127" t="s">
        <v>3561</v>
      </c>
      <c r="D4" s="127" t="s">
        <v>3562</v>
      </c>
      <c r="E4" s="127" t="s">
        <v>576</v>
      </c>
      <c r="F4" s="127" t="s">
        <v>412</v>
      </c>
    </row>
    <row r="5" customFormat="false" ht="23.25" hidden="false" customHeight="true" outlineLevel="0" collapsed="false">
      <c r="A5" s="83" t="s">
        <v>490</v>
      </c>
      <c r="B5" s="83" t="s">
        <v>1585</v>
      </c>
      <c r="C5" s="83" t="s">
        <v>3563</v>
      </c>
      <c r="D5" s="83" t="s">
        <v>3564</v>
      </c>
      <c r="E5" s="83" t="s">
        <v>527</v>
      </c>
      <c r="F5" s="83" t="s">
        <v>1759</v>
      </c>
    </row>
    <row r="6" customFormat="false" ht="45.75" hidden="false" customHeight="true" outlineLevel="0" collapsed="false">
      <c r="A6" s="85" t="s">
        <v>496</v>
      </c>
      <c r="B6" s="85" t="s">
        <v>3565</v>
      </c>
      <c r="C6" s="85" t="s">
        <v>3566</v>
      </c>
      <c r="D6" s="85" t="s">
        <v>3567</v>
      </c>
      <c r="E6" s="85" t="s">
        <v>527</v>
      </c>
      <c r="F6" s="85" t="s">
        <v>1759</v>
      </c>
    </row>
    <row r="7" customFormat="false" ht="34.5" hidden="false" customHeight="true" outlineLevel="0" collapsed="false">
      <c r="A7" s="83" t="s">
        <v>502</v>
      </c>
      <c r="B7" s="83" t="s">
        <v>3568</v>
      </c>
      <c r="C7" s="83" t="s">
        <v>3569</v>
      </c>
      <c r="D7" s="83" t="s">
        <v>3570</v>
      </c>
      <c r="E7" s="83" t="s">
        <v>527</v>
      </c>
      <c r="F7" s="83" t="s">
        <v>1759</v>
      </c>
    </row>
    <row r="8" customFormat="false" ht="45.75" hidden="false" customHeight="true" outlineLevel="0" collapsed="false">
      <c r="A8" s="85" t="s">
        <v>507</v>
      </c>
      <c r="B8" s="85" t="s">
        <v>3571</v>
      </c>
      <c r="C8" s="85" t="s">
        <v>3572</v>
      </c>
      <c r="D8" s="85" t="s">
        <v>3573</v>
      </c>
      <c r="E8" s="85" t="s">
        <v>527</v>
      </c>
      <c r="F8" s="85" t="s">
        <v>1759</v>
      </c>
    </row>
    <row r="9" customFormat="false" ht="23.25" hidden="false" customHeight="true" outlineLevel="0" collapsed="false">
      <c r="A9" s="83" t="s">
        <v>511</v>
      </c>
      <c r="B9" s="83" t="s">
        <v>3574</v>
      </c>
      <c r="C9" s="83" t="s">
        <v>3575</v>
      </c>
      <c r="D9" s="83" t="s">
        <v>3576</v>
      </c>
      <c r="E9" s="83" t="s">
        <v>527</v>
      </c>
      <c r="F9" s="83" t="s">
        <v>1759</v>
      </c>
    </row>
    <row r="10" customFormat="false" ht="23.25" hidden="false" customHeight="true" outlineLevel="0" collapsed="false">
      <c r="A10" s="85" t="s">
        <v>516</v>
      </c>
      <c r="B10" s="85" t="s">
        <v>3577</v>
      </c>
      <c r="C10" s="85" t="s">
        <v>3578</v>
      </c>
      <c r="D10" s="85" t="s">
        <v>3579</v>
      </c>
      <c r="E10" s="85" t="s">
        <v>1772</v>
      </c>
      <c r="F10" s="85" t="s">
        <v>1759</v>
      </c>
    </row>
    <row r="11" customFormat="false" ht="23.25" hidden="false" customHeight="true" outlineLevel="0" collapsed="false">
      <c r="A11" s="83" t="s">
        <v>519</v>
      </c>
      <c r="B11" s="83" t="s">
        <v>826</v>
      </c>
      <c r="C11" s="83" t="s">
        <v>3580</v>
      </c>
      <c r="D11" s="83" t="s">
        <v>3581</v>
      </c>
      <c r="E11" s="83" t="s">
        <v>1772</v>
      </c>
      <c r="F11" s="83" t="s">
        <v>1759</v>
      </c>
    </row>
    <row r="12" customFormat="false" ht="23.25" hidden="false" customHeight="true" outlineLevel="0" collapsed="false">
      <c r="A12" s="85" t="s">
        <v>523</v>
      </c>
      <c r="B12" s="85" t="s">
        <v>875</v>
      </c>
      <c r="C12" s="85" t="s">
        <v>3582</v>
      </c>
      <c r="D12" s="85" t="s">
        <v>3583</v>
      </c>
      <c r="E12" s="85" t="s">
        <v>1772</v>
      </c>
      <c r="F12" s="85" t="s">
        <v>1759</v>
      </c>
    </row>
    <row r="13" customFormat="false" ht="23.25" hidden="false" customHeight="true" outlineLevel="0" collapsed="false">
      <c r="A13" s="83" t="s">
        <v>530</v>
      </c>
      <c r="B13" s="83" t="s">
        <v>3584</v>
      </c>
      <c r="C13" s="83" t="s">
        <v>3585</v>
      </c>
      <c r="D13" s="83" t="s">
        <v>3586</v>
      </c>
      <c r="E13" s="83" t="s">
        <v>1772</v>
      </c>
      <c r="F13" s="83" t="s">
        <v>1759</v>
      </c>
    </row>
    <row r="14" customFormat="false" ht="15" hidden="false" customHeight="true" outlineLevel="0" collapsed="false">
      <c r="A14" s="85" t="s">
        <v>535</v>
      </c>
      <c r="B14" s="85" t="s">
        <v>3587</v>
      </c>
      <c r="C14" s="85" t="s">
        <v>3588</v>
      </c>
      <c r="D14" s="85" t="s">
        <v>3589</v>
      </c>
      <c r="E14" s="85" t="s">
        <v>2456</v>
      </c>
      <c r="F14" s="85" t="s">
        <v>1759</v>
      </c>
    </row>
    <row r="15" customFormat="false" ht="23.25" hidden="false" customHeight="true" outlineLevel="0" collapsed="false">
      <c r="A15" s="83" t="s">
        <v>542</v>
      </c>
      <c r="B15" s="83" t="s">
        <v>3590</v>
      </c>
      <c r="C15" s="83" t="s">
        <v>3591</v>
      </c>
      <c r="D15" s="83" t="s">
        <v>3592</v>
      </c>
      <c r="E15" s="83" t="s">
        <v>3593</v>
      </c>
      <c r="F15" s="83" t="s">
        <v>1759</v>
      </c>
    </row>
    <row r="17" customFormat="false" ht="15" hidden="false" customHeight="true" outlineLevel="0" collapsed="false">
      <c r="A17" s="126" t="s">
        <v>3594</v>
      </c>
      <c r="B17" s="126"/>
      <c r="C17" s="126"/>
      <c r="D17" s="126"/>
      <c r="E17" s="126"/>
      <c r="F17" s="126"/>
      <c r="G17" s="126"/>
    </row>
    <row r="18" customFormat="false" ht="15" hidden="false" customHeight="true" outlineLevel="0" collapsed="false">
      <c r="A18" s="127" t="s">
        <v>3595</v>
      </c>
      <c r="B18" s="127" t="s">
        <v>3596</v>
      </c>
      <c r="C18" s="127" t="s">
        <v>3597</v>
      </c>
      <c r="D18" s="127" t="s">
        <v>3598</v>
      </c>
      <c r="E18" s="127" t="s">
        <v>3599</v>
      </c>
      <c r="F18" s="127" t="s">
        <v>576</v>
      </c>
      <c r="G18" s="127" t="s">
        <v>412</v>
      </c>
    </row>
    <row r="19" customFormat="false" ht="23.25" hidden="false" customHeight="true" outlineLevel="0" collapsed="false">
      <c r="A19" s="83" t="s">
        <v>3600</v>
      </c>
      <c r="B19" s="83" t="s">
        <v>3601</v>
      </c>
      <c r="C19" s="83" t="s">
        <v>3602</v>
      </c>
      <c r="D19" s="83" t="s">
        <v>3603</v>
      </c>
      <c r="E19" s="83" t="s">
        <v>3604</v>
      </c>
      <c r="F19" s="83" t="s">
        <v>2456</v>
      </c>
      <c r="G19" s="83" t="s">
        <v>1759</v>
      </c>
    </row>
    <row r="20" customFormat="false" ht="23.25" hidden="false" customHeight="true" outlineLevel="0" collapsed="false">
      <c r="A20" s="85" t="s">
        <v>3605</v>
      </c>
      <c r="B20" s="85" t="s">
        <v>3606</v>
      </c>
      <c r="C20" s="85" t="s">
        <v>3607</v>
      </c>
      <c r="D20" s="85" t="s">
        <v>3608</v>
      </c>
      <c r="E20" s="85" t="s">
        <v>3609</v>
      </c>
      <c r="F20" s="85" t="s">
        <v>2456</v>
      </c>
      <c r="G20" s="85" t="s">
        <v>1759</v>
      </c>
    </row>
    <row r="21" customFormat="false" ht="23.25" hidden="false" customHeight="true" outlineLevel="0" collapsed="false">
      <c r="A21" s="83" t="s">
        <v>3610</v>
      </c>
      <c r="B21" s="83" t="s">
        <v>3611</v>
      </c>
      <c r="C21" s="83" t="s">
        <v>3612</v>
      </c>
      <c r="D21" s="83" t="s">
        <v>3613</v>
      </c>
      <c r="E21" s="83" t="s">
        <v>3614</v>
      </c>
      <c r="F21" s="83" t="s">
        <v>3615</v>
      </c>
      <c r="G21" s="83" t="s">
        <v>1759</v>
      </c>
    </row>
    <row r="22" customFormat="false" ht="15" hidden="false" customHeight="true" outlineLevel="0" collapsed="false">
      <c r="A22" s="85" t="s">
        <v>3616</v>
      </c>
      <c r="B22" s="85" t="s">
        <v>3617</v>
      </c>
      <c r="C22" s="85" t="s">
        <v>3618</v>
      </c>
      <c r="D22" s="85" t="s">
        <v>1592</v>
      </c>
      <c r="E22" s="85" t="s">
        <v>3619</v>
      </c>
      <c r="F22" s="85" t="s">
        <v>3615</v>
      </c>
      <c r="G22" s="85" t="s">
        <v>1759</v>
      </c>
    </row>
    <row r="23" customFormat="false" ht="23.25" hidden="false" customHeight="true" outlineLevel="0" collapsed="false">
      <c r="A23" s="83" t="s">
        <v>3620</v>
      </c>
      <c r="B23" s="83" t="s">
        <v>3621</v>
      </c>
      <c r="C23" s="83" t="s">
        <v>3622</v>
      </c>
      <c r="D23" s="83" t="s">
        <v>3623</v>
      </c>
      <c r="E23" s="83" t="s">
        <v>3624</v>
      </c>
      <c r="F23" s="83" t="s">
        <v>3615</v>
      </c>
      <c r="G23" s="83" t="s">
        <v>1759</v>
      </c>
    </row>
    <row r="24" customFormat="false" ht="15" hidden="false" customHeight="true" outlineLevel="0" collapsed="false">
      <c r="A24" s="85" t="s">
        <v>3625</v>
      </c>
      <c r="B24" s="85" t="s">
        <v>3626</v>
      </c>
      <c r="C24" s="85" t="s">
        <v>3627</v>
      </c>
      <c r="D24" s="85" t="s">
        <v>3628</v>
      </c>
      <c r="E24" s="85" t="s">
        <v>3629</v>
      </c>
      <c r="F24" s="85" t="s">
        <v>1780</v>
      </c>
      <c r="G24" s="85" t="s">
        <v>1759</v>
      </c>
    </row>
    <row r="25" customFormat="false" ht="15" hidden="false" customHeight="true" outlineLevel="0" collapsed="false">
      <c r="A25" s="83" t="s">
        <v>3630</v>
      </c>
      <c r="B25" s="83" t="s">
        <v>3631</v>
      </c>
      <c r="C25" s="83" t="s">
        <v>3632</v>
      </c>
      <c r="D25" s="83" t="s">
        <v>3613</v>
      </c>
      <c r="E25" s="83" t="s">
        <v>3633</v>
      </c>
      <c r="F25" s="83" t="s">
        <v>3634</v>
      </c>
      <c r="G25" s="83" t="s">
        <v>1759</v>
      </c>
    </row>
    <row r="26" customFormat="false" ht="23.25" hidden="false" customHeight="true" outlineLevel="0" collapsed="false">
      <c r="A26" s="85" t="s">
        <v>3635</v>
      </c>
      <c r="B26" s="85" t="s">
        <v>3636</v>
      </c>
      <c r="C26" s="85" t="s">
        <v>3637</v>
      </c>
      <c r="D26" s="85" t="s">
        <v>3638</v>
      </c>
      <c r="E26" s="85" t="s">
        <v>3639</v>
      </c>
      <c r="F26" s="85" t="s">
        <v>3634</v>
      </c>
      <c r="G26" s="85" t="s">
        <v>1759</v>
      </c>
    </row>
    <row r="27" customFormat="false" ht="23.25" hidden="false" customHeight="true" outlineLevel="0" collapsed="false">
      <c r="A27" s="83" t="s">
        <v>3640</v>
      </c>
      <c r="B27" s="83" t="s">
        <v>3641</v>
      </c>
      <c r="C27" s="83" t="s">
        <v>3642</v>
      </c>
      <c r="D27" s="83" t="s">
        <v>3643</v>
      </c>
      <c r="E27" s="83" t="s">
        <v>3644</v>
      </c>
      <c r="F27" s="83" t="s">
        <v>1780</v>
      </c>
      <c r="G27" s="83" t="s">
        <v>1759</v>
      </c>
    </row>
    <row r="29" customFormat="false" ht="15" hidden="false" customHeight="true" outlineLevel="0" collapsed="false">
      <c r="A29" s="126" t="s">
        <v>3645</v>
      </c>
      <c r="B29" s="126"/>
      <c r="C29" s="126"/>
      <c r="D29" s="126"/>
      <c r="E29" s="126"/>
      <c r="F29" s="126"/>
      <c r="G29" s="126"/>
    </row>
    <row r="30" customFormat="false" ht="15" hidden="false" customHeight="true" outlineLevel="0" collapsed="false">
      <c r="A30" s="127" t="s">
        <v>3560</v>
      </c>
      <c r="B30" s="127" t="s">
        <v>528</v>
      </c>
      <c r="C30" s="127" t="s">
        <v>1326</v>
      </c>
      <c r="D30" s="127" t="s">
        <v>3646</v>
      </c>
      <c r="E30" s="127" t="s">
        <v>440</v>
      </c>
    </row>
    <row r="31" customFormat="false" ht="23.25" hidden="false" customHeight="true" outlineLevel="0" collapsed="false">
      <c r="A31" s="83" t="s">
        <v>3647</v>
      </c>
      <c r="B31" s="83" t="s">
        <v>3648</v>
      </c>
      <c r="C31" s="83" t="s">
        <v>3649</v>
      </c>
      <c r="D31" s="83" t="s">
        <v>3650</v>
      </c>
      <c r="E31" s="83" t="s">
        <v>3651</v>
      </c>
    </row>
    <row r="32" customFormat="false" ht="23.25" hidden="false" customHeight="true" outlineLevel="0" collapsed="false">
      <c r="A32" s="85" t="s">
        <v>3652</v>
      </c>
      <c r="B32" s="85" t="s">
        <v>3653</v>
      </c>
      <c r="C32" s="85" t="s">
        <v>3654</v>
      </c>
      <c r="D32" s="85" t="s">
        <v>3655</v>
      </c>
      <c r="E32" s="85" t="s">
        <v>3656</v>
      </c>
    </row>
    <row r="33" customFormat="false" ht="23.25" hidden="false" customHeight="true" outlineLevel="0" collapsed="false">
      <c r="A33" s="83" t="s">
        <v>3657</v>
      </c>
      <c r="B33" s="83" t="s">
        <v>3658</v>
      </c>
      <c r="C33" s="83" t="s">
        <v>3659</v>
      </c>
      <c r="D33" s="83" t="s">
        <v>3660</v>
      </c>
      <c r="E33" s="83" t="s">
        <v>3661</v>
      </c>
    </row>
    <row r="34" customFormat="false" ht="45.75" hidden="false" customHeight="true" outlineLevel="0" collapsed="false">
      <c r="A34" s="85" t="s">
        <v>3662</v>
      </c>
      <c r="B34" s="85" t="s">
        <v>3663</v>
      </c>
      <c r="C34" s="85" t="s">
        <v>3664</v>
      </c>
      <c r="D34" s="85" t="s">
        <v>571</v>
      </c>
      <c r="E34" s="85" t="s">
        <v>3665</v>
      </c>
    </row>
    <row r="35" customFormat="false" ht="23.25" hidden="false" customHeight="true" outlineLevel="0" collapsed="false">
      <c r="A35" s="83" t="s">
        <v>3666</v>
      </c>
      <c r="B35" s="83" t="s">
        <v>3667</v>
      </c>
      <c r="C35" s="83" t="s">
        <v>3668</v>
      </c>
      <c r="D35" s="83" t="s">
        <v>3669</v>
      </c>
      <c r="E35" s="83" t="s">
        <v>3670</v>
      </c>
    </row>
    <row r="36" customFormat="false" ht="34.5" hidden="false" customHeight="true" outlineLevel="0" collapsed="false">
      <c r="A36" s="85" t="s">
        <v>3671</v>
      </c>
      <c r="B36" s="85" t="s">
        <v>3672</v>
      </c>
      <c r="C36" s="85" t="s">
        <v>3673</v>
      </c>
      <c r="D36" s="85" t="s">
        <v>1592</v>
      </c>
      <c r="E36" s="85" t="s">
        <v>3674</v>
      </c>
    </row>
    <row r="38" customFormat="false" ht="15" hidden="false" customHeight="true" outlineLevel="0" collapsed="false">
      <c r="A38" s="6" t="s">
        <v>3675</v>
      </c>
    </row>
    <row r="39" customFormat="false" ht="15" hidden="false" customHeight="true" outlineLevel="0" collapsed="false">
      <c r="A39" s="3" t="s">
        <v>483</v>
      </c>
      <c r="B39" s="3" t="s">
        <v>1752</v>
      </c>
      <c r="C39" s="3" t="s">
        <v>1753</v>
      </c>
      <c r="D39" s="3" t="s">
        <v>3676</v>
      </c>
      <c r="E39" s="3" t="s">
        <v>3562</v>
      </c>
      <c r="F39" s="3" t="s">
        <v>1840</v>
      </c>
      <c r="G39" s="3" t="s">
        <v>576</v>
      </c>
      <c r="H39" s="3" t="s">
        <v>412</v>
      </c>
    </row>
    <row r="40" customFormat="false" ht="34.5" hidden="false" customHeight="true" outlineLevel="0" collapsed="false">
      <c r="A40" s="4" t="n">
        <v>1</v>
      </c>
      <c r="B40" s="4" t="s">
        <v>3677</v>
      </c>
      <c r="C40" s="4" t="s">
        <v>3678</v>
      </c>
      <c r="D40" s="4" t="s">
        <v>3679</v>
      </c>
      <c r="E40" s="4" t="s">
        <v>3680</v>
      </c>
      <c r="F40" s="4" t="s">
        <v>3681</v>
      </c>
      <c r="G40" s="4" t="s">
        <v>2456</v>
      </c>
      <c r="H40" s="4" t="s">
        <v>1759</v>
      </c>
    </row>
    <row r="41" customFormat="false" ht="34.5" hidden="false" customHeight="true" outlineLevel="0" collapsed="false">
      <c r="A41" s="5" t="n">
        <v>2</v>
      </c>
      <c r="B41" s="5" t="s">
        <v>3682</v>
      </c>
      <c r="C41" s="5" t="s">
        <v>3683</v>
      </c>
      <c r="D41" s="5" t="s">
        <v>3684</v>
      </c>
      <c r="E41" s="5" t="s">
        <v>3685</v>
      </c>
      <c r="F41" s="5" t="s">
        <v>3686</v>
      </c>
      <c r="G41" s="5" t="s">
        <v>3687</v>
      </c>
      <c r="H41" s="5" t="s">
        <v>1759</v>
      </c>
    </row>
    <row r="42" customFormat="false" ht="57" hidden="false" customHeight="true" outlineLevel="0" collapsed="false">
      <c r="A42" s="4" t="n">
        <v>3</v>
      </c>
      <c r="B42" s="4" t="s">
        <v>3688</v>
      </c>
      <c r="C42" s="4" t="s">
        <v>3689</v>
      </c>
      <c r="D42" s="4" t="s">
        <v>3690</v>
      </c>
      <c r="E42" s="4" t="s">
        <v>3691</v>
      </c>
      <c r="F42" s="4" t="s">
        <v>3692</v>
      </c>
      <c r="G42" s="4" t="s">
        <v>2456</v>
      </c>
      <c r="H42" s="4" t="s">
        <v>1759</v>
      </c>
    </row>
    <row r="43" customFormat="false" ht="34.5" hidden="false" customHeight="true" outlineLevel="0" collapsed="false">
      <c r="A43" s="5" t="n">
        <v>4</v>
      </c>
      <c r="B43" s="5" t="s">
        <v>3693</v>
      </c>
      <c r="C43" s="5" t="s">
        <v>3694</v>
      </c>
      <c r="D43" s="5" t="s">
        <v>3695</v>
      </c>
      <c r="E43" s="5" t="s">
        <v>3696</v>
      </c>
      <c r="F43" s="5" t="s">
        <v>447</v>
      </c>
      <c r="G43" s="5" t="s">
        <v>3615</v>
      </c>
      <c r="H43" s="5" t="s">
        <v>1759</v>
      </c>
    </row>
    <row r="44" customFormat="false" ht="45.75" hidden="false" customHeight="true" outlineLevel="0" collapsed="false">
      <c r="A44" s="4" t="n">
        <v>5</v>
      </c>
      <c r="B44" s="4" t="s">
        <v>3697</v>
      </c>
      <c r="C44" s="4" t="s">
        <v>3698</v>
      </c>
      <c r="D44" s="4" t="s">
        <v>3699</v>
      </c>
      <c r="E44" s="4" t="s">
        <v>3700</v>
      </c>
      <c r="F44" s="4" t="s">
        <v>3701</v>
      </c>
      <c r="G44" s="4" t="s">
        <v>3615</v>
      </c>
      <c r="H44" s="4" t="s">
        <v>1759</v>
      </c>
    </row>
    <row r="45" customFormat="false" ht="45.75" hidden="false" customHeight="true" outlineLevel="0" collapsed="false">
      <c r="A45" s="5" t="n">
        <v>6</v>
      </c>
      <c r="B45" s="5" t="s">
        <v>3702</v>
      </c>
      <c r="C45" s="5" t="s">
        <v>3703</v>
      </c>
      <c r="D45" s="5" t="s">
        <v>3704</v>
      </c>
      <c r="E45" s="5" t="s">
        <v>3705</v>
      </c>
      <c r="F45" s="5" t="s">
        <v>3706</v>
      </c>
      <c r="G45" s="5" t="s">
        <v>1780</v>
      </c>
      <c r="H45" s="5" t="s">
        <v>1759</v>
      </c>
    </row>
    <row r="46" customFormat="false" ht="45.75" hidden="false" customHeight="true" outlineLevel="0" collapsed="false">
      <c r="A46" s="4" t="n">
        <v>7</v>
      </c>
      <c r="B46" s="4" t="s">
        <v>3707</v>
      </c>
      <c r="C46" s="4" t="s">
        <v>3708</v>
      </c>
      <c r="D46" s="4" t="s">
        <v>3709</v>
      </c>
      <c r="E46" s="4" t="s">
        <v>3710</v>
      </c>
      <c r="F46" s="4" t="s">
        <v>3706</v>
      </c>
      <c r="G46" s="4" t="s">
        <v>1780</v>
      </c>
      <c r="H46" s="4" t="s">
        <v>1759</v>
      </c>
    </row>
    <row r="47" customFormat="false" ht="34.5" hidden="false" customHeight="true" outlineLevel="0" collapsed="false">
      <c r="A47" s="5" t="n">
        <v>8</v>
      </c>
      <c r="B47" s="5" t="s">
        <v>3711</v>
      </c>
      <c r="C47" s="5" t="s">
        <v>3712</v>
      </c>
      <c r="D47" s="5" t="s">
        <v>3713</v>
      </c>
      <c r="E47" s="5" t="s">
        <v>3714</v>
      </c>
      <c r="F47" s="5" t="s">
        <v>3706</v>
      </c>
      <c r="G47" s="5" t="s">
        <v>1780</v>
      </c>
      <c r="H47" s="5" t="s">
        <v>1759</v>
      </c>
    </row>
    <row r="48" customFormat="false" ht="45.75" hidden="false" customHeight="true" outlineLevel="0" collapsed="false">
      <c r="A48" s="4" t="n">
        <v>9</v>
      </c>
      <c r="B48" s="4" t="s">
        <v>3715</v>
      </c>
      <c r="C48" s="4" t="s">
        <v>3716</v>
      </c>
      <c r="D48" s="4" t="s">
        <v>3717</v>
      </c>
      <c r="E48" s="4" t="s">
        <v>3718</v>
      </c>
      <c r="F48" s="4" t="s">
        <v>3719</v>
      </c>
      <c r="G48" s="4" t="s">
        <v>3615</v>
      </c>
      <c r="H48" s="4" t="s">
        <v>1759</v>
      </c>
    </row>
    <row r="49" customFormat="false" ht="34.5" hidden="false" customHeight="true" outlineLevel="0" collapsed="false">
      <c r="A49" s="5" t="n">
        <v>10</v>
      </c>
      <c r="B49" s="5" t="s">
        <v>3720</v>
      </c>
      <c r="C49" s="5" t="s">
        <v>3721</v>
      </c>
      <c r="D49" s="5" t="s">
        <v>3722</v>
      </c>
      <c r="E49" s="5" t="s">
        <v>3723</v>
      </c>
      <c r="F49" s="5" t="s">
        <v>3724</v>
      </c>
      <c r="G49" s="5" t="s">
        <v>3634</v>
      </c>
      <c r="H49" s="5" t="s">
        <v>1759</v>
      </c>
    </row>
    <row r="50" customFormat="false" ht="57" hidden="false" customHeight="true" outlineLevel="0" collapsed="false">
      <c r="A50" s="4" t="n">
        <v>11</v>
      </c>
      <c r="B50" s="4" t="s">
        <v>3725</v>
      </c>
      <c r="C50" s="4" t="s">
        <v>3726</v>
      </c>
      <c r="D50" s="4" t="s">
        <v>3727</v>
      </c>
      <c r="E50" s="4" t="s">
        <v>3728</v>
      </c>
      <c r="F50" s="4" t="s">
        <v>3729</v>
      </c>
      <c r="G50" s="4" t="s">
        <v>3634</v>
      </c>
      <c r="H50" s="4" t="s">
        <v>1759</v>
      </c>
    </row>
    <row r="51" customFormat="false" ht="45.75" hidden="false" customHeight="true" outlineLevel="0" collapsed="false">
      <c r="A51" s="5" t="n">
        <v>12</v>
      </c>
      <c r="B51" s="5" t="s">
        <v>3730</v>
      </c>
      <c r="C51" s="5" t="s">
        <v>3731</v>
      </c>
      <c r="D51" s="5" t="s">
        <v>3732</v>
      </c>
      <c r="E51" s="5" t="s">
        <v>3733</v>
      </c>
      <c r="F51" s="5" t="s">
        <v>3734</v>
      </c>
      <c r="G51" s="5" t="s">
        <v>3735</v>
      </c>
      <c r="H51" s="5" t="s">
        <v>1759</v>
      </c>
    </row>
    <row r="54" customFormat="false" ht="15" hidden="false" customHeight="true" outlineLevel="0" collapsed="false">
      <c r="A54" s="6" t="s">
        <v>3736</v>
      </c>
    </row>
    <row r="55" customFormat="false" ht="15" hidden="false" customHeight="true" outlineLevel="0" collapsed="false">
      <c r="A55" s="3" t="s">
        <v>3737</v>
      </c>
      <c r="B55" s="3" t="s">
        <v>3738</v>
      </c>
      <c r="C55" s="3" t="s">
        <v>3739</v>
      </c>
      <c r="D55" s="3" t="s">
        <v>1326</v>
      </c>
      <c r="E55" s="3" t="s">
        <v>3740</v>
      </c>
      <c r="F55" s="3" t="s">
        <v>3741</v>
      </c>
      <c r="G55" s="3" t="s">
        <v>412</v>
      </c>
    </row>
    <row r="56" customFormat="false" ht="23.25" hidden="false" customHeight="true" outlineLevel="0" collapsed="false">
      <c r="A56" s="4" t="s">
        <v>619</v>
      </c>
      <c r="B56" s="4" t="s">
        <v>3742</v>
      </c>
      <c r="C56" s="4" t="s">
        <v>3743</v>
      </c>
      <c r="D56" s="4" t="s">
        <v>3744</v>
      </c>
      <c r="E56" s="4" t="s">
        <v>3745</v>
      </c>
      <c r="F56" s="4" t="s">
        <v>3746</v>
      </c>
      <c r="G56" s="4" t="s">
        <v>1759</v>
      </c>
    </row>
    <row r="57" customFormat="false" ht="34.5" hidden="false" customHeight="true" outlineLevel="0" collapsed="false">
      <c r="A57" s="5" t="s">
        <v>619</v>
      </c>
      <c r="B57" s="5" t="s">
        <v>3747</v>
      </c>
      <c r="C57" s="5" t="s">
        <v>3748</v>
      </c>
      <c r="D57" s="5" t="s">
        <v>3749</v>
      </c>
      <c r="E57" s="5" t="s">
        <v>3750</v>
      </c>
      <c r="F57" s="5" t="s">
        <v>3751</v>
      </c>
      <c r="G57" s="5" t="s">
        <v>1759</v>
      </c>
    </row>
    <row r="58" customFormat="false" ht="23.25" hidden="false" customHeight="true" outlineLevel="0" collapsed="false">
      <c r="A58" s="4" t="s">
        <v>619</v>
      </c>
      <c r="B58" s="4" t="s">
        <v>3752</v>
      </c>
      <c r="C58" s="4" t="s">
        <v>3753</v>
      </c>
      <c r="D58" s="4" t="s">
        <v>3754</v>
      </c>
      <c r="E58" s="4" t="s">
        <v>3755</v>
      </c>
      <c r="F58" s="4" t="s">
        <v>3756</v>
      </c>
      <c r="G58" s="4" t="s">
        <v>1759</v>
      </c>
    </row>
    <row r="59" customFormat="false" ht="34.5" hidden="false" customHeight="true" outlineLevel="0" collapsed="false">
      <c r="A59" s="5" t="s">
        <v>904</v>
      </c>
      <c r="B59" s="5" t="s">
        <v>3757</v>
      </c>
      <c r="C59" s="5" t="s">
        <v>3758</v>
      </c>
      <c r="D59" s="5" t="s">
        <v>3759</v>
      </c>
      <c r="E59" s="5" t="s">
        <v>3760</v>
      </c>
      <c r="F59" s="5" t="s">
        <v>3761</v>
      </c>
      <c r="G59" s="5" t="s">
        <v>1759</v>
      </c>
    </row>
    <row r="60" customFormat="false" ht="23.25" hidden="false" customHeight="true" outlineLevel="0" collapsed="false">
      <c r="A60" s="4" t="s">
        <v>904</v>
      </c>
      <c r="B60" s="4" t="s">
        <v>3762</v>
      </c>
      <c r="C60" s="4" t="s">
        <v>3763</v>
      </c>
      <c r="D60" s="4" t="s">
        <v>3764</v>
      </c>
      <c r="E60" s="4" t="s">
        <v>3765</v>
      </c>
      <c r="F60" s="4" t="s">
        <v>3766</v>
      </c>
      <c r="G60" s="4" t="s">
        <v>1759</v>
      </c>
    </row>
    <row r="61" customFormat="false" ht="23.25" hidden="false" customHeight="true" outlineLevel="0" collapsed="false">
      <c r="A61" s="5" t="s">
        <v>453</v>
      </c>
      <c r="B61" s="5" t="s">
        <v>3742</v>
      </c>
      <c r="C61" s="5" t="s">
        <v>3767</v>
      </c>
      <c r="D61" s="5" t="s">
        <v>3768</v>
      </c>
      <c r="E61" s="5" t="s">
        <v>3769</v>
      </c>
      <c r="F61" s="5" t="s">
        <v>3770</v>
      </c>
      <c r="G61" s="5" t="s">
        <v>1759</v>
      </c>
    </row>
    <row r="62" customFormat="false" ht="34.5" hidden="false" customHeight="true" outlineLevel="0" collapsed="false">
      <c r="A62" s="4" t="s">
        <v>453</v>
      </c>
      <c r="B62" s="4" t="s">
        <v>1553</v>
      </c>
      <c r="C62" s="4" t="s">
        <v>3771</v>
      </c>
      <c r="D62" s="4" t="s">
        <v>3772</v>
      </c>
      <c r="E62" s="4" t="s">
        <v>3773</v>
      </c>
      <c r="F62" s="4" t="s">
        <v>3774</v>
      </c>
      <c r="G62" s="4" t="s">
        <v>1759</v>
      </c>
    </row>
    <row r="63" customFormat="false" ht="23.25" hidden="false" customHeight="true" outlineLevel="0" collapsed="false">
      <c r="A63" s="5" t="s">
        <v>912</v>
      </c>
      <c r="B63" s="5" t="s">
        <v>3775</v>
      </c>
      <c r="C63" s="5" t="s">
        <v>3776</v>
      </c>
      <c r="D63" s="5" t="s">
        <v>3777</v>
      </c>
      <c r="E63" s="5" t="s">
        <v>3778</v>
      </c>
      <c r="F63" s="5" t="s">
        <v>3779</v>
      </c>
      <c r="G63" s="5" t="s">
        <v>1759</v>
      </c>
    </row>
    <row r="64" customFormat="false" ht="23.25" hidden="false" customHeight="true" outlineLevel="0" collapsed="false">
      <c r="A64" s="4" t="s">
        <v>912</v>
      </c>
      <c r="B64" s="4" t="s">
        <v>3780</v>
      </c>
      <c r="C64" s="4" t="s">
        <v>3781</v>
      </c>
      <c r="D64" s="4" t="s">
        <v>3782</v>
      </c>
      <c r="E64" s="4" t="s">
        <v>3783</v>
      </c>
      <c r="F64" s="4" t="s">
        <v>3784</v>
      </c>
      <c r="G64" s="4" t="s">
        <v>1759</v>
      </c>
    </row>
    <row r="65" customFormat="false" ht="34.5" hidden="false" customHeight="true" outlineLevel="0" collapsed="false">
      <c r="A65" s="5" t="s">
        <v>3785</v>
      </c>
      <c r="B65" s="5" t="s">
        <v>3786</v>
      </c>
      <c r="C65" s="5" t="s">
        <v>3787</v>
      </c>
      <c r="D65" s="5" t="s">
        <v>3788</v>
      </c>
      <c r="E65" s="5" t="s">
        <v>3789</v>
      </c>
      <c r="F65" s="5" t="s">
        <v>3790</v>
      </c>
      <c r="G65" s="5" t="s">
        <v>1759</v>
      </c>
    </row>
    <row r="66" customFormat="false" ht="34.5" hidden="false" customHeight="true" outlineLevel="0" collapsed="false">
      <c r="A66" s="4" t="s">
        <v>1847</v>
      </c>
      <c r="B66" s="4" t="s">
        <v>3791</v>
      </c>
      <c r="C66" s="4" t="s">
        <v>3792</v>
      </c>
      <c r="D66" s="4" t="s">
        <v>3793</v>
      </c>
      <c r="E66" s="4" t="s">
        <v>3794</v>
      </c>
      <c r="F66" s="4" t="s">
        <v>3795</v>
      </c>
      <c r="G66" s="4" t="s">
        <v>1759</v>
      </c>
    </row>
    <row r="69" customFormat="false" ht="15" hidden="false" customHeight="true" outlineLevel="0" collapsed="false">
      <c r="A69" s="6" t="s">
        <v>3796</v>
      </c>
    </row>
    <row r="70" customFormat="false" ht="15" hidden="false" customHeight="true" outlineLevel="0" collapsed="false">
      <c r="A70" s="3" t="s">
        <v>3595</v>
      </c>
      <c r="B70" s="3" t="s">
        <v>1752</v>
      </c>
      <c r="C70" s="3" t="s">
        <v>3797</v>
      </c>
      <c r="D70" s="3" t="s">
        <v>3798</v>
      </c>
      <c r="E70" s="3" t="s">
        <v>3799</v>
      </c>
      <c r="F70" s="3" t="s">
        <v>3800</v>
      </c>
      <c r="G70" s="3" t="s">
        <v>3801</v>
      </c>
      <c r="H70" s="3" t="s">
        <v>3802</v>
      </c>
    </row>
    <row r="71" customFormat="false" ht="45.75" hidden="false" customHeight="true" outlineLevel="0" collapsed="false">
      <c r="A71" s="4" t="s">
        <v>3803</v>
      </c>
      <c r="B71" s="4" t="s">
        <v>490</v>
      </c>
      <c r="C71" s="4" t="s">
        <v>3804</v>
      </c>
      <c r="D71" s="4" t="s">
        <v>3805</v>
      </c>
      <c r="E71" s="4" t="s">
        <v>3806</v>
      </c>
      <c r="F71" s="4" t="s">
        <v>3807</v>
      </c>
      <c r="G71" s="4" t="s">
        <v>3808</v>
      </c>
      <c r="H71" s="4" t="s">
        <v>3809</v>
      </c>
    </row>
    <row r="72" customFormat="false" ht="34.5" hidden="false" customHeight="true" outlineLevel="0" collapsed="false">
      <c r="A72" s="5" t="s">
        <v>3803</v>
      </c>
      <c r="B72" s="5" t="s">
        <v>496</v>
      </c>
      <c r="C72" s="5" t="s">
        <v>3810</v>
      </c>
      <c r="D72" s="5" t="s">
        <v>3811</v>
      </c>
      <c r="E72" s="5" t="s">
        <v>1825</v>
      </c>
      <c r="F72" s="5" t="s">
        <v>3812</v>
      </c>
      <c r="G72" s="5" t="s">
        <v>1592</v>
      </c>
      <c r="H72" s="5" t="s">
        <v>3813</v>
      </c>
    </row>
    <row r="73" customFormat="false" ht="34.5" hidden="false" customHeight="true" outlineLevel="0" collapsed="false">
      <c r="A73" s="4" t="s">
        <v>3803</v>
      </c>
      <c r="B73" s="4" t="s">
        <v>502</v>
      </c>
      <c r="C73" s="4" t="s">
        <v>3814</v>
      </c>
      <c r="D73" s="4" t="s">
        <v>3815</v>
      </c>
      <c r="E73" s="4" t="s">
        <v>1150</v>
      </c>
      <c r="F73" s="4" t="s">
        <v>3816</v>
      </c>
      <c r="G73" s="4" t="s">
        <v>3817</v>
      </c>
      <c r="H73" s="4" t="s">
        <v>3818</v>
      </c>
    </row>
    <row r="74" customFormat="false" ht="34.5" hidden="false" customHeight="true" outlineLevel="0" collapsed="false">
      <c r="A74" s="5" t="s">
        <v>3803</v>
      </c>
      <c r="B74" s="5" t="s">
        <v>507</v>
      </c>
      <c r="C74" s="5" t="s">
        <v>3819</v>
      </c>
      <c r="D74" s="5" t="s">
        <v>3820</v>
      </c>
      <c r="E74" s="5" t="s">
        <v>875</v>
      </c>
      <c r="F74" s="5" t="s">
        <v>3821</v>
      </c>
      <c r="G74" s="5" t="s">
        <v>3822</v>
      </c>
      <c r="H74" s="5" t="s">
        <v>3823</v>
      </c>
    </row>
    <row r="75" customFormat="false" ht="34.5" hidden="false" customHeight="true" outlineLevel="0" collapsed="false">
      <c r="A75" s="4" t="s">
        <v>3803</v>
      </c>
      <c r="B75" s="4" t="s">
        <v>511</v>
      </c>
      <c r="C75" s="4" t="s">
        <v>3824</v>
      </c>
      <c r="D75" s="4" t="s">
        <v>3815</v>
      </c>
      <c r="E75" s="4" t="s">
        <v>1825</v>
      </c>
      <c r="F75" s="4" t="s">
        <v>3825</v>
      </c>
      <c r="G75" s="4" t="s">
        <v>3826</v>
      </c>
      <c r="H75" s="4" t="s">
        <v>3827</v>
      </c>
    </row>
    <row r="76" customFormat="false" ht="34.5" hidden="false" customHeight="true" outlineLevel="0" collapsed="false">
      <c r="A76" s="5" t="s">
        <v>3828</v>
      </c>
      <c r="B76" s="5" t="s">
        <v>490</v>
      </c>
      <c r="C76" s="5" t="s">
        <v>3829</v>
      </c>
      <c r="D76" s="5" t="s">
        <v>3830</v>
      </c>
      <c r="E76" s="5" t="s">
        <v>3806</v>
      </c>
      <c r="F76" s="5" t="s">
        <v>3831</v>
      </c>
      <c r="G76" s="5" t="s">
        <v>3832</v>
      </c>
      <c r="H76" s="5" t="s">
        <v>3833</v>
      </c>
    </row>
    <row r="77" customFormat="false" ht="34.5" hidden="false" customHeight="true" outlineLevel="0" collapsed="false">
      <c r="A77" s="4" t="s">
        <v>3828</v>
      </c>
      <c r="B77" s="4" t="s">
        <v>496</v>
      </c>
      <c r="C77" s="4" t="s">
        <v>3834</v>
      </c>
      <c r="D77" s="4" t="s">
        <v>3835</v>
      </c>
      <c r="E77" s="4" t="s">
        <v>1150</v>
      </c>
      <c r="F77" s="4" t="s">
        <v>3836</v>
      </c>
      <c r="G77" s="4" t="s">
        <v>3837</v>
      </c>
      <c r="H77" s="4" t="s">
        <v>3838</v>
      </c>
    </row>
    <row r="78" customFormat="false" ht="34.5" hidden="false" customHeight="true" outlineLevel="0" collapsed="false">
      <c r="A78" s="5" t="s">
        <v>3828</v>
      </c>
      <c r="B78" s="5" t="s">
        <v>502</v>
      </c>
      <c r="C78" s="5" t="s">
        <v>3839</v>
      </c>
      <c r="D78" s="5" t="s">
        <v>3840</v>
      </c>
      <c r="E78" s="5" t="s">
        <v>875</v>
      </c>
      <c r="F78" s="5" t="s">
        <v>3841</v>
      </c>
      <c r="G78" s="5" t="s">
        <v>3837</v>
      </c>
      <c r="H78" s="5" t="s">
        <v>3842</v>
      </c>
    </row>
    <row r="79" customFormat="false" ht="34.5" hidden="false" customHeight="true" outlineLevel="0" collapsed="false">
      <c r="A79" s="4" t="s">
        <v>3828</v>
      </c>
      <c r="B79" s="4" t="s">
        <v>507</v>
      </c>
      <c r="C79" s="4" t="s">
        <v>3843</v>
      </c>
      <c r="D79" s="4" t="s">
        <v>3844</v>
      </c>
      <c r="E79" s="4" t="s">
        <v>1825</v>
      </c>
      <c r="F79" s="4" t="s">
        <v>3845</v>
      </c>
      <c r="G79" s="4" t="s">
        <v>3837</v>
      </c>
      <c r="H79" s="4" t="s">
        <v>3846</v>
      </c>
    </row>
    <row r="80" customFormat="false" ht="34.5" hidden="false" customHeight="true" outlineLevel="0" collapsed="false">
      <c r="A80" s="5" t="s">
        <v>3828</v>
      </c>
      <c r="B80" s="5" t="s">
        <v>511</v>
      </c>
      <c r="C80" s="5" t="s">
        <v>3847</v>
      </c>
      <c r="D80" s="5" t="s">
        <v>3848</v>
      </c>
      <c r="E80" s="5" t="s">
        <v>3806</v>
      </c>
      <c r="F80" s="5" t="s">
        <v>3849</v>
      </c>
      <c r="G80" s="5" t="s">
        <v>3837</v>
      </c>
      <c r="H80" s="5" t="s">
        <v>3850</v>
      </c>
    </row>
    <row r="81" customFormat="false" ht="34.5" hidden="false" customHeight="true" outlineLevel="0" collapsed="false">
      <c r="A81" s="4" t="s">
        <v>3851</v>
      </c>
      <c r="B81" s="4" t="s">
        <v>490</v>
      </c>
      <c r="C81" s="4" t="s">
        <v>3852</v>
      </c>
      <c r="D81" s="4" t="s">
        <v>3853</v>
      </c>
      <c r="E81" s="4" t="s">
        <v>3806</v>
      </c>
      <c r="F81" s="4" t="s">
        <v>3854</v>
      </c>
      <c r="G81" s="4" t="s">
        <v>3855</v>
      </c>
      <c r="H81" s="4" t="s">
        <v>3833</v>
      </c>
    </row>
    <row r="82" customFormat="false" ht="34.5" hidden="false" customHeight="true" outlineLevel="0" collapsed="false">
      <c r="A82" s="5" t="s">
        <v>3851</v>
      </c>
      <c r="B82" s="5" t="s">
        <v>496</v>
      </c>
      <c r="C82" s="5" t="s">
        <v>3856</v>
      </c>
      <c r="D82" s="5" t="s">
        <v>3857</v>
      </c>
      <c r="E82" s="5" t="s">
        <v>875</v>
      </c>
      <c r="F82" s="5" t="s">
        <v>3858</v>
      </c>
      <c r="G82" s="5" t="s">
        <v>3855</v>
      </c>
      <c r="H82" s="5" t="s">
        <v>3842</v>
      </c>
    </row>
    <row r="83" customFormat="false" ht="34.5" hidden="false" customHeight="true" outlineLevel="0" collapsed="false">
      <c r="A83" s="4" t="s">
        <v>3851</v>
      </c>
      <c r="B83" s="4" t="s">
        <v>502</v>
      </c>
      <c r="C83" s="4" t="s">
        <v>3859</v>
      </c>
      <c r="D83" s="4" t="s">
        <v>3860</v>
      </c>
      <c r="E83" s="4" t="s">
        <v>1825</v>
      </c>
      <c r="F83" s="4" t="s">
        <v>3861</v>
      </c>
      <c r="G83" s="4" t="s">
        <v>3862</v>
      </c>
      <c r="H83" s="4" t="s">
        <v>3846</v>
      </c>
    </row>
    <row r="84" customFormat="false" ht="23.25" hidden="false" customHeight="true" outlineLevel="0" collapsed="false">
      <c r="A84" s="5" t="s">
        <v>3851</v>
      </c>
      <c r="B84" s="5" t="s">
        <v>507</v>
      </c>
      <c r="C84" s="5" t="s">
        <v>3863</v>
      </c>
      <c r="D84" s="5" t="s">
        <v>3864</v>
      </c>
      <c r="E84" s="5" t="s">
        <v>1150</v>
      </c>
      <c r="F84" s="5" t="s">
        <v>3865</v>
      </c>
      <c r="G84" s="5" t="s">
        <v>3862</v>
      </c>
      <c r="H84" s="5" t="s">
        <v>3866</v>
      </c>
    </row>
    <row r="85" customFormat="false" ht="34.5" hidden="false" customHeight="true" outlineLevel="0" collapsed="false">
      <c r="A85" s="4" t="s">
        <v>3851</v>
      </c>
      <c r="B85" s="4" t="s">
        <v>511</v>
      </c>
      <c r="C85" s="4" t="s">
        <v>3867</v>
      </c>
      <c r="D85" s="4" t="s">
        <v>3840</v>
      </c>
      <c r="E85" s="4" t="s">
        <v>3806</v>
      </c>
      <c r="F85" s="4" t="s">
        <v>3868</v>
      </c>
      <c r="G85" s="4" t="s">
        <v>3862</v>
      </c>
      <c r="H85" s="4" t="s">
        <v>3850</v>
      </c>
    </row>
    <row r="88" customFormat="false" ht="15" hidden="false" customHeight="false" outlineLevel="0" collapsed="false">
      <c r="A88" s="72" t="s">
        <v>3869</v>
      </c>
    </row>
    <row r="90" customFormat="false" ht="15" hidden="false" customHeight="false" outlineLevel="0" collapsed="false">
      <c r="A90" s="3" t="s">
        <v>3870</v>
      </c>
      <c r="B90" s="3" t="s">
        <v>3871</v>
      </c>
      <c r="C90" s="3" t="s">
        <v>3872</v>
      </c>
      <c r="D90" s="3" t="s">
        <v>3873</v>
      </c>
      <c r="E90" s="3" t="s">
        <v>440</v>
      </c>
    </row>
    <row r="91" customFormat="false" ht="23.85" hidden="false" customHeight="false" outlineLevel="0" collapsed="false">
      <c r="A91" s="73" t="s">
        <v>3874</v>
      </c>
      <c r="B91" s="73" t="s">
        <v>3875</v>
      </c>
      <c r="C91" s="73" t="s">
        <v>3876</v>
      </c>
      <c r="D91" s="73" t="s">
        <v>3877</v>
      </c>
      <c r="E91" s="73" t="s">
        <v>3878</v>
      </c>
    </row>
    <row r="92" customFormat="false" ht="15" hidden="false" customHeight="false" outlineLevel="0" collapsed="false">
      <c r="A92" s="75" t="s">
        <v>3571</v>
      </c>
      <c r="B92" s="75" t="s">
        <v>3875</v>
      </c>
      <c r="C92" s="75" t="s">
        <v>3879</v>
      </c>
      <c r="D92" s="75" t="s">
        <v>3877</v>
      </c>
      <c r="E92" s="75" t="s">
        <v>3880</v>
      </c>
    </row>
    <row r="93" customFormat="false" ht="23.85" hidden="false" customHeight="false" outlineLevel="0" collapsed="false">
      <c r="A93" s="73" t="s">
        <v>3881</v>
      </c>
      <c r="B93" s="73" t="s">
        <v>3882</v>
      </c>
      <c r="C93" s="73" t="s">
        <v>3883</v>
      </c>
      <c r="D93" s="73" t="s">
        <v>3882</v>
      </c>
      <c r="E93" s="73" t="s">
        <v>3884</v>
      </c>
    </row>
    <row r="94" customFormat="false" ht="23.85" hidden="false" customHeight="false" outlineLevel="0" collapsed="false">
      <c r="A94" s="75" t="s">
        <v>3885</v>
      </c>
      <c r="B94" s="75" t="s">
        <v>3886</v>
      </c>
      <c r="C94" s="75" t="s">
        <v>3887</v>
      </c>
      <c r="D94" s="75" t="s">
        <v>3882</v>
      </c>
      <c r="E94" s="75" t="s">
        <v>3888</v>
      </c>
    </row>
    <row r="95" customFormat="false" ht="23.85" hidden="false" customHeight="false" outlineLevel="0" collapsed="false">
      <c r="A95" s="73" t="s">
        <v>3889</v>
      </c>
      <c r="B95" s="73" t="s">
        <v>783</v>
      </c>
      <c r="C95" s="73" t="s">
        <v>451</v>
      </c>
      <c r="D95" s="73" t="s">
        <v>451</v>
      </c>
      <c r="E95" s="73" t="s">
        <v>3890</v>
      </c>
    </row>
    <row r="96" customFormat="false" ht="23.85" hidden="false" customHeight="false" outlineLevel="0" collapsed="false">
      <c r="A96" s="75" t="s">
        <v>3891</v>
      </c>
      <c r="B96" s="75" t="s">
        <v>783</v>
      </c>
      <c r="C96" s="75" t="s">
        <v>451</v>
      </c>
      <c r="D96" s="75" t="s">
        <v>451</v>
      </c>
      <c r="E96" s="75" t="s">
        <v>3892</v>
      </c>
    </row>
    <row r="97" customFormat="false" ht="23.85" hidden="false" customHeight="false" outlineLevel="0" collapsed="false">
      <c r="A97" s="73" t="s">
        <v>3806</v>
      </c>
      <c r="B97" s="73" t="s">
        <v>783</v>
      </c>
      <c r="C97" s="73" t="s">
        <v>451</v>
      </c>
      <c r="D97" s="73" t="s">
        <v>451</v>
      </c>
      <c r="E97" s="73" t="s">
        <v>3893</v>
      </c>
    </row>
    <row r="98" customFormat="false" ht="23.85" hidden="false" customHeight="false" outlineLevel="0" collapsed="false">
      <c r="A98" s="75" t="s">
        <v>3894</v>
      </c>
      <c r="B98" s="75" t="s">
        <v>3895</v>
      </c>
      <c r="C98" s="75" t="s">
        <v>451</v>
      </c>
      <c r="D98" s="75" t="s">
        <v>451</v>
      </c>
      <c r="E98" s="75" t="s">
        <v>3896</v>
      </c>
    </row>
    <row r="99" customFormat="false" ht="23.85" hidden="false" customHeight="false" outlineLevel="0" collapsed="false">
      <c r="A99" s="73" t="s">
        <v>3897</v>
      </c>
      <c r="B99" s="73" t="s">
        <v>3898</v>
      </c>
      <c r="C99" s="73" t="s">
        <v>451</v>
      </c>
      <c r="D99" s="73" t="s">
        <v>451</v>
      </c>
      <c r="E99" s="73" t="s">
        <v>3899</v>
      </c>
    </row>
    <row r="100" customFormat="false" ht="23.85" hidden="false" customHeight="false" outlineLevel="0" collapsed="false">
      <c r="A100" s="75" t="s">
        <v>3662</v>
      </c>
      <c r="B100" s="75" t="s">
        <v>3900</v>
      </c>
      <c r="C100" s="75" t="s">
        <v>3901</v>
      </c>
      <c r="D100" s="75" t="s">
        <v>3902</v>
      </c>
      <c r="E100" s="75" t="s">
        <v>3903</v>
      </c>
    </row>
    <row r="101" customFormat="false" ht="15" hidden="false" customHeight="false" outlineLevel="0" collapsed="false">
      <c r="A101" s="73" t="s">
        <v>3590</v>
      </c>
      <c r="B101" s="73" t="s">
        <v>783</v>
      </c>
      <c r="C101" s="73" t="s">
        <v>451</v>
      </c>
      <c r="D101" s="73" t="s">
        <v>451</v>
      </c>
      <c r="E101" s="73" t="s">
        <v>3904</v>
      </c>
    </row>
    <row r="102" customFormat="false" ht="23.85" hidden="false" customHeight="false" outlineLevel="0" collapsed="false">
      <c r="A102" s="75" t="s">
        <v>3905</v>
      </c>
      <c r="B102" s="75" t="s">
        <v>3906</v>
      </c>
      <c r="C102" s="75" t="s">
        <v>3907</v>
      </c>
      <c r="D102" s="75" t="s">
        <v>764</v>
      </c>
      <c r="E102" s="75" t="s">
        <v>3908</v>
      </c>
    </row>
  </sheetData>
  <mergeCells count="4">
    <mergeCell ref="A1:G1"/>
    <mergeCell ref="A3:G3"/>
    <mergeCell ref="A17:G17"/>
    <mergeCell ref="A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C3F7"/>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22"/>
    <col collapsed="false" customWidth="true" hidden="false" outlineLevel="0" max="3" min="3" style="1" width="40"/>
    <col collapsed="false" customWidth="true" hidden="false" outlineLevel="0" max="4" min="4" style="1" width="55"/>
    <col collapsed="false" customWidth="true" hidden="false" outlineLevel="0" max="5" min="5" style="1" width="40"/>
    <col collapsed="false" customWidth="true" hidden="false" outlineLevel="0" max="8" min="6" style="1" width="35"/>
  </cols>
  <sheetData>
    <row r="1" customFormat="false" ht="15" hidden="false" customHeight="true" outlineLevel="0" collapsed="false">
      <c r="A1" s="128" t="s">
        <v>3909</v>
      </c>
      <c r="B1" s="128"/>
      <c r="C1" s="128"/>
      <c r="D1" s="128"/>
      <c r="E1" s="128"/>
      <c r="F1" s="128"/>
      <c r="G1" s="128"/>
      <c r="H1" s="128"/>
    </row>
    <row r="3" customFormat="false" ht="15" hidden="false" customHeight="true" outlineLevel="0" collapsed="false">
      <c r="A3" s="129" t="s">
        <v>3910</v>
      </c>
      <c r="B3" s="129"/>
      <c r="C3" s="129"/>
      <c r="D3" s="129"/>
      <c r="E3" s="129"/>
      <c r="F3" s="129"/>
      <c r="G3" s="129"/>
      <c r="H3" s="129"/>
    </row>
    <row r="4" customFormat="false" ht="15" hidden="false" customHeight="true" outlineLevel="0" collapsed="false">
      <c r="A4" s="130" t="s">
        <v>3911</v>
      </c>
      <c r="B4" s="130" t="s">
        <v>2574</v>
      </c>
      <c r="C4" s="130" t="s">
        <v>3912</v>
      </c>
      <c r="D4" s="130" t="s">
        <v>3596</v>
      </c>
      <c r="E4" s="130" t="s">
        <v>440</v>
      </c>
      <c r="F4" s="130" t="s">
        <v>576</v>
      </c>
      <c r="G4" s="130" t="s">
        <v>412</v>
      </c>
    </row>
    <row r="5" customFormat="false" ht="15" hidden="false" customHeight="true" outlineLevel="0" collapsed="false">
      <c r="A5" s="83" t="s">
        <v>3913</v>
      </c>
      <c r="B5" s="83" t="s">
        <v>3914</v>
      </c>
      <c r="C5" s="83" t="s">
        <v>3915</v>
      </c>
      <c r="D5" s="83" t="s">
        <v>3916</v>
      </c>
      <c r="E5" s="83" t="s">
        <v>3917</v>
      </c>
      <c r="F5" s="83" t="s">
        <v>527</v>
      </c>
      <c r="G5" s="83" t="s">
        <v>1759</v>
      </c>
    </row>
    <row r="6" customFormat="false" ht="15" hidden="false" customHeight="true" outlineLevel="0" collapsed="false">
      <c r="A6" s="85" t="s">
        <v>3918</v>
      </c>
      <c r="B6" s="85" t="s">
        <v>3919</v>
      </c>
      <c r="C6" s="85" t="s">
        <v>3915</v>
      </c>
      <c r="D6" s="85" t="s">
        <v>3920</v>
      </c>
      <c r="E6" s="85" t="s">
        <v>3921</v>
      </c>
      <c r="F6" s="85" t="s">
        <v>527</v>
      </c>
      <c r="G6" s="85" t="s">
        <v>1759</v>
      </c>
    </row>
    <row r="7" customFormat="false" ht="15" hidden="false" customHeight="true" outlineLevel="0" collapsed="false">
      <c r="A7" s="83" t="s">
        <v>3922</v>
      </c>
      <c r="B7" s="83" t="s">
        <v>3919</v>
      </c>
      <c r="C7" s="83" t="s">
        <v>3915</v>
      </c>
      <c r="D7" s="83" t="s">
        <v>3923</v>
      </c>
      <c r="E7" s="83" t="s">
        <v>3924</v>
      </c>
      <c r="F7" s="83" t="s">
        <v>527</v>
      </c>
      <c r="G7" s="83" t="s">
        <v>1759</v>
      </c>
    </row>
    <row r="8" customFormat="false" ht="15" hidden="false" customHeight="true" outlineLevel="0" collapsed="false">
      <c r="A8" s="85" t="s">
        <v>3925</v>
      </c>
      <c r="B8" s="85" t="s">
        <v>3919</v>
      </c>
      <c r="C8" s="85" t="s">
        <v>3915</v>
      </c>
      <c r="D8" s="85" t="s">
        <v>3926</v>
      </c>
      <c r="E8" s="85" t="s">
        <v>3927</v>
      </c>
      <c r="F8" s="85" t="s">
        <v>527</v>
      </c>
      <c r="G8" s="85" t="s">
        <v>1759</v>
      </c>
    </row>
    <row r="9" customFormat="false" ht="15" hidden="false" customHeight="true" outlineLevel="0" collapsed="false">
      <c r="A9" s="83" t="s">
        <v>3928</v>
      </c>
      <c r="B9" s="83" t="s">
        <v>3919</v>
      </c>
      <c r="C9" s="83" t="s">
        <v>3915</v>
      </c>
      <c r="D9" s="83" t="s">
        <v>3929</v>
      </c>
      <c r="E9" s="83" t="s">
        <v>3930</v>
      </c>
      <c r="F9" s="83" t="s">
        <v>527</v>
      </c>
      <c r="G9" s="83" t="s">
        <v>1759</v>
      </c>
    </row>
    <row r="10" customFormat="false" ht="15" hidden="false" customHeight="true" outlineLevel="0" collapsed="false">
      <c r="A10" s="85" t="s">
        <v>3931</v>
      </c>
      <c r="B10" s="85" t="s">
        <v>3919</v>
      </c>
      <c r="C10" s="85" t="s">
        <v>3915</v>
      </c>
      <c r="D10" s="85" t="s">
        <v>3932</v>
      </c>
      <c r="E10" s="85" t="s">
        <v>3933</v>
      </c>
      <c r="F10" s="85" t="s">
        <v>527</v>
      </c>
      <c r="G10" s="85" t="s">
        <v>1759</v>
      </c>
    </row>
    <row r="11" customFormat="false" ht="15" hidden="false" customHeight="true" outlineLevel="0" collapsed="false">
      <c r="A11" s="83" t="s">
        <v>3934</v>
      </c>
      <c r="B11" s="83" t="s">
        <v>3935</v>
      </c>
      <c r="C11" s="83" t="s">
        <v>1147</v>
      </c>
      <c r="D11" s="83" t="s">
        <v>3916</v>
      </c>
      <c r="E11" s="83" t="s">
        <v>3936</v>
      </c>
      <c r="F11" s="83" t="s">
        <v>527</v>
      </c>
      <c r="G11" s="83" t="s">
        <v>1759</v>
      </c>
    </row>
    <row r="12" customFormat="false" ht="15" hidden="false" customHeight="true" outlineLevel="0" collapsed="false">
      <c r="A12" s="85" t="s">
        <v>3937</v>
      </c>
      <c r="B12" s="85" t="s">
        <v>3935</v>
      </c>
      <c r="C12" s="85" t="s">
        <v>1147</v>
      </c>
      <c r="D12" s="85" t="s">
        <v>3938</v>
      </c>
      <c r="E12" s="85" t="s">
        <v>3939</v>
      </c>
      <c r="F12" s="85" t="s">
        <v>527</v>
      </c>
      <c r="G12" s="85" t="s">
        <v>1759</v>
      </c>
    </row>
    <row r="13" customFormat="false" ht="15" hidden="false" customHeight="true" outlineLevel="0" collapsed="false">
      <c r="A13" s="83" t="s">
        <v>3940</v>
      </c>
      <c r="B13" s="83" t="s">
        <v>3935</v>
      </c>
      <c r="C13" s="83" t="s">
        <v>1147</v>
      </c>
      <c r="D13" s="83" t="s">
        <v>3941</v>
      </c>
      <c r="E13" s="83" t="s">
        <v>3942</v>
      </c>
      <c r="F13" s="83" t="s">
        <v>527</v>
      </c>
      <c r="G13" s="83" t="s">
        <v>1759</v>
      </c>
    </row>
    <row r="14" customFormat="false" ht="23.25" hidden="false" customHeight="true" outlineLevel="0" collapsed="false">
      <c r="A14" s="85" t="s">
        <v>3943</v>
      </c>
      <c r="B14" s="85" t="s">
        <v>3935</v>
      </c>
      <c r="C14" s="85" t="s">
        <v>1147</v>
      </c>
      <c r="D14" s="85" t="s">
        <v>3944</v>
      </c>
      <c r="E14" s="85" t="s">
        <v>3945</v>
      </c>
      <c r="F14" s="85" t="s">
        <v>527</v>
      </c>
      <c r="G14" s="85" t="s">
        <v>1759</v>
      </c>
    </row>
    <row r="15" customFormat="false" ht="15" hidden="false" customHeight="true" outlineLevel="0" collapsed="false">
      <c r="A15" s="83" t="s">
        <v>3946</v>
      </c>
      <c r="B15" s="83" t="s">
        <v>3935</v>
      </c>
      <c r="C15" s="83" t="s">
        <v>845</v>
      </c>
      <c r="D15" s="83" t="s">
        <v>3916</v>
      </c>
      <c r="E15" s="83" t="s">
        <v>3947</v>
      </c>
      <c r="F15" s="83" t="s">
        <v>527</v>
      </c>
      <c r="G15" s="83" t="s">
        <v>1759</v>
      </c>
    </row>
    <row r="16" customFormat="false" ht="15" hidden="false" customHeight="true" outlineLevel="0" collapsed="false">
      <c r="A16" s="85" t="s">
        <v>3948</v>
      </c>
      <c r="B16" s="85" t="s">
        <v>3935</v>
      </c>
      <c r="C16" s="85" t="s">
        <v>845</v>
      </c>
      <c r="D16" s="85" t="s">
        <v>3949</v>
      </c>
      <c r="E16" s="85" t="s">
        <v>3950</v>
      </c>
      <c r="F16" s="85" t="s">
        <v>527</v>
      </c>
      <c r="G16" s="85" t="s">
        <v>1759</v>
      </c>
    </row>
    <row r="17" customFormat="false" ht="15" hidden="false" customHeight="true" outlineLevel="0" collapsed="false">
      <c r="A17" s="83" t="s">
        <v>3951</v>
      </c>
      <c r="B17" s="83" t="s">
        <v>3935</v>
      </c>
      <c r="C17" s="83" t="s">
        <v>845</v>
      </c>
      <c r="D17" s="83" t="s">
        <v>3938</v>
      </c>
      <c r="E17" s="83" t="s">
        <v>3952</v>
      </c>
      <c r="F17" s="83" t="s">
        <v>527</v>
      </c>
      <c r="G17" s="83" t="s">
        <v>1759</v>
      </c>
    </row>
    <row r="18" customFormat="false" ht="23.25" hidden="false" customHeight="true" outlineLevel="0" collapsed="false">
      <c r="A18" s="85" t="s">
        <v>3953</v>
      </c>
      <c r="B18" s="85" t="s">
        <v>3953</v>
      </c>
      <c r="C18" s="85" t="s">
        <v>904</v>
      </c>
      <c r="D18" s="85" t="s">
        <v>3954</v>
      </c>
      <c r="E18" s="85" t="s">
        <v>3955</v>
      </c>
      <c r="F18" s="85" t="s">
        <v>527</v>
      </c>
      <c r="G18" s="85" t="s">
        <v>1759</v>
      </c>
    </row>
    <row r="19" customFormat="false" ht="15" hidden="false" customHeight="true" outlineLevel="0" collapsed="false">
      <c r="A19" s="83" t="s">
        <v>3956</v>
      </c>
      <c r="B19" s="83" t="s">
        <v>3956</v>
      </c>
      <c r="C19" s="83" t="s">
        <v>904</v>
      </c>
      <c r="D19" s="83" t="s">
        <v>3916</v>
      </c>
      <c r="E19" s="83" t="s">
        <v>3957</v>
      </c>
      <c r="F19" s="83" t="s">
        <v>527</v>
      </c>
      <c r="G19" s="83" t="s">
        <v>1759</v>
      </c>
    </row>
    <row r="20" customFormat="false" ht="15" hidden="false" customHeight="true" outlineLevel="0" collapsed="false">
      <c r="A20" s="85" t="s">
        <v>3958</v>
      </c>
      <c r="B20" s="85" t="s">
        <v>3935</v>
      </c>
      <c r="C20" s="85" t="s">
        <v>1150</v>
      </c>
      <c r="D20" s="85" t="s">
        <v>3959</v>
      </c>
      <c r="E20" s="85" t="s">
        <v>3960</v>
      </c>
      <c r="F20" s="85" t="s">
        <v>1772</v>
      </c>
      <c r="G20" s="85" t="s">
        <v>1759</v>
      </c>
    </row>
    <row r="22" customFormat="false" ht="15" hidden="false" customHeight="true" outlineLevel="0" collapsed="false">
      <c r="A22" s="129" t="s">
        <v>3961</v>
      </c>
      <c r="B22" s="129"/>
      <c r="C22" s="129"/>
      <c r="D22" s="129"/>
      <c r="E22" s="129"/>
      <c r="F22" s="129"/>
      <c r="G22" s="129"/>
      <c r="H22" s="129"/>
    </row>
    <row r="23" customFormat="false" ht="15" hidden="false" customHeight="true" outlineLevel="0" collapsed="false">
      <c r="A23" s="130" t="s">
        <v>3596</v>
      </c>
      <c r="B23" s="130" t="s">
        <v>2574</v>
      </c>
      <c r="C23" s="130" t="s">
        <v>3801</v>
      </c>
      <c r="D23" s="130" t="s">
        <v>3962</v>
      </c>
      <c r="E23" s="130" t="s">
        <v>440</v>
      </c>
    </row>
    <row r="24" customFormat="false" ht="23.25" hidden="false" customHeight="true" outlineLevel="0" collapsed="false">
      <c r="A24" s="83" t="s">
        <v>3916</v>
      </c>
      <c r="B24" s="83" t="s">
        <v>3963</v>
      </c>
      <c r="C24" s="83" t="s">
        <v>3964</v>
      </c>
      <c r="D24" s="83" t="s">
        <v>3965</v>
      </c>
      <c r="E24" s="83" t="s">
        <v>3966</v>
      </c>
    </row>
    <row r="25" customFormat="false" ht="34.5" hidden="false" customHeight="true" outlineLevel="0" collapsed="false">
      <c r="A25" s="85" t="s">
        <v>3967</v>
      </c>
      <c r="B25" s="85" t="s">
        <v>3968</v>
      </c>
      <c r="C25" s="85" t="s">
        <v>3969</v>
      </c>
      <c r="D25" s="85" t="s">
        <v>3970</v>
      </c>
      <c r="E25" s="85" t="s">
        <v>3971</v>
      </c>
    </row>
    <row r="26" customFormat="false" ht="23.25" hidden="false" customHeight="true" outlineLevel="0" collapsed="false">
      <c r="A26" s="83" t="s">
        <v>3972</v>
      </c>
      <c r="B26" s="83" t="s">
        <v>3973</v>
      </c>
      <c r="C26" s="83" t="s">
        <v>3974</v>
      </c>
      <c r="D26" s="83" t="s">
        <v>3975</v>
      </c>
      <c r="E26" s="83" t="s">
        <v>3976</v>
      </c>
    </row>
    <row r="27" customFormat="false" ht="15" hidden="false" customHeight="true" outlineLevel="0" collapsed="false">
      <c r="A27" s="85" t="s">
        <v>3977</v>
      </c>
      <c r="B27" s="85" t="s">
        <v>3973</v>
      </c>
      <c r="C27" s="85" t="s">
        <v>3978</v>
      </c>
      <c r="D27" s="85" t="s">
        <v>3979</v>
      </c>
      <c r="E27" s="85" t="s">
        <v>3980</v>
      </c>
    </row>
    <row r="28" customFormat="false" ht="15" hidden="false" customHeight="true" outlineLevel="0" collapsed="false">
      <c r="A28" s="83" t="s">
        <v>3981</v>
      </c>
      <c r="B28" s="83" t="s">
        <v>3982</v>
      </c>
      <c r="C28" s="83" t="s">
        <v>3983</v>
      </c>
      <c r="D28" s="83" t="s">
        <v>3984</v>
      </c>
      <c r="E28" s="83" t="s">
        <v>3985</v>
      </c>
    </row>
    <row r="29" customFormat="false" ht="23.25" hidden="false" customHeight="true" outlineLevel="0" collapsed="false">
      <c r="A29" s="85" t="s">
        <v>3986</v>
      </c>
      <c r="B29" s="85" t="s">
        <v>3963</v>
      </c>
      <c r="C29" s="85" t="s">
        <v>3987</v>
      </c>
      <c r="D29" s="85" t="s">
        <v>3988</v>
      </c>
      <c r="E29" s="85" t="s">
        <v>3989</v>
      </c>
    </row>
    <row r="30" customFormat="false" ht="15" hidden="false" customHeight="true" outlineLevel="0" collapsed="false">
      <c r="A30" s="83" t="s">
        <v>3990</v>
      </c>
      <c r="B30" s="83" t="s">
        <v>3968</v>
      </c>
      <c r="C30" s="83" t="s">
        <v>3991</v>
      </c>
      <c r="D30" s="83" t="s">
        <v>3992</v>
      </c>
      <c r="E30" s="83" t="s">
        <v>3993</v>
      </c>
    </row>
    <row r="31" customFormat="false" ht="15" hidden="false" customHeight="true" outlineLevel="0" collapsed="false">
      <c r="A31" s="85" t="s">
        <v>3994</v>
      </c>
      <c r="B31" s="85" t="s">
        <v>3982</v>
      </c>
      <c r="C31" s="85" t="s">
        <v>3995</v>
      </c>
      <c r="D31" s="85" t="s">
        <v>3996</v>
      </c>
      <c r="E31" s="85" t="s">
        <v>3997</v>
      </c>
    </row>
    <row r="34" customFormat="false" ht="15" hidden="false" customHeight="false" outlineLevel="0" collapsed="false">
      <c r="A34" s="72" t="s">
        <v>3998</v>
      </c>
    </row>
    <row r="36" customFormat="false" ht="15" hidden="false" customHeight="false" outlineLevel="0" collapsed="false">
      <c r="A36" s="3" t="s">
        <v>3999</v>
      </c>
      <c r="B36" s="3" t="s">
        <v>1323</v>
      </c>
      <c r="C36" s="3" t="s">
        <v>1551</v>
      </c>
      <c r="D36" s="3" t="s">
        <v>4000</v>
      </c>
      <c r="E36" s="3" t="s">
        <v>4001</v>
      </c>
      <c r="F36" s="3" t="s">
        <v>4002</v>
      </c>
      <c r="G36" s="3" t="s">
        <v>4003</v>
      </c>
    </row>
    <row r="37" customFormat="false" ht="35.05" hidden="false" customHeight="false" outlineLevel="0" collapsed="false">
      <c r="A37" s="73" t="s">
        <v>1174</v>
      </c>
      <c r="B37" s="73" t="s">
        <v>4004</v>
      </c>
      <c r="C37" s="73" t="s">
        <v>1176</v>
      </c>
      <c r="D37" s="73" t="s">
        <v>4005</v>
      </c>
      <c r="E37" s="73" t="s">
        <v>4006</v>
      </c>
      <c r="F37" s="73" t="s">
        <v>4007</v>
      </c>
      <c r="G37" s="73" t="s">
        <v>4008</v>
      </c>
    </row>
    <row r="38" customFormat="false" ht="23.85" hidden="false" customHeight="false" outlineLevel="0" collapsed="false">
      <c r="A38" s="75" t="s">
        <v>1174</v>
      </c>
      <c r="B38" s="75" t="s">
        <v>4009</v>
      </c>
      <c r="C38" s="75" t="s">
        <v>4010</v>
      </c>
      <c r="D38" s="75" t="s">
        <v>4011</v>
      </c>
      <c r="E38" s="75" t="s">
        <v>4012</v>
      </c>
      <c r="F38" s="75" t="s">
        <v>4013</v>
      </c>
      <c r="G38" s="75" t="s">
        <v>1463</v>
      </c>
    </row>
    <row r="39" customFormat="false" ht="23.85" hidden="false" customHeight="false" outlineLevel="0" collapsed="false">
      <c r="A39" s="73" t="s">
        <v>1174</v>
      </c>
      <c r="B39" s="73" t="s">
        <v>4014</v>
      </c>
      <c r="C39" s="73" t="s">
        <v>4015</v>
      </c>
      <c r="D39" s="73" t="s">
        <v>4016</v>
      </c>
      <c r="E39" s="73" t="s">
        <v>4017</v>
      </c>
      <c r="F39" s="73" t="s">
        <v>4018</v>
      </c>
      <c r="G39" s="73" t="s">
        <v>1369</v>
      </c>
    </row>
    <row r="40" customFormat="false" ht="23.85" hidden="false" customHeight="false" outlineLevel="0" collapsed="false">
      <c r="A40" s="75" t="s">
        <v>1174</v>
      </c>
      <c r="B40" s="75" t="s">
        <v>4019</v>
      </c>
      <c r="C40" s="75" t="s">
        <v>2820</v>
      </c>
      <c r="D40" s="75" t="s">
        <v>4020</v>
      </c>
      <c r="E40" s="75" t="s">
        <v>4021</v>
      </c>
      <c r="F40" s="75" t="s">
        <v>4022</v>
      </c>
      <c r="G40" s="75" t="s">
        <v>1381</v>
      </c>
    </row>
    <row r="41" customFormat="false" ht="23.85" hidden="false" customHeight="false" outlineLevel="0" collapsed="false">
      <c r="A41" s="73" t="s">
        <v>1174</v>
      </c>
      <c r="B41" s="73" t="s">
        <v>4023</v>
      </c>
      <c r="C41" s="73" t="s">
        <v>2277</v>
      </c>
      <c r="D41" s="73" t="s">
        <v>4024</v>
      </c>
      <c r="E41" s="73" t="s">
        <v>4025</v>
      </c>
      <c r="F41" s="73" t="s">
        <v>4026</v>
      </c>
      <c r="G41" s="73" t="s">
        <v>4027</v>
      </c>
    </row>
    <row r="42" customFormat="false" ht="23.85" hidden="false" customHeight="false" outlineLevel="0" collapsed="false">
      <c r="A42" s="75" t="s">
        <v>1174</v>
      </c>
      <c r="B42" s="75" t="s">
        <v>4028</v>
      </c>
      <c r="C42" s="75" t="s">
        <v>2116</v>
      </c>
      <c r="D42" s="75" t="s">
        <v>4029</v>
      </c>
      <c r="E42" s="75" t="s">
        <v>4030</v>
      </c>
      <c r="F42" s="75" t="s">
        <v>4031</v>
      </c>
      <c r="G42" s="75" t="s">
        <v>4032</v>
      </c>
    </row>
    <row r="43" customFormat="false" ht="15" hidden="false" customHeight="false" outlineLevel="0" collapsed="false">
      <c r="A43" s="73" t="s">
        <v>1182</v>
      </c>
      <c r="B43" s="73" t="s">
        <v>4033</v>
      </c>
      <c r="C43" s="73" t="s">
        <v>1184</v>
      </c>
      <c r="D43" s="73" t="s">
        <v>4034</v>
      </c>
      <c r="E43" s="73" t="s">
        <v>4006</v>
      </c>
      <c r="F43" s="73" t="s">
        <v>4035</v>
      </c>
      <c r="G43" s="73" t="s">
        <v>4036</v>
      </c>
    </row>
    <row r="44" customFormat="false" ht="15" hidden="false" customHeight="false" outlineLevel="0" collapsed="false">
      <c r="A44" s="75" t="s">
        <v>1188</v>
      </c>
      <c r="B44" s="75" t="s">
        <v>4037</v>
      </c>
      <c r="C44" s="75" t="s">
        <v>1190</v>
      </c>
      <c r="D44" s="75" t="s">
        <v>4038</v>
      </c>
      <c r="E44" s="75" t="s">
        <v>4021</v>
      </c>
      <c r="F44" s="75" t="s">
        <v>4039</v>
      </c>
      <c r="G44" s="75" t="s">
        <v>4040</v>
      </c>
    </row>
    <row r="45" customFormat="false" ht="15" hidden="false" customHeight="false" outlineLevel="0" collapsed="false">
      <c r="A45" s="73" t="s">
        <v>1194</v>
      </c>
      <c r="B45" s="73" t="s">
        <v>4041</v>
      </c>
      <c r="C45" s="73" t="s">
        <v>1195</v>
      </c>
      <c r="D45" s="73" t="s">
        <v>4042</v>
      </c>
      <c r="E45" s="73" t="s">
        <v>4021</v>
      </c>
      <c r="F45" s="73" t="s">
        <v>4043</v>
      </c>
      <c r="G45" s="73" t="s">
        <v>4044</v>
      </c>
    </row>
    <row r="46" customFormat="false" ht="15" hidden="false" customHeight="false" outlineLevel="0" collapsed="false">
      <c r="A46" s="75" t="s">
        <v>1245</v>
      </c>
      <c r="B46" s="75" t="s">
        <v>4045</v>
      </c>
      <c r="C46" s="75" t="s">
        <v>1247</v>
      </c>
      <c r="D46" s="75" t="s">
        <v>4046</v>
      </c>
      <c r="E46" s="75" t="s">
        <v>4021</v>
      </c>
      <c r="F46" s="75" t="s">
        <v>4047</v>
      </c>
      <c r="G46" s="75" t="s">
        <v>1250</v>
      </c>
    </row>
    <row r="47" customFormat="false" ht="15" hidden="false" customHeight="false" outlineLevel="0" collapsed="false">
      <c r="A47" s="73" t="s">
        <v>1256</v>
      </c>
      <c r="B47" s="73" t="s">
        <v>4048</v>
      </c>
      <c r="C47" s="73" t="s">
        <v>1257</v>
      </c>
      <c r="D47" s="73" t="s">
        <v>4049</v>
      </c>
      <c r="E47" s="73" t="s">
        <v>4050</v>
      </c>
      <c r="F47" s="73" t="s">
        <v>4051</v>
      </c>
      <c r="G47" s="73" t="s">
        <v>4052</v>
      </c>
    </row>
    <row r="48" customFormat="false" ht="15" hidden="false" customHeight="false" outlineLevel="0" collapsed="false">
      <c r="A48" s="75" t="s">
        <v>1275</v>
      </c>
      <c r="B48" s="75" t="s">
        <v>4053</v>
      </c>
      <c r="C48" s="75" t="s">
        <v>1276</v>
      </c>
      <c r="D48" s="75" t="s">
        <v>4054</v>
      </c>
      <c r="E48" s="75" t="s">
        <v>4055</v>
      </c>
      <c r="F48" s="75" t="s">
        <v>4056</v>
      </c>
      <c r="G48" s="75" t="s">
        <v>1279</v>
      </c>
    </row>
  </sheetData>
  <mergeCells count="3">
    <mergeCell ref="A1:H1"/>
    <mergeCell ref="A3:H3"/>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false"/>
  </sheetPr>
  <dimension ref="A1: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18"/>
    <col collapsed="false" customWidth="true" hidden="false" outlineLevel="0" max="3" min="3" style="1" width="30"/>
    <col collapsed="false" customWidth="true" hidden="false" outlineLevel="0" max="4" min="4" style="1" width="55"/>
    <col collapsed="false" customWidth="true" hidden="false" outlineLevel="0" max="7" min="5" style="1" width="18"/>
  </cols>
  <sheetData>
    <row r="1" customFormat="false" ht="15" hidden="false" customHeight="true" outlineLevel="0" collapsed="false">
      <c r="A1" s="131" t="s">
        <v>4057</v>
      </c>
      <c r="B1" s="131"/>
      <c r="C1" s="131"/>
      <c r="D1" s="131"/>
      <c r="E1" s="131"/>
      <c r="F1" s="131"/>
      <c r="G1" s="131"/>
    </row>
    <row r="3" customFormat="false" ht="15" hidden="false" customHeight="true" outlineLevel="0" collapsed="false">
      <c r="A3" s="132" t="s">
        <v>4058</v>
      </c>
      <c r="B3" s="132"/>
      <c r="C3" s="132"/>
      <c r="D3" s="132"/>
      <c r="E3" s="132"/>
      <c r="F3" s="132"/>
      <c r="G3" s="132"/>
    </row>
    <row r="4" customFormat="false" ht="15" hidden="false" customHeight="true" outlineLevel="0" collapsed="false">
      <c r="A4" s="133" t="s">
        <v>638</v>
      </c>
      <c r="B4" s="133" t="s">
        <v>434</v>
      </c>
      <c r="C4" s="133" t="s">
        <v>1839</v>
      </c>
      <c r="D4" s="133" t="s">
        <v>1754</v>
      </c>
      <c r="E4" s="133" t="s">
        <v>1838</v>
      </c>
      <c r="F4" s="133" t="s">
        <v>1843</v>
      </c>
      <c r="G4" s="133" t="s">
        <v>4059</v>
      </c>
    </row>
    <row r="5" customFormat="false" ht="15" hidden="false" customHeight="true" outlineLevel="0" collapsed="false">
      <c r="A5" s="83" t="s">
        <v>490</v>
      </c>
      <c r="B5" s="83" t="s">
        <v>904</v>
      </c>
      <c r="C5" s="83" t="s">
        <v>4060</v>
      </c>
      <c r="D5" s="83" t="s">
        <v>4061</v>
      </c>
      <c r="E5" s="83" t="s">
        <v>4062</v>
      </c>
      <c r="F5" s="83" t="s">
        <v>610</v>
      </c>
      <c r="G5" s="83" t="s">
        <v>1759</v>
      </c>
    </row>
    <row r="6" customFormat="false" ht="15" hidden="false" customHeight="true" outlineLevel="0" collapsed="false">
      <c r="A6" s="85" t="s">
        <v>496</v>
      </c>
      <c r="B6" s="85" t="s">
        <v>904</v>
      </c>
      <c r="C6" s="85" t="s">
        <v>4063</v>
      </c>
      <c r="D6" s="85" t="s">
        <v>4064</v>
      </c>
      <c r="E6" s="85" t="s">
        <v>4065</v>
      </c>
      <c r="F6" s="85" t="s">
        <v>610</v>
      </c>
      <c r="G6" s="85" t="s">
        <v>1759</v>
      </c>
    </row>
    <row r="7" customFormat="false" ht="15" hidden="false" customHeight="true" outlineLevel="0" collapsed="false">
      <c r="A7" s="83" t="s">
        <v>502</v>
      </c>
      <c r="B7" s="83" t="s">
        <v>619</v>
      </c>
      <c r="C7" s="83" t="s">
        <v>4066</v>
      </c>
      <c r="D7" s="83" t="s">
        <v>4067</v>
      </c>
      <c r="E7" s="83" t="s">
        <v>4068</v>
      </c>
      <c r="F7" s="83" t="s">
        <v>610</v>
      </c>
      <c r="G7" s="83" t="s">
        <v>1759</v>
      </c>
    </row>
    <row r="8" customFormat="false" ht="15" hidden="false" customHeight="true" outlineLevel="0" collapsed="false">
      <c r="A8" s="85" t="s">
        <v>507</v>
      </c>
      <c r="B8" s="85" t="s">
        <v>845</v>
      </c>
      <c r="C8" s="85" t="s">
        <v>4069</v>
      </c>
      <c r="D8" s="85" t="s">
        <v>4070</v>
      </c>
      <c r="E8" s="85" t="s">
        <v>4071</v>
      </c>
      <c r="F8" s="85" t="s">
        <v>610</v>
      </c>
      <c r="G8" s="85" t="s">
        <v>1759</v>
      </c>
    </row>
    <row r="9" customFormat="false" ht="15" hidden="false" customHeight="true" outlineLevel="0" collapsed="false">
      <c r="A9" s="83" t="s">
        <v>511</v>
      </c>
      <c r="B9" s="83" t="s">
        <v>4072</v>
      </c>
      <c r="C9" s="83" t="s">
        <v>4073</v>
      </c>
      <c r="D9" s="83" t="s">
        <v>4074</v>
      </c>
      <c r="E9" s="83" t="s">
        <v>4075</v>
      </c>
      <c r="F9" s="83" t="s">
        <v>4076</v>
      </c>
      <c r="G9" s="83" t="s">
        <v>1759</v>
      </c>
    </row>
    <row r="10" customFormat="false" ht="15" hidden="false" customHeight="true" outlineLevel="0" collapsed="false">
      <c r="A10" s="85" t="s">
        <v>516</v>
      </c>
      <c r="B10" s="85" t="s">
        <v>4072</v>
      </c>
      <c r="C10" s="85" t="s">
        <v>4077</v>
      </c>
      <c r="D10" s="85" t="s">
        <v>4078</v>
      </c>
      <c r="E10" s="85" t="s">
        <v>4079</v>
      </c>
      <c r="F10" s="85" t="s">
        <v>4076</v>
      </c>
      <c r="G10" s="85" t="s">
        <v>1759</v>
      </c>
    </row>
    <row r="11" customFormat="false" ht="15" hidden="false" customHeight="true" outlineLevel="0" collapsed="false">
      <c r="A11" s="83" t="s">
        <v>519</v>
      </c>
      <c r="B11" s="83" t="s">
        <v>606</v>
      </c>
      <c r="C11" s="83" t="s">
        <v>4080</v>
      </c>
      <c r="D11" s="83" t="s">
        <v>4081</v>
      </c>
      <c r="E11" s="83" t="s">
        <v>4082</v>
      </c>
      <c r="F11" s="83" t="s">
        <v>604</v>
      </c>
      <c r="G11" s="83" t="s">
        <v>1759</v>
      </c>
    </row>
    <row r="12" customFormat="false" ht="15" hidden="false" customHeight="true" outlineLevel="0" collapsed="false">
      <c r="A12" s="85" t="s">
        <v>523</v>
      </c>
      <c r="B12" s="85" t="s">
        <v>1150</v>
      </c>
      <c r="C12" s="85" t="s">
        <v>4083</v>
      </c>
      <c r="D12" s="85" t="s">
        <v>4084</v>
      </c>
      <c r="E12" s="85" t="s">
        <v>4085</v>
      </c>
      <c r="F12" s="85" t="s">
        <v>4086</v>
      </c>
      <c r="G12" s="85" t="s">
        <v>1759</v>
      </c>
    </row>
    <row r="13" customFormat="false" ht="15" hidden="false" customHeight="true" outlineLevel="0" collapsed="false">
      <c r="A13" s="83" t="s">
        <v>530</v>
      </c>
      <c r="B13" s="83" t="s">
        <v>1960</v>
      </c>
      <c r="C13" s="83" t="s">
        <v>4087</v>
      </c>
      <c r="D13" s="83" t="s">
        <v>4088</v>
      </c>
      <c r="E13" s="83" t="s">
        <v>4089</v>
      </c>
      <c r="F13" s="83" t="s">
        <v>4076</v>
      </c>
      <c r="G13" s="83" t="s">
        <v>1759</v>
      </c>
    </row>
    <row r="14" customFormat="false" ht="15" hidden="false" customHeight="true" outlineLevel="0" collapsed="false">
      <c r="A14" s="85" t="s">
        <v>535</v>
      </c>
      <c r="B14" s="85" t="s">
        <v>1960</v>
      </c>
      <c r="C14" s="85" t="s">
        <v>4090</v>
      </c>
      <c r="D14" s="85" t="s">
        <v>4091</v>
      </c>
      <c r="E14" s="85" t="s">
        <v>4092</v>
      </c>
      <c r="F14" s="85" t="s">
        <v>4093</v>
      </c>
      <c r="G14" s="85" t="s">
        <v>1759</v>
      </c>
    </row>
    <row r="16" customFormat="false" ht="15" hidden="false" customHeight="true" outlineLevel="0" collapsed="false">
      <c r="A16" s="132" t="s">
        <v>4094</v>
      </c>
      <c r="B16" s="132"/>
      <c r="C16" s="132"/>
      <c r="D16" s="132"/>
      <c r="E16" s="132"/>
      <c r="F16" s="132"/>
      <c r="G16" s="132"/>
    </row>
    <row r="17" customFormat="false" ht="15" hidden="false" customHeight="true" outlineLevel="0" collapsed="false">
      <c r="A17" s="133" t="s">
        <v>638</v>
      </c>
      <c r="B17" s="133" t="s">
        <v>434</v>
      </c>
      <c r="C17" s="133" t="s">
        <v>1839</v>
      </c>
      <c r="D17" s="133" t="s">
        <v>1754</v>
      </c>
      <c r="E17" s="133" t="s">
        <v>566</v>
      </c>
      <c r="F17" s="133" t="s">
        <v>1843</v>
      </c>
      <c r="G17" s="133" t="s">
        <v>4059</v>
      </c>
    </row>
    <row r="18" customFormat="false" ht="15" hidden="false" customHeight="true" outlineLevel="0" collapsed="false">
      <c r="A18" s="83" t="s">
        <v>490</v>
      </c>
      <c r="B18" s="83" t="s">
        <v>904</v>
      </c>
      <c r="C18" s="83" t="s">
        <v>4095</v>
      </c>
      <c r="D18" s="83" t="s">
        <v>4096</v>
      </c>
      <c r="E18" s="83" t="s">
        <v>4097</v>
      </c>
      <c r="F18" s="83" t="s">
        <v>610</v>
      </c>
      <c r="G18" s="83" t="s">
        <v>1759</v>
      </c>
    </row>
    <row r="19" customFormat="false" ht="15" hidden="false" customHeight="true" outlineLevel="0" collapsed="false">
      <c r="A19" s="85" t="s">
        <v>496</v>
      </c>
      <c r="B19" s="85" t="s">
        <v>904</v>
      </c>
      <c r="C19" s="85" t="s">
        <v>4098</v>
      </c>
      <c r="D19" s="85" t="s">
        <v>4099</v>
      </c>
      <c r="E19" s="85" t="s">
        <v>4097</v>
      </c>
      <c r="F19" s="85" t="s">
        <v>610</v>
      </c>
      <c r="G19" s="85" t="s">
        <v>1759</v>
      </c>
    </row>
    <row r="20" customFormat="false" ht="23.25" hidden="false" customHeight="true" outlineLevel="0" collapsed="false">
      <c r="A20" s="83" t="s">
        <v>502</v>
      </c>
      <c r="B20" s="83" t="s">
        <v>619</v>
      </c>
      <c r="C20" s="83" t="s">
        <v>4100</v>
      </c>
      <c r="D20" s="83" t="s">
        <v>4101</v>
      </c>
      <c r="E20" s="83" t="s">
        <v>4097</v>
      </c>
      <c r="F20" s="83" t="s">
        <v>4102</v>
      </c>
      <c r="G20" s="83" t="s">
        <v>1759</v>
      </c>
    </row>
    <row r="21" customFormat="false" ht="15" hidden="false" customHeight="true" outlineLevel="0" collapsed="false">
      <c r="A21" s="85" t="s">
        <v>507</v>
      </c>
      <c r="B21" s="85" t="s">
        <v>845</v>
      </c>
      <c r="C21" s="85" t="s">
        <v>4103</v>
      </c>
      <c r="D21" s="85" t="s">
        <v>4104</v>
      </c>
      <c r="E21" s="85" t="s">
        <v>4097</v>
      </c>
      <c r="F21" s="85" t="s">
        <v>606</v>
      </c>
      <c r="G21" s="85" t="s">
        <v>1759</v>
      </c>
    </row>
    <row r="22" customFormat="false" ht="15" hidden="false" customHeight="true" outlineLevel="0" collapsed="false">
      <c r="A22" s="83" t="s">
        <v>511</v>
      </c>
      <c r="B22" s="83" t="s">
        <v>1150</v>
      </c>
      <c r="C22" s="83" t="s">
        <v>4105</v>
      </c>
      <c r="D22" s="83" t="s">
        <v>4106</v>
      </c>
      <c r="E22" s="83" t="s">
        <v>4097</v>
      </c>
      <c r="F22" s="83" t="s">
        <v>606</v>
      </c>
      <c r="G22" s="83" t="s">
        <v>1759</v>
      </c>
    </row>
    <row r="23" customFormat="false" ht="15" hidden="false" customHeight="true" outlineLevel="0" collapsed="false">
      <c r="A23" s="85" t="s">
        <v>516</v>
      </c>
      <c r="B23" s="85" t="s">
        <v>458</v>
      </c>
      <c r="C23" s="85" t="s">
        <v>4107</v>
      </c>
      <c r="D23" s="85" t="s">
        <v>4108</v>
      </c>
      <c r="E23" s="85" t="s">
        <v>4097</v>
      </c>
      <c r="F23" s="85" t="s">
        <v>4109</v>
      </c>
      <c r="G23" s="85" t="s">
        <v>1759</v>
      </c>
    </row>
    <row r="24" customFormat="false" ht="15" hidden="false" customHeight="true" outlineLevel="0" collapsed="false">
      <c r="A24" s="83" t="s">
        <v>519</v>
      </c>
      <c r="B24" s="83" t="s">
        <v>447</v>
      </c>
      <c r="C24" s="83" t="s">
        <v>4110</v>
      </c>
      <c r="D24" s="83" t="s">
        <v>4111</v>
      </c>
      <c r="E24" s="83" t="s">
        <v>4097</v>
      </c>
      <c r="F24" s="83" t="s">
        <v>610</v>
      </c>
      <c r="G24" s="83" t="s">
        <v>1759</v>
      </c>
    </row>
    <row r="25" customFormat="false" ht="15" hidden="false" customHeight="true" outlineLevel="0" collapsed="false">
      <c r="A25" s="85" t="s">
        <v>523</v>
      </c>
      <c r="B25" s="85" t="s">
        <v>1960</v>
      </c>
      <c r="C25" s="85" t="s">
        <v>4112</v>
      </c>
      <c r="D25" s="85" t="s">
        <v>4113</v>
      </c>
      <c r="E25" s="85" t="s">
        <v>4114</v>
      </c>
      <c r="F25" s="85" t="s">
        <v>4076</v>
      </c>
      <c r="G25" s="85" t="s">
        <v>1759</v>
      </c>
    </row>
    <row r="26" customFormat="false" ht="15" hidden="false" customHeight="true" outlineLevel="0" collapsed="false">
      <c r="A26" s="83" t="s">
        <v>530</v>
      </c>
      <c r="B26" s="83" t="s">
        <v>1960</v>
      </c>
      <c r="C26" s="83" t="s">
        <v>4115</v>
      </c>
      <c r="D26" s="83" t="s">
        <v>4116</v>
      </c>
      <c r="E26" s="83" t="s">
        <v>4114</v>
      </c>
      <c r="F26" s="83" t="s">
        <v>4117</v>
      </c>
      <c r="G26" s="83" t="s">
        <v>1759</v>
      </c>
    </row>
    <row r="27" customFormat="false" ht="15" hidden="false" customHeight="true" outlineLevel="0" collapsed="false">
      <c r="A27" s="85" t="s">
        <v>535</v>
      </c>
      <c r="B27" s="85" t="s">
        <v>1153</v>
      </c>
      <c r="C27" s="85" t="s">
        <v>4118</v>
      </c>
      <c r="D27" s="85" t="s">
        <v>4119</v>
      </c>
      <c r="E27" s="85" t="s">
        <v>4114</v>
      </c>
      <c r="F27" s="85" t="s">
        <v>606</v>
      </c>
      <c r="G27" s="85" t="s">
        <v>1759</v>
      </c>
    </row>
    <row r="29" customFormat="false" ht="15" hidden="false" customHeight="true" outlineLevel="0" collapsed="false">
      <c r="A29" s="132" t="s">
        <v>4120</v>
      </c>
      <c r="B29" s="132"/>
      <c r="C29" s="132"/>
      <c r="D29" s="132"/>
      <c r="E29" s="132"/>
      <c r="F29" s="132"/>
      <c r="G29" s="132"/>
    </row>
    <row r="30" customFormat="false" ht="15" hidden="false" customHeight="true" outlineLevel="0" collapsed="false">
      <c r="A30" s="133" t="s">
        <v>638</v>
      </c>
      <c r="B30" s="133" t="s">
        <v>434</v>
      </c>
      <c r="C30" s="133" t="s">
        <v>1839</v>
      </c>
      <c r="D30" s="133" t="s">
        <v>1754</v>
      </c>
      <c r="E30" s="133" t="s">
        <v>566</v>
      </c>
      <c r="F30" s="133" t="s">
        <v>1843</v>
      </c>
      <c r="G30" s="133" t="s">
        <v>4059</v>
      </c>
    </row>
    <row r="31" customFormat="false" ht="15" hidden="false" customHeight="true" outlineLevel="0" collapsed="false">
      <c r="A31" s="83" t="s">
        <v>490</v>
      </c>
      <c r="B31" s="83" t="s">
        <v>1960</v>
      </c>
      <c r="C31" s="83" t="s">
        <v>4121</v>
      </c>
      <c r="D31" s="83" t="s">
        <v>4122</v>
      </c>
      <c r="E31" s="83" t="s">
        <v>4123</v>
      </c>
      <c r="F31" s="83" t="s">
        <v>4124</v>
      </c>
      <c r="G31" s="83" t="s">
        <v>1759</v>
      </c>
    </row>
    <row r="32" customFormat="false" ht="15" hidden="false" customHeight="true" outlineLevel="0" collapsed="false">
      <c r="A32" s="85" t="s">
        <v>496</v>
      </c>
      <c r="B32" s="85" t="s">
        <v>904</v>
      </c>
      <c r="C32" s="85" t="s">
        <v>4125</v>
      </c>
      <c r="D32" s="85" t="s">
        <v>4126</v>
      </c>
      <c r="E32" s="85" t="s">
        <v>4127</v>
      </c>
      <c r="F32" s="85" t="s">
        <v>610</v>
      </c>
      <c r="G32" s="85" t="s">
        <v>1759</v>
      </c>
    </row>
    <row r="33" customFormat="false" ht="15" hidden="false" customHeight="true" outlineLevel="0" collapsed="false">
      <c r="A33" s="83" t="s">
        <v>502</v>
      </c>
      <c r="B33" s="83" t="s">
        <v>619</v>
      </c>
      <c r="C33" s="83" t="s">
        <v>4128</v>
      </c>
      <c r="D33" s="83" t="s">
        <v>4129</v>
      </c>
      <c r="E33" s="83" t="s">
        <v>4127</v>
      </c>
      <c r="F33" s="83" t="s">
        <v>610</v>
      </c>
      <c r="G33" s="83" t="s">
        <v>1759</v>
      </c>
    </row>
    <row r="34" customFormat="false" ht="15" hidden="false" customHeight="true" outlineLevel="0" collapsed="false">
      <c r="A34" s="85" t="s">
        <v>507</v>
      </c>
      <c r="B34" s="85" t="s">
        <v>845</v>
      </c>
      <c r="C34" s="85" t="s">
        <v>4130</v>
      </c>
      <c r="D34" s="85" t="s">
        <v>4131</v>
      </c>
      <c r="E34" s="85" t="s">
        <v>4132</v>
      </c>
      <c r="F34" s="85" t="s">
        <v>4133</v>
      </c>
      <c r="G34" s="85" t="s">
        <v>1759</v>
      </c>
    </row>
    <row r="35" customFormat="false" ht="15" hidden="false" customHeight="true" outlineLevel="0" collapsed="false">
      <c r="A35" s="83" t="s">
        <v>511</v>
      </c>
      <c r="B35" s="83" t="s">
        <v>458</v>
      </c>
      <c r="C35" s="83" t="s">
        <v>4134</v>
      </c>
      <c r="D35" s="83" t="s">
        <v>4135</v>
      </c>
      <c r="E35" s="83" t="s">
        <v>4132</v>
      </c>
      <c r="F35" s="83" t="s">
        <v>4136</v>
      </c>
      <c r="G35" s="83" t="s">
        <v>1759</v>
      </c>
    </row>
    <row r="36" customFormat="false" ht="15" hidden="false" customHeight="true" outlineLevel="0" collapsed="false">
      <c r="A36" s="85" t="s">
        <v>516</v>
      </c>
      <c r="B36" s="85" t="s">
        <v>458</v>
      </c>
      <c r="C36" s="85" t="s">
        <v>4137</v>
      </c>
      <c r="D36" s="85" t="s">
        <v>4138</v>
      </c>
      <c r="E36" s="85" t="s">
        <v>4132</v>
      </c>
      <c r="F36" s="85" t="s">
        <v>4124</v>
      </c>
      <c r="G36" s="85" t="s">
        <v>1759</v>
      </c>
    </row>
    <row r="37" customFormat="false" ht="15" hidden="false" customHeight="true" outlineLevel="0" collapsed="false">
      <c r="A37" s="83" t="s">
        <v>519</v>
      </c>
      <c r="B37" s="83" t="s">
        <v>447</v>
      </c>
      <c r="C37" s="83" t="s">
        <v>4139</v>
      </c>
      <c r="D37" s="83" t="s">
        <v>4140</v>
      </c>
      <c r="E37" s="83" t="s">
        <v>4132</v>
      </c>
      <c r="F37" s="83" t="s">
        <v>610</v>
      </c>
      <c r="G37" s="83" t="s">
        <v>1759</v>
      </c>
    </row>
    <row r="38" customFormat="false" ht="23.25" hidden="false" customHeight="true" outlineLevel="0" collapsed="false">
      <c r="A38" s="85" t="s">
        <v>523</v>
      </c>
      <c r="B38" s="85" t="s">
        <v>1960</v>
      </c>
      <c r="C38" s="85" t="s">
        <v>4141</v>
      </c>
      <c r="D38" s="85" t="s">
        <v>4142</v>
      </c>
      <c r="E38" s="85" t="s">
        <v>4143</v>
      </c>
      <c r="F38" s="85" t="s">
        <v>4144</v>
      </c>
      <c r="G38" s="85" t="s">
        <v>1759</v>
      </c>
    </row>
    <row r="39" customFormat="false" ht="15" hidden="false" customHeight="true" outlineLevel="0" collapsed="false">
      <c r="A39" s="83" t="s">
        <v>530</v>
      </c>
      <c r="B39" s="83" t="s">
        <v>606</v>
      </c>
      <c r="C39" s="83" t="s">
        <v>4145</v>
      </c>
      <c r="D39" s="83" t="s">
        <v>4146</v>
      </c>
      <c r="E39" s="83" t="s">
        <v>4147</v>
      </c>
      <c r="F39" s="83" t="s">
        <v>4148</v>
      </c>
      <c r="G39" s="83" t="s">
        <v>1759</v>
      </c>
    </row>
    <row r="40" customFormat="false" ht="15" hidden="false" customHeight="true" outlineLevel="0" collapsed="false">
      <c r="A40" s="85" t="s">
        <v>535</v>
      </c>
      <c r="B40" s="85" t="s">
        <v>1153</v>
      </c>
      <c r="C40" s="85" t="s">
        <v>4149</v>
      </c>
      <c r="D40" s="85" t="s">
        <v>4150</v>
      </c>
      <c r="E40" s="85" t="s">
        <v>4151</v>
      </c>
      <c r="F40" s="85" t="s">
        <v>606</v>
      </c>
      <c r="G40" s="85" t="s">
        <v>1759</v>
      </c>
    </row>
    <row r="42" customFormat="false" ht="15" hidden="false" customHeight="true" outlineLevel="0" collapsed="false">
      <c r="A42" s="132" t="s">
        <v>4152</v>
      </c>
      <c r="B42" s="132"/>
      <c r="C42" s="132"/>
      <c r="D42" s="132"/>
      <c r="E42" s="132"/>
      <c r="F42" s="132"/>
      <c r="G42" s="132"/>
    </row>
    <row r="43" customFormat="false" ht="15" hidden="false" customHeight="true" outlineLevel="0" collapsed="false">
      <c r="A43" s="133" t="s">
        <v>638</v>
      </c>
      <c r="B43" s="133" t="s">
        <v>1839</v>
      </c>
      <c r="C43" s="133" t="s">
        <v>1754</v>
      </c>
      <c r="D43" s="133" t="s">
        <v>1843</v>
      </c>
      <c r="E43" s="133" t="s">
        <v>4059</v>
      </c>
    </row>
    <row r="44" customFormat="false" ht="23.25" hidden="false" customHeight="true" outlineLevel="0" collapsed="false">
      <c r="A44" s="83" t="s">
        <v>490</v>
      </c>
      <c r="B44" s="83" t="s">
        <v>4153</v>
      </c>
      <c r="C44" s="83" t="s">
        <v>4154</v>
      </c>
      <c r="D44" s="83" t="s">
        <v>4144</v>
      </c>
      <c r="E44" s="83" t="s">
        <v>1759</v>
      </c>
    </row>
    <row r="45" customFormat="false" ht="23.25" hidden="false" customHeight="true" outlineLevel="0" collapsed="false">
      <c r="A45" s="85" t="s">
        <v>496</v>
      </c>
      <c r="B45" s="85" t="s">
        <v>4155</v>
      </c>
      <c r="C45" s="85" t="s">
        <v>4156</v>
      </c>
      <c r="D45" s="85" t="s">
        <v>4157</v>
      </c>
      <c r="E45" s="85" t="s">
        <v>1759</v>
      </c>
    </row>
    <row r="46" customFormat="false" ht="23.25" hidden="false" customHeight="true" outlineLevel="0" collapsed="false">
      <c r="A46" s="83" t="s">
        <v>502</v>
      </c>
      <c r="B46" s="83" t="s">
        <v>4158</v>
      </c>
      <c r="C46" s="83" t="s">
        <v>4159</v>
      </c>
      <c r="D46" s="83" t="s">
        <v>4124</v>
      </c>
      <c r="E46" s="83" t="s">
        <v>1759</v>
      </c>
    </row>
    <row r="47" customFormat="false" ht="34.5" hidden="false" customHeight="true" outlineLevel="0" collapsed="false">
      <c r="A47" s="85" t="s">
        <v>507</v>
      </c>
      <c r="B47" s="85" t="s">
        <v>4160</v>
      </c>
      <c r="C47" s="85" t="s">
        <v>4161</v>
      </c>
      <c r="D47" s="85" t="s">
        <v>4148</v>
      </c>
      <c r="E47" s="85" t="s">
        <v>1759</v>
      </c>
    </row>
    <row r="48" customFormat="false" ht="23.25" hidden="false" customHeight="true" outlineLevel="0" collapsed="false">
      <c r="A48" s="83" t="s">
        <v>511</v>
      </c>
      <c r="B48" s="83" t="s">
        <v>4162</v>
      </c>
      <c r="C48" s="83" t="s">
        <v>4163</v>
      </c>
      <c r="D48" s="83" t="s">
        <v>4109</v>
      </c>
      <c r="E48" s="83" t="s">
        <v>1759</v>
      </c>
    </row>
    <row r="49" customFormat="false" ht="34.5" hidden="false" customHeight="true" outlineLevel="0" collapsed="false">
      <c r="A49" s="85" t="s">
        <v>516</v>
      </c>
      <c r="B49" s="85" t="s">
        <v>4164</v>
      </c>
      <c r="C49" s="85" t="s">
        <v>4165</v>
      </c>
      <c r="D49" s="85" t="s">
        <v>4124</v>
      </c>
      <c r="E49" s="85" t="s">
        <v>1759</v>
      </c>
    </row>
    <row r="51" customFormat="false" ht="15" hidden="false" customHeight="true" outlineLevel="0" collapsed="false">
      <c r="A51" s="132" t="s">
        <v>4166</v>
      </c>
      <c r="B51" s="132"/>
      <c r="C51" s="132"/>
      <c r="D51" s="132"/>
      <c r="E51" s="132"/>
      <c r="F51" s="132"/>
      <c r="G51" s="132"/>
    </row>
    <row r="52" customFormat="false" ht="15" hidden="false" customHeight="true" outlineLevel="0" collapsed="false">
      <c r="A52" s="133" t="s">
        <v>638</v>
      </c>
      <c r="B52" s="133" t="s">
        <v>1839</v>
      </c>
      <c r="C52" s="133" t="s">
        <v>1754</v>
      </c>
      <c r="D52" s="133" t="s">
        <v>1843</v>
      </c>
      <c r="E52" s="133" t="s">
        <v>4059</v>
      </c>
    </row>
    <row r="53" customFormat="false" ht="34.5" hidden="false" customHeight="true" outlineLevel="0" collapsed="false">
      <c r="A53" s="83" t="s">
        <v>490</v>
      </c>
      <c r="B53" s="83" t="s">
        <v>4167</v>
      </c>
      <c r="C53" s="83" t="s">
        <v>4168</v>
      </c>
      <c r="D53" s="83" t="s">
        <v>4169</v>
      </c>
      <c r="E53" s="83" t="s">
        <v>1759</v>
      </c>
    </row>
    <row r="54" customFormat="false" ht="34.5" hidden="false" customHeight="true" outlineLevel="0" collapsed="false">
      <c r="A54" s="85" t="s">
        <v>496</v>
      </c>
      <c r="B54" s="85" t="s">
        <v>4170</v>
      </c>
      <c r="C54" s="85" t="s">
        <v>4171</v>
      </c>
      <c r="D54" s="85" t="s">
        <v>4124</v>
      </c>
      <c r="E54" s="85" t="s">
        <v>1759</v>
      </c>
    </row>
    <row r="55" customFormat="false" ht="34.5" hidden="false" customHeight="true" outlineLevel="0" collapsed="false">
      <c r="A55" s="83" t="s">
        <v>502</v>
      </c>
      <c r="B55" s="83" t="s">
        <v>4172</v>
      </c>
      <c r="C55" s="83" t="s">
        <v>4173</v>
      </c>
      <c r="D55" s="83" t="s">
        <v>4124</v>
      </c>
      <c r="E55" s="83" t="s">
        <v>1759</v>
      </c>
    </row>
    <row r="56" customFormat="false" ht="23.25" hidden="false" customHeight="true" outlineLevel="0" collapsed="false">
      <c r="A56" s="85" t="s">
        <v>507</v>
      </c>
      <c r="B56" s="85" t="s">
        <v>4174</v>
      </c>
      <c r="C56" s="85" t="s">
        <v>4175</v>
      </c>
      <c r="D56" s="85" t="s">
        <v>4133</v>
      </c>
      <c r="E56" s="85" t="s">
        <v>1759</v>
      </c>
    </row>
    <row r="57" customFormat="false" ht="34.5" hidden="false" customHeight="true" outlineLevel="0" collapsed="false">
      <c r="A57" s="83" t="s">
        <v>511</v>
      </c>
      <c r="B57" s="83" t="s">
        <v>4176</v>
      </c>
      <c r="C57" s="83" t="s">
        <v>4177</v>
      </c>
      <c r="D57" s="83" t="s">
        <v>4178</v>
      </c>
      <c r="E57" s="83" t="s">
        <v>1759</v>
      </c>
    </row>
  </sheetData>
  <mergeCells count="6">
    <mergeCell ref="A1:G1"/>
    <mergeCell ref="A3:G3"/>
    <mergeCell ref="A16:G16"/>
    <mergeCell ref="A29:G29"/>
    <mergeCell ref="A42:G42"/>
    <mergeCell ref="A51:G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1" style="1" width="22"/>
    <col collapsed="false" customWidth="true" hidden="false" outlineLevel="0" max="4" min="4" style="1" width="42"/>
    <col collapsed="false" customWidth="true" hidden="false" outlineLevel="0" max="7" min="5" style="1" width="22"/>
  </cols>
  <sheetData>
    <row r="1" customFormat="false" ht="15" hidden="false" customHeight="true" outlineLevel="0" collapsed="false">
      <c r="A1" s="131" t="s">
        <v>4179</v>
      </c>
      <c r="B1" s="131"/>
      <c r="C1" s="131"/>
      <c r="D1" s="131"/>
      <c r="E1" s="131"/>
      <c r="F1" s="131"/>
      <c r="G1" s="131"/>
    </row>
    <row r="2" customFormat="false" ht="15" hidden="false" customHeight="true" outlineLevel="0" collapsed="false">
      <c r="A2" s="134" t="s">
        <v>252</v>
      </c>
      <c r="B2" s="134" t="s">
        <v>966</v>
      </c>
      <c r="C2" s="134" t="s">
        <v>436</v>
      </c>
      <c r="D2" s="134" t="s">
        <v>4180</v>
      </c>
      <c r="E2" s="134" t="s">
        <v>984</v>
      </c>
      <c r="F2" s="134" t="s">
        <v>291</v>
      </c>
      <c r="G2" s="134" t="s">
        <v>4181</v>
      </c>
    </row>
    <row r="3" customFormat="false" ht="15" hidden="false" customHeight="true" outlineLevel="0" collapsed="false">
      <c r="A3" s="83" t="s">
        <v>4182</v>
      </c>
      <c r="B3" s="87" t="n">
        <v>0.04</v>
      </c>
      <c r="C3" s="94" t="n">
        <f aca="false">B3*'1. Input'!B4</f>
        <v>520000000</v>
      </c>
      <c r="D3" s="83" t="s">
        <v>4183</v>
      </c>
      <c r="E3" s="94" t="n">
        <f aca="false">0.02*'1. Input'!B15</f>
        <v>170000000</v>
      </c>
      <c r="F3" s="83" t="s">
        <v>4184</v>
      </c>
      <c r="G3" s="83" t="s">
        <v>4185</v>
      </c>
    </row>
    <row r="4" customFormat="false" ht="15" hidden="false" customHeight="true" outlineLevel="0" collapsed="false">
      <c r="A4" s="85" t="s">
        <v>4186</v>
      </c>
      <c r="B4" s="88" t="n">
        <v>0.14</v>
      </c>
      <c r="C4" s="89" t="n">
        <f aca="false">B4*'1. Input'!B4</f>
        <v>1820000000</v>
      </c>
      <c r="D4" s="85" t="s">
        <v>4187</v>
      </c>
      <c r="E4" s="89" t="n">
        <f aca="false">0.12*'1. Input'!B15</f>
        <v>1020000000</v>
      </c>
      <c r="F4" s="85" t="s">
        <v>4188</v>
      </c>
      <c r="G4" s="85" t="s">
        <v>4189</v>
      </c>
    </row>
    <row r="5" customFormat="false" ht="15" hidden="false" customHeight="true" outlineLevel="0" collapsed="false">
      <c r="A5" s="83" t="s">
        <v>4190</v>
      </c>
      <c r="B5" s="87" t="n">
        <v>0.22</v>
      </c>
      <c r="C5" s="94" t="n">
        <f aca="false">B5*'1. Input'!B4</f>
        <v>2860000000</v>
      </c>
      <c r="D5" s="83" t="s">
        <v>4191</v>
      </c>
      <c r="E5" s="94" t="n">
        <f aca="false">0.24*'1. Input'!B15</f>
        <v>2040000000</v>
      </c>
      <c r="F5" s="83" t="s">
        <v>4192</v>
      </c>
      <c r="G5" s="83" t="s">
        <v>4193</v>
      </c>
    </row>
    <row r="6" customFormat="false" ht="15" hidden="false" customHeight="true" outlineLevel="0" collapsed="false">
      <c r="A6" s="85" t="s">
        <v>4194</v>
      </c>
      <c r="B6" s="88" t="n">
        <v>0.24</v>
      </c>
      <c r="C6" s="89" t="n">
        <f aca="false">B6*'1. Input'!B4</f>
        <v>3120000000</v>
      </c>
      <c r="D6" s="85" t="s">
        <v>4195</v>
      </c>
      <c r="E6" s="89" t="n">
        <f aca="false">0.28*'1. Input'!B15</f>
        <v>2380000000</v>
      </c>
      <c r="F6" s="85" t="s">
        <v>4196</v>
      </c>
      <c r="G6" s="85" t="s">
        <v>4197</v>
      </c>
    </row>
    <row r="7" customFormat="false" ht="15" hidden="false" customHeight="true" outlineLevel="0" collapsed="false">
      <c r="A7" s="83" t="s">
        <v>4198</v>
      </c>
      <c r="B7" s="87" t="n">
        <v>0.22</v>
      </c>
      <c r="C7" s="94" t="n">
        <f aca="false">B7*'1. Input'!B4</f>
        <v>2860000000</v>
      </c>
      <c r="D7" s="83" t="s">
        <v>4199</v>
      </c>
      <c r="E7" s="94" t="n">
        <f aca="false">0.24*'1. Input'!B15</f>
        <v>2040000000</v>
      </c>
      <c r="F7" s="83" t="s">
        <v>4192</v>
      </c>
      <c r="G7" s="83" t="s">
        <v>4200</v>
      </c>
    </row>
    <row r="8" customFormat="false" ht="15" hidden="false" customHeight="true" outlineLevel="0" collapsed="false">
      <c r="A8" s="85" t="s">
        <v>4201</v>
      </c>
      <c r="B8" s="88" t="n">
        <v>0.1</v>
      </c>
      <c r="C8" s="89" t="n">
        <f aca="false">B8*'1. Input'!B4</f>
        <v>1300000000</v>
      </c>
      <c r="D8" s="85" t="s">
        <v>4202</v>
      </c>
      <c r="E8" s="89" t="n">
        <f aca="false">0.08*'1. Input'!B15</f>
        <v>680000000</v>
      </c>
      <c r="F8" s="85" t="s">
        <v>4203</v>
      </c>
      <c r="G8" s="85" t="s">
        <v>4204</v>
      </c>
    </row>
    <row r="9" customFormat="false" ht="15" hidden="false" customHeight="true" outlineLevel="0" collapsed="false">
      <c r="A9" s="83" t="s">
        <v>4205</v>
      </c>
      <c r="B9" s="87" t="n">
        <v>0.04</v>
      </c>
      <c r="C9" s="94" t="n">
        <f aca="false">B9*'1. Input'!B4</f>
        <v>520000000</v>
      </c>
      <c r="D9" s="83" t="s">
        <v>4206</v>
      </c>
      <c r="E9" s="94" t="n">
        <f aca="false">0.02*'1. Input'!B15</f>
        <v>170000000</v>
      </c>
      <c r="F9" s="83" t="s">
        <v>4207</v>
      </c>
      <c r="G9" s="83" t="s">
        <v>4208</v>
      </c>
    </row>
    <row r="10" customFormat="false" ht="15" hidden="false" customHeight="true" outlineLevel="0" collapsed="false">
      <c r="A10" s="95" t="s">
        <v>855</v>
      </c>
      <c r="B10" s="96" t="n">
        <f aca="false">SUM(B3:B9)</f>
        <v>1</v>
      </c>
      <c r="C10" s="97" t="n">
        <f aca="false">SUM(C3:C9)</f>
        <v>13000000000</v>
      </c>
      <c r="D10" s="95"/>
      <c r="E10" s="95"/>
      <c r="F10" s="95"/>
      <c r="G10" s="95"/>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07D8B"/>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1" style="1" width="20"/>
    <col collapsed="false" customWidth="true" hidden="false" outlineLevel="0" max="4" min="4" style="1" width="42"/>
    <col collapsed="false" customWidth="true" hidden="false" outlineLevel="0" max="7" min="5" style="1" width="20"/>
  </cols>
  <sheetData>
    <row r="1" customFormat="false" ht="15" hidden="false" customHeight="true" outlineLevel="0" collapsed="false">
      <c r="A1" s="135" t="s">
        <v>4209</v>
      </c>
      <c r="B1" s="135"/>
      <c r="C1" s="135"/>
      <c r="D1" s="135"/>
      <c r="E1" s="135"/>
      <c r="F1" s="135"/>
      <c r="G1" s="135"/>
    </row>
    <row r="2" customFormat="false" ht="15" hidden="false" customHeight="true" outlineLevel="0" collapsed="false">
      <c r="A2" s="136" t="s">
        <v>4210</v>
      </c>
      <c r="B2" s="136" t="s">
        <v>4211</v>
      </c>
      <c r="C2" s="136" t="s">
        <v>473</v>
      </c>
      <c r="D2" s="136" t="s">
        <v>1039</v>
      </c>
      <c r="E2" s="136" t="s">
        <v>1042</v>
      </c>
      <c r="F2" s="136" t="s">
        <v>412</v>
      </c>
      <c r="G2" s="136" t="s">
        <v>440</v>
      </c>
    </row>
    <row r="3" customFormat="false" ht="15" hidden="false" customHeight="true" outlineLevel="0" collapsed="false">
      <c r="A3" s="83" t="s">
        <v>4212</v>
      </c>
      <c r="B3" s="83" t="s">
        <v>4213</v>
      </c>
      <c r="C3" s="83" t="s">
        <v>4214</v>
      </c>
      <c r="D3" s="83" t="s">
        <v>4215</v>
      </c>
      <c r="E3" s="83" t="s">
        <v>1058</v>
      </c>
      <c r="F3" s="83" t="s">
        <v>4216</v>
      </c>
      <c r="G3" s="83" t="s">
        <v>4217</v>
      </c>
    </row>
    <row r="4" customFormat="false" ht="15" hidden="false" customHeight="true" outlineLevel="0" collapsed="false">
      <c r="A4" s="85" t="s">
        <v>4212</v>
      </c>
      <c r="B4" s="85" t="s">
        <v>4218</v>
      </c>
      <c r="C4" s="85" t="s">
        <v>1183</v>
      </c>
      <c r="D4" s="85" t="s">
        <v>4219</v>
      </c>
      <c r="E4" s="85" t="s">
        <v>1045</v>
      </c>
      <c r="F4" s="85" t="s">
        <v>4216</v>
      </c>
      <c r="G4" s="85" t="s">
        <v>4220</v>
      </c>
    </row>
    <row r="5" customFormat="false" ht="15" hidden="false" customHeight="true" outlineLevel="0" collapsed="false">
      <c r="A5" s="83" t="s">
        <v>4212</v>
      </c>
      <c r="B5" s="83" t="s">
        <v>4221</v>
      </c>
      <c r="C5" s="83" t="s">
        <v>1175</v>
      </c>
      <c r="D5" s="83" t="s">
        <v>4222</v>
      </c>
      <c r="E5" s="83" t="s">
        <v>1045</v>
      </c>
      <c r="F5" s="83" t="s">
        <v>4216</v>
      </c>
      <c r="G5" s="83" t="s">
        <v>4223</v>
      </c>
    </row>
    <row r="6" customFormat="false" ht="15" hidden="false" customHeight="true" outlineLevel="0" collapsed="false">
      <c r="A6" s="85" t="s">
        <v>4224</v>
      </c>
      <c r="B6" s="85" t="s">
        <v>162</v>
      </c>
      <c r="C6" s="85" t="s">
        <v>1175</v>
      </c>
      <c r="D6" s="85" t="s">
        <v>4225</v>
      </c>
      <c r="E6" s="85" t="s">
        <v>1045</v>
      </c>
      <c r="F6" s="85" t="s">
        <v>4216</v>
      </c>
      <c r="G6" s="85" t="s">
        <v>4226</v>
      </c>
    </row>
    <row r="7" customFormat="false" ht="15" hidden="false" customHeight="true" outlineLevel="0" collapsed="false">
      <c r="A7" s="83" t="s">
        <v>4224</v>
      </c>
      <c r="B7" s="83" t="s">
        <v>1049</v>
      </c>
      <c r="C7" s="83" t="s">
        <v>174</v>
      </c>
      <c r="D7" s="83" t="s">
        <v>1156</v>
      </c>
      <c r="E7" s="83" t="s">
        <v>1045</v>
      </c>
      <c r="F7" s="83" t="s">
        <v>4216</v>
      </c>
      <c r="G7" s="83" t="s">
        <v>4226</v>
      </c>
    </row>
    <row r="8" customFormat="false" ht="15" hidden="false" customHeight="true" outlineLevel="0" collapsed="false">
      <c r="A8" s="85" t="s">
        <v>4227</v>
      </c>
      <c r="B8" s="85" t="s">
        <v>1051</v>
      </c>
      <c r="C8" s="85" t="s">
        <v>174</v>
      </c>
      <c r="D8" s="85" t="s">
        <v>4228</v>
      </c>
      <c r="E8" s="85" t="s">
        <v>1045</v>
      </c>
      <c r="F8" s="85" t="s">
        <v>4216</v>
      </c>
      <c r="G8" s="85" t="s">
        <v>4229</v>
      </c>
    </row>
    <row r="10" customFormat="false" ht="15" hidden="false" customHeight="true" outlineLevel="0" collapsed="false">
      <c r="A10" s="137" t="s">
        <v>4230</v>
      </c>
      <c r="B10" s="137"/>
      <c r="C10" s="137"/>
      <c r="D10" s="137"/>
      <c r="E10" s="137"/>
      <c r="F10" s="137"/>
      <c r="G10" s="137"/>
    </row>
    <row r="11" customFormat="false" ht="15" hidden="false" customHeight="true" outlineLevel="0" collapsed="false">
      <c r="A11" s="138" t="s">
        <v>4231</v>
      </c>
      <c r="B11" s="138"/>
      <c r="C11" s="138"/>
      <c r="D11" s="138"/>
      <c r="E11" s="138"/>
      <c r="F11" s="138"/>
      <c r="G11" s="138"/>
    </row>
  </sheetData>
  <mergeCells count="3">
    <mergeCell ref="A1:G1"/>
    <mergeCell ref="A10:G10"/>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8FF"/>
    <pageSetUpPr fitToPage="false"/>
  </sheetPr>
  <dimension ref="A1:J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0" min="1" style="1" width="24"/>
  </cols>
  <sheetData>
    <row r="1" customFormat="false" ht="15" hidden="false" customHeight="true" outlineLevel="0" collapsed="false">
      <c r="A1" s="139" t="s">
        <v>4232</v>
      </c>
      <c r="B1" s="139"/>
      <c r="C1" s="139"/>
      <c r="D1" s="139"/>
      <c r="E1" s="139"/>
      <c r="F1" s="139"/>
      <c r="G1" s="139"/>
    </row>
    <row r="3" customFormat="false" ht="15" hidden="false" customHeight="true" outlineLevel="0" collapsed="false">
      <c r="A3" s="140" t="s">
        <v>4233</v>
      </c>
      <c r="B3" s="140"/>
      <c r="C3" s="140"/>
      <c r="D3" s="140"/>
      <c r="E3" s="140"/>
      <c r="F3" s="140"/>
      <c r="G3" s="140"/>
    </row>
    <row r="4" customFormat="false" ht="15" hidden="false" customHeight="true" outlineLevel="0" collapsed="false">
      <c r="A4" s="141" t="s">
        <v>1589</v>
      </c>
      <c r="B4" s="141" t="s">
        <v>2390</v>
      </c>
      <c r="C4" s="141" t="s">
        <v>2391</v>
      </c>
      <c r="D4" s="141" t="s">
        <v>2392</v>
      </c>
      <c r="E4" s="141" t="s">
        <v>291</v>
      </c>
      <c r="F4" s="141" t="s">
        <v>4234</v>
      </c>
      <c r="G4" s="141" t="s">
        <v>2439</v>
      </c>
    </row>
    <row r="5" customFormat="false" ht="23.25" hidden="false" customHeight="true" outlineLevel="0" collapsed="false">
      <c r="A5" s="83" t="s">
        <v>4235</v>
      </c>
      <c r="B5" s="83" t="s">
        <v>4236</v>
      </c>
      <c r="C5" s="83" t="s">
        <v>4237</v>
      </c>
      <c r="D5" s="83" t="n">
        <f aca="false">0.07*'1. Input'!B15*0.35/6</f>
        <v>34708333.3333333</v>
      </c>
      <c r="E5" s="83" t="s">
        <v>4238</v>
      </c>
      <c r="F5" s="83" t="s">
        <v>4239</v>
      </c>
      <c r="G5" s="83" t="s">
        <v>4240</v>
      </c>
    </row>
    <row r="6" customFormat="false" ht="23.25" hidden="false" customHeight="true" outlineLevel="0" collapsed="false">
      <c r="A6" s="85" t="s">
        <v>4241</v>
      </c>
      <c r="B6" s="85" t="s">
        <v>4242</v>
      </c>
      <c r="C6" s="85" t="s">
        <v>4243</v>
      </c>
      <c r="D6" s="85" t="n">
        <f aca="false">0.07*'1. Input'!B15*0.25/6</f>
        <v>24791666.6666667</v>
      </c>
      <c r="E6" s="85" t="s">
        <v>4244</v>
      </c>
      <c r="F6" s="85" t="s">
        <v>4245</v>
      </c>
      <c r="G6" s="85" t="s">
        <v>3958</v>
      </c>
    </row>
    <row r="7" customFormat="false" ht="23.25" hidden="false" customHeight="true" outlineLevel="0" collapsed="false">
      <c r="A7" s="83" t="s">
        <v>4246</v>
      </c>
      <c r="B7" s="83" t="s">
        <v>4247</v>
      </c>
      <c r="C7" s="83" t="s">
        <v>4248</v>
      </c>
      <c r="D7" s="83" t="n">
        <f aca="false">0.07*'1. Input'!B15*0.2/6</f>
        <v>19833333.3333333</v>
      </c>
      <c r="E7" s="83" t="s">
        <v>4249</v>
      </c>
      <c r="F7" s="83" t="s">
        <v>4250</v>
      </c>
      <c r="G7" s="83" t="s">
        <v>3958</v>
      </c>
    </row>
    <row r="8" customFormat="false" ht="23.25" hidden="false" customHeight="true" outlineLevel="0" collapsed="false">
      <c r="A8" s="85" t="s">
        <v>4251</v>
      </c>
      <c r="B8" s="85" t="s">
        <v>4252</v>
      </c>
      <c r="C8" s="85" t="s">
        <v>4253</v>
      </c>
      <c r="D8" s="85" t="n">
        <f aca="false">0.07*'1. Input'!B15*0.2/6</f>
        <v>19833333.3333333</v>
      </c>
      <c r="E8" s="85" t="s">
        <v>4254</v>
      </c>
      <c r="F8" s="85" t="s">
        <v>4255</v>
      </c>
      <c r="G8" s="85" t="s">
        <v>3958</v>
      </c>
    </row>
    <row r="10" customFormat="false" ht="15" hidden="false" customHeight="true" outlineLevel="0" collapsed="false">
      <c r="A10" s="140" t="s">
        <v>4256</v>
      </c>
      <c r="B10" s="140"/>
      <c r="C10" s="140"/>
      <c r="D10" s="140"/>
      <c r="E10" s="140"/>
      <c r="F10" s="140"/>
      <c r="G10" s="140"/>
    </row>
    <row r="11" customFormat="false" ht="15" hidden="false" customHeight="true" outlineLevel="0" collapsed="false">
      <c r="A11" s="141" t="s">
        <v>1752</v>
      </c>
      <c r="B11" s="141" t="s">
        <v>1753</v>
      </c>
      <c r="C11" s="141" t="s">
        <v>1754</v>
      </c>
      <c r="D11" s="141" t="s">
        <v>576</v>
      </c>
      <c r="E11" s="141" t="s">
        <v>412</v>
      </c>
    </row>
    <row r="12" customFormat="false" ht="15" hidden="false" customHeight="true" outlineLevel="0" collapsed="false">
      <c r="A12" s="83" t="s">
        <v>490</v>
      </c>
      <c r="B12" s="83" t="s">
        <v>4257</v>
      </c>
      <c r="C12" s="83" t="s">
        <v>4258</v>
      </c>
      <c r="D12" s="83" t="s">
        <v>527</v>
      </c>
      <c r="E12" s="83" t="s">
        <v>1759</v>
      </c>
    </row>
    <row r="13" customFormat="false" ht="15" hidden="false" customHeight="true" outlineLevel="0" collapsed="false">
      <c r="A13" s="85" t="s">
        <v>496</v>
      </c>
      <c r="B13" s="85" t="s">
        <v>4259</v>
      </c>
      <c r="C13" s="85" t="s">
        <v>4260</v>
      </c>
      <c r="D13" s="85" t="s">
        <v>1772</v>
      </c>
      <c r="E13" s="85" t="s">
        <v>1759</v>
      </c>
    </row>
    <row r="14" customFormat="false" ht="23.25" hidden="false" customHeight="true" outlineLevel="0" collapsed="false">
      <c r="A14" s="83" t="s">
        <v>502</v>
      </c>
      <c r="B14" s="83" t="s">
        <v>4261</v>
      </c>
      <c r="C14" s="83" t="s">
        <v>4262</v>
      </c>
      <c r="D14" s="83" t="s">
        <v>1772</v>
      </c>
      <c r="E14" s="83" t="s">
        <v>1759</v>
      </c>
    </row>
    <row r="15" customFormat="false" ht="23.25" hidden="false" customHeight="true" outlineLevel="0" collapsed="false">
      <c r="A15" s="85" t="s">
        <v>507</v>
      </c>
      <c r="B15" s="85" t="s">
        <v>4263</v>
      </c>
      <c r="C15" s="85" t="s">
        <v>4264</v>
      </c>
      <c r="D15" s="85" t="s">
        <v>2456</v>
      </c>
      <c r="E15" s="85" t="s">
        <v>1759</v>
      </c>
    </row>
    <row r="16" customFormat="false" ht="15" hidden="false" customHeight="true" outlineLevel="0" collapsed="false">
      <c r="A16" s="83" t="s">
        <v>511</v>
      </c>
      <c r="B16" s="83" t="s">
        <v>4265</v>
      </c>
      <c r="C16" s="83" t="s">
        <v>4266</v>
      </c>
      <c r="D16" s="83" t="s">
        <v>2456</v>
      </c>
      <c r="E16" s="83" t="s">
        <v>1759</v>
      </c>
    </row>
    <row r="17" customFormat="false" ht="23.25" hidden="false" customHeight="true" outlineLevel="0" collapsed="false">
      <c r="A17" s="85" t="s">
        <v>516</v>
      </c>
      <c r="B17" s="85" t="s">
        <v>4267</v>
      </c>
      <c r="C17" s="85" t="s">
        <v>4268</v>
      </c>
      <c r="D17" s="85" t="s">
        <v>1790</v>
      </c>
      <c r="E17" s="85" t="s">
        <v>1759</v>
      </c>
    </row>
    <row r="18" customFormat="false" ht="23.25" hidden="false" customHeight="true" outlineLevel="0" collapsed="false">
      <c r="A18" s="83" t="s">
        <v>519</v>
      </c>
      <c r="B18" s="83" t="s">
        <v>4269</v>
      </c>
      <c r="C18" s="83" t="s">
        <v>4270</v>
      </c>
      <c r="D18" s="83" t="s">
        <v>1772</v>
      </c>
      <c r="E18" s="83" t="s">
        <v>1759</v>
      </c>
    </row>
    <row r="20" customFormat="false" ht="15" hidden="false" customHeight="true" outlineLevel="0" collapsed="false">
      <c r="A20" s="6" t="s">
        <v>4271</v>
      </c>
    </row>
    <row r="21" customFormat="false" ht="15" hidden="false" customHeight="true" outlineLevel="0" collapsed="false">
      <c r="A21" s="3" t="s">
        <v>483</v>
      </c>
      <c r="B21" s="3" t="s">
        <v>4272</v>
      </c>
      <c r="C21" s="3" t="s">
        <v>1326</v>
      </c>
      <c r="D21" s="3" t="s">
        <v>4273</v>
      </c>
      <c r="E21" s="3" t="s">
        <v>1728</v>
      </c>
      <c r="F21" s="3" t="s">
        <v>4274</v>
      </c>
      <c r="G21" s="3" t="s">
        <v>488</v>
      </c>
      <c r="H21" s="3" t="s">
        <v>4275</v>
      </c>
      <c r="I21" s="3" t="s">
        <v>291</v>
      </c>
    </row>
    <row r="22" customFormat="false" ht="57" hidden="false" customHeight="true" outlineLevel="0" collapsed="false">
      <c r="A22" s="4" t="n">
        <v>1</v>
      </c>
      <c r="B22" s="4" t="s">
        <v>4276</v>
      </c>
      <c r="C22" s="4" t="s">
        <v>4277</v>
      </c>
      <c r="D22" s="4" t="s">
        <v>4278</v>
      </c>
      <c r="E22" s="4" t="s">
        <v>4279</v>
      </c>
      <c r="F22" s="4" t="s">
        <v>4280</v>
      </c>
      <c r="G22" s="4" t="s">
        <v>4281</v>
      </c>
      <c r="H22" s="4" t="s">
        <v>4282</v>
      </c>
      <c r="I22" s="4" t="s">
        <v>4283</v>
      </c>
    </row>
    <row r="23" customFormat="false" ht="45.75" hidden="false" customHeight="true" outlineLevel="0" collapsed="false">
      <c r="A23" s="5" t="n">
        <v>2</v>
      </c>
      <c r="B23" s="5" t="s">
        <v>4284</v>
      </c>
      <c r="C23" s="5" t="s">
        <v>4285</v>
      </c>
      <c r="D23" s="5" t="s">
        <v>4286</v>
      </c>
      <c r="E23" s="5" t="s">
        <v>4287</v>
      </c>
      <c r="F23" s="5" t="s">
        <v>4288</v>
      </c>
      <c r="G23" s="5" t="s">
        <v>4289</v>
      </c>
      <c r="H23" s="5" t="s">
        <v>4290</v>
      </c>
      <c r="I23" s="5" t="s">
        <v>4291</v>
      </c>
    </row>
    <row r="24" customFormat="false" ht="45.75" hidden="false" customHeight="true" outlineLevel="0" collapsed="false">
      <c r="A24" s="4" t="n">
        <v>3</v>
      </c>
      <c r="B24" s="4" t="s">
        <v>4292</v>
      </c>
      <c r="C24" s="4" t="s">
        <v>4293</v>
      </c>
      <c r="D24" s="4" t="s">
        <v>4294</v>
      </c>
      <c r="E24" s="4" t="s">
        <v>4295</v>
      </c>
      <c r="F24" s="4" t="s">
        <v>4296</v>
      </c>
      <c r="G24" s="4" t="s">
        <v>4297</v>
      </c>
      <c r="H24" s="4" t="s">
        <v>4298</v>
      </c>
      <c r="I24" s="4" t="s">
        <v>4299</v>
      </c>
    </row>
    <row r="25" customFormat="false" ht="45.75" hidden="false" customHeight="true" outlineLevel="0" collapsed="false">
      <c r="A25" s="5" t="n">
        <v>4</v>
      </c>
      <c r="B25" s="5" t="s">
        <v>4300</v>
      </c>
      <c r="C25" s="5" t="s">
        <v>4301</v>
      </c>
      <c r="D25" s="5" t="s">
        <v>4302</v>
      </c>
      <c r="E25" s="5" t="s">
        <v>4303</v>
      </c>
      <c r="F25" s="5" t="s">
        <v>4304</v>
      </c>
      <c r="G25" s="5" t="s">
        <v>4305</v>
      </c>
      <c r="H25" s="5" t="s">
        <v>4306</v>
      </c>
      <c r="I25" s="5" t="s">
        <v>4307</v>
      </c>
    </row>
    <row r="26" customFormat="false" ht="34.5" hidden="false" customHeight="true" outlineLevel="0" collapsed="false">
      <c r="A26" s="4" t="n">
        <v>5</v>
      </c>
      <c r="B26" s="4" t="s">
        <v>4308</v>
      </c>
      <c r="C26" s="4" t="s">
        <v>4309</v>
      </c>
      <c r="D26" s="4" t="s">
        <v>4310</v>
      </c>
      <c r="E26" s="4" t="s">
        <v>3930</v>
      </c>
      <c r="F26" s="4" t="s">
        <v>4311</v>
      </c>
      <c r="G26" s="4" t="s">
        <v>4312</v>
      </c>
      <c r="H26" s="4" t="s">
        <v>468</v>
      </c>
      <c r="I26" s="4" t="s">
        <v>4313</v>
      </c>
    </row>
    <row r="27" customFormat="false" ht="45.75" hidden="false" customHeight="true" outlineLevel="0" collapsed="false">
      <c r="A27" s="5" t="n">
        <v>6</v>
      </c>
      <c r="B27" s="5" t="s">
        <v>4314</v>
      </c>
      <c r="C27" s="5" t="s">
        <v>4315</v>
      </c>
      <c r="D27" s="5" t="s">
        <v>4316</v>
      </c>
      <c r="E27" s="5" t="s">
        <v>4317</v>
      </c>
      <c r="F27" s="5" t="s">
        <v>4318</v>
      </c>
      <c r="G27" s="5" t="s">
        <v>4319</v>
      </c>
      <c r="H27" s="5" t="s">
        <v>4320</v>
      </c>
      <c r="I27" s="5" t="s">
        <v>4321</v>
      </c>
    </row>
    <row r="28" customFormat="false" ht="57" hidden="false" customHeight="true" outlineLevel="0" collapsed="false">
      <c r="A28" s="4" t="n">
        <v>7</v>
      </c>
      <c r="B28" s="4" t="s">
        <v>4322</v>
      </c>
      <c r="C28" s="4" t="s">
        <v>4323</v>
      </c>
      <c r="D28" s="4" t="s">
        <v>4324</v>
      </c>
      <c r="E28" s="4" t="s">
        <v>4325</v>
      </c>
      <c r="F28" s="4" t="s">
        <v>4326</v>
      </c>
      <c r="G28" s="4" t="s">
        <v>4327</v>
      </c>
      <c r="H28" s="4" t="s">
        <v>4328</v>
      </c>
      <c r="I28" s="4" t="s">
        <v>4329</v>
      </c>
    </row>
    <row r="29" customFormat="false" ht="45.75" hidden="false" customHeight="true" outlineLevel="0" collapsed="false">
      <c r="A29" s="5" t="n">
        <v>8</v>
      </c>
      <c r="B29" s="5" t="s">
        <v>4330</v>
      </c>
      <c r="C29" s="5" t="s">
        <v>4331</v>
      </c>
      <c r="D29" s="5" t="s">
        <v>4332</v>
      </c>
      <c r="E29" s="5" t="s">
        <v>4333</v>
      </c>
      <c r="F29" s="5" t="s">
        <v>4334</v>
      </c>
      <c r="G29" s="5" t="s">
        <v>4319</v>
      </c>
      <c r="H29" s="5" t="s">
        <v>4335</v>
      </c>
      <c r="I29" s="5" t="s">
        <v>4336</v>
      </c>
    </row>
    <row r="32" customFormat="false" ht="15" hidden="false" customHeight="true" outlineLevel="0" collapsed="false">
      <c r="A32" s="6" t="s">
        <v>4337</v>
      </c>
    </row>
    <row r="33" customFormat="false" ht="15" hidden="false" customHeight="true" outlineLevel="0" collapsed="false">
      <c r="A33" s="3" t="s">
        <v>566</v>
      </c>
      <c r="B33" s="3" t="s">
        <v>4338</v>
      </c>
      <c r="C33" s="3" t="s">
        <v>4339</v>
      </c>
      <c r="D33" s="3" t="s">
        <v>4340</v>
      </c>
      <c r="E33" s="3" t="s">
        <v>3800</v>
      </c>
      <c r="F33" s="3" t="s">
        <v>291</v>
      </c>
      <c r="G33" s="3" t="s">
        <v>440</v>
      </c>
    </row>
    <row r="34" customFormat="false" ht="23.25" hidden="false" customHeight="true" outlineLevel="0" collapsed="false">
      <c r="A34" s="4" t="s">
        <v>4341</v>
      </c>
      <c r="B34" s="4" t="s">
        <v>4342</v>
      </c>
      <c r="C34" s="4" t="s">
        <v>4284</v>
      </c>
      <c r="D34" s="4" t="s">
        <v>4343</v>
      </c>
      <c r="E34" s="4" t="s">
        <v>4344</v>
      </c>
      <c r="F34" s="4" t="s">
        <v>4345</v>
      </c>
      <c r="G34" s="4" t="s">
        <v>4346</v>
      </c>
    </row>
    <row r="35" customFormat="false" ht="23.25" hidden="false" customHeight="true" outlineLevel="0" collapsed="false">
      <c r="A35" s="5" t="s">
        <v>4114</v>
      </c>
      <c r="B35" s="5" t="s">
        <v>1866</v>
      </c>
      <c r="C35" s="5" t="s">
        <v>4347</v>
      </c>
      <c r="D35" s="5" t="s">
        <v>4348</v>
      </c>
      <c r="E35" s="5" t="s">
        <v>4349</v>
      </c>
      <c r="F35" s="5" t="s">
        <v>4350</v>
      </c>
      <c r="G35" s="5" t="s">
        <v>4351</v>
      </c>
    </row>
    <row r="36" customFormat="false" ht="23.25" hidden="false" customHeight="true" outlineLevel="0" collapsed="false">
      <c r="A36" s="4" t="s">
        <v>4352</v>
      </c>
      <c r="B36" s="4" t="s">
        <v>4353</v>
      </c>
      <c r="C36" s="4" t="s">
        <v>4292</v>
      </c>
      <c r="D36" s="4" t="s">
        <v>4354</v>
      </c>
      <c r="E36" s="4" t="s">
        <v>4355</v>
      </c>
      <c r="F36" s="4" t="s">
        <v>4356</v>
      </c>
      <c r="G36" s="4" t="s">
        <v>4357</v>
      </c>
    </row>
    <row r="37" customFormat="false" ht="23.25" hidden="false" customHeight="true" outlineLevel="0" collapsed="false">
      <c r="A37" s="5" t="s">
        <v>4358</v>
      </c>
      <c r="B37" s="5" t="s">
        <v>4359</v>
      </c>
      <c r="C37" s="5" t="s">
        <v>4360</v>
      </c>
      <c r="D37" s="5" t="s">
        <v>4361</v>
      </c>
      <c r="E37" s="5" t="s">
        <v>4362</v>
      </c>
      <c r="F37" s="5" t="s">
        <v>4363</v>
      </c>
      <c r="G37" s="5" t="s">
        <v>4357</v>
      </c>
    </row>
    <row r="38" customFormat="false" ht="23.25" hidden="false" customHeight="true" outlineLevel="0" collapsed="false">
      <c r="A38" s="4" t="s">
        <v>4364</v>
      </c>
      <c r="B38" s="4" t="s">
        <v>4342</v>
      </c>
      <c r="C38" s="4" t="s">
        <v>4365</v>
      </c>
      <c r="D38" s="4" t="s">
        <v>4366</v>
      </c>
      <c r="E38" s="4" t="s">
        <v>4367</v>
      </c>
      <c r="F38" s="4" t="s">
        <v>4368</v>
      </c>
      <c r="G38" s="4" t="s">
        <v>4319</v>
      </c>
    </row>
    <row r="39" customFormat="false" ht="23.25" hidden="false" customHeight="true" outlineLevel="0" collapsed="false">
      <c r="A39" s="5" t="s">
        <v>4369</v>
      </c>
      <c r="B39" s="5" t="s">
        <v>4342</v>
      </c>
      <c r="C39" s="5" t="s">
        <v>4370</v>
      </c>
      <c r="D39" s="5" t="s">
        <v>4371</v>
      </c>
      <c r="E39" s="5" t="s">
        <v>4372</v>
      </c>
      <c r="F39" s="5" t="s">
        <v>4336</v>
      </c>
      <c r="G39" s="5" t="s">
        <v>4373</v>
      </c>
    </row>
    <row r="42" customFormat="false" ht="15" hidden="false" customHeight="true" outlineLevel="0" collapsed="false">
      <c r="A42" s="6" t="s">
        <v>4374</v>
      </c>
    </row>
    <row r="43" customFormat="false" ht="15" hidden="false" customHeight="true" outlineLevel="0" collapsed="false">
      <c r="A43" s="3" t="s">
        <v>1589</v>
      </c>
      <c r="B43" s="3" t="s">
        <v>4375</v>
      </c>
      <c r="C43" s="3" t="s">
        <v>4376</v>
      </c>
      <c r="D43" s="3" t="s">
        <v>4377</v>
      </c>
      <c r="E43" s="3" t="s">
        <v>4378</v>
      </c>
      <c r="F43" s="3" t="s">
        <v>4379</v>
      </c>
      <c r="G43" s="3" t="s">
        <v>2462</v>
      </c>
      <c r="H43" s="3" t="s">
        <v>4380</v>
      </c>
      <c r="I43" s="3" t="s">
        <v>4381</v>
      </c>
      <c r="J43" s="3" t="s">
        <v>4382</v>
      </c>
    </row>
    <row r="44" customFormat="false" ht="45.75" hidden="false" customHeight="true" outlineLevel="0" collapsed="false">
      <c r="A44" s="4" t="s">
        <v>4235</v>
      </c>
      <c r="B44" s="4" t="s">
        <v>4383</v>
      </c>
      <c r="C44" s="4" t="s">
        <v>4384</v>
      </c>
      <c r="D44" s="4" t="s">
        <v>4385</v>
      </c>
      <c r="E44" s="4" t="s">
        <v>4386</v>
      </c>
      <c r="F44" s="4" t="s">
        <v>4387</v>
      </c>
      <c r="G44" s="4" t="s">
        <v>4388</v>
      </c>
      <c r="H44" s="4" t="n">
        <f aca="false">0.07*8500000000*0.35/6/30</f>
        <v>1156944.44444444</v>
      </c>
      <c r="I44" s="4" t="s">
        <v>4389</v>
      </c>
      <c r="J44" s="4" t="s">
        <v>4390</v>
      </c>
    </row>
    <row r="45" customFormat="false" ht="34.5" hidden="false" customHeight="true" outlineLevel="0" collapsed="false">
      <c r="A45" s="5" t="s">
        <v>4241</v>
      </c>
      <c r="B45" s="5" t="s">
        <v>4391</v>
      </c>
      <c r="C45" s="5" t="s">
        <v>4392</v>
      </c>
      <c r="D45" s="5" t="s">
        <v>4385</v>
      </c>
      <c r="E45" s="5" t="s">
        <v>4393</v>
      </c>
      <c r="F45" s="5" t="s">
        <v>4394</v>
      </c>
      <c r="G45" s="5" t="s">
        <v>4395</v>
      </c>
      <c r="H45" s="5" t="n">
        <f aca="false">0.07*8500000000*0.25/6/30</f>
        <v>826388.888888889</v>
      </c>
      <c r="I45" s="5" t="s">
        <v>4389</v>
      </c>
      <c r="J45" s="5" t="s">
        <v>4390</v>
      </c>
    </row>
    <row r="46" customFormat="false" ht="34.5" hidden="false" customHeight="true" outlineLevel="0" collapsed="false">
      <c r="A46" s="4" t="s">
        <v>4246</v>
      </c>
      <c r="B46" s="4" t="s">
        <v>4396</v>
      </c>
      <c r="C46" s="4" t="s">
        <v>4397</v>
      </c>
      <c r="D46" s="4" t="s">
        <v>4398</v>
      </c>
      <c r="E46" s="4" t="s">
        <v>4399</v>
      </c>
      <c r="F46" s="4" t="s">
        <v>4400</v>
      </c>
      <c r="G46" s="4" t="s">
        <v>4401</v>
      </c>
      <c r="H46" s="4" t="n">
        <f aca="false">0.07*8500000000*0.2/6/30</f>
        <v>661111.111111111</v>
      </c>
      <c r="I46" s="4" t="s">
        <v>4402</v>
      </c>
      <c r="J46" s="4" t="s">
        <v>4390</v>
      </c>
    </row>
    <row r="47" customFormat="false" ht="34.5" hidden="false" customHeight="true" outlineLevel="0" collapsed="false">
      <c r="A47" s="5" t="s">
        <v>4251</v>
      </c>
      <c r="B47" s="5" t="s">
        <v>4403</v>
      </c>
      <c r="C47" s="5" t="s">
        <v>4404</v>
      </c>
      <c r="D47" s="5" t="s">
        <v>4405</v>
      </c>
      <c r="E47" s="5" t="s">
        <v>4406</v>
      </c>
      <c r="F47" s="5" t="s">
        <v>4407</v>
      </c>
      <c r="G47" s="5" t="s">
        <v>4408</v>
      </c>
      <c r="H47" s="5" t="n">
        <f aca="false">0.07*8500000000*0.2/6/30</f>
        <v>661111.111111111</v>
      </c>
      <c r="I47" s="5" t="s">
        <v>4409</v>
      </c>
      <c r="J47" s="5" t="s">
        <v>4410</v>
      </c>
    </row>
    <row r="50" customFormat="false" ht="15" hidden="false" customHeight="true" outlineLevel="0" collapsed="false">
      <c r="A50" s="6" t="s">
        <v>4411</v>
      </c>
    </row>
    <row r="51" customFormat="false" ht="15" hidden="false" customHeight="true" outlineLevel="0" collapsed="false">
      <c r="A51" s="3" t="s">
        <v>4412</v>
      </c>
      <c r="B51" s="3" t="s">
        <v>4413</v>
      </c>
      <c r="C51" s="3" t="s">
        <v>4414</v>
      </c>
      <c r="D51" s="3" t="s">
        <v>4415</v>
      </c>
      <c r="E51" s="3" t="s">
        <v>1554</v>
      </c>
    </row>
    <row r="52" customFormat="false" ht="57" hidden="false" customHeight="true" outlineLevel="0" collapsed="false">
      <c r="A52" s="4" t="s">
        <v>4416</v>
      </c>
      <c r="B52" s="4" t="s">
        <v>550</v>
      </c>
      <c r="C52" s="4" t="s">
        <v>4417</v>
      </c>
      <c r="D52" s="4" t="s">
        <v>4418</v>
      </c>
      <c r="E52" s="4" t="s">
        <v>4419</v>
      </c>
    </row>
    <row r="53" customFormat="false" ht="45.75" hidden="false" customHeight="true" outlineLevel="0" collapsed="false">
      <c r="A53" s="5" t="s">
        <v>4420</v>
      </c>
      <c r="B53" s="5" t="s">
        <v>550</v>
      </c>
      <c r="C53" s="5" t="s">
        <v>4421</v>
      </c>
      <c r="D53" s="5" t="s">
        <v>4422</v>
      </c>
      <c r="E53" s="5" t="s">
        <v>4419</v>
      </c>
    </row>
    <row r="54" customFormat="false" ht="45.75" hidden="false" customHeight="true" outlineLevel="0" collapsed="false">
      <c r="A54" s="4" t="s">
        <v>4423</v>
      </c>
      <c r="B54" s="4" t="s">
        <v>550</v>
      </c>
      <c r="C54" s="4" t="s">
        <v>4424</v>
      </c>
      <c r="D54" s="4" t="s">
        <v>4425</v>
      </c>
      <c r="E54" s="4" t="s">
        <v>4426</v>
      </c>
    </row>
    <row r="55" customFormat="false" ht="45.75" hidden="false" customHeight="true" outlineLevel="0" collapsed="false">
      <c r="A55" s="5" t="s">
        <v>4427</v>
      </c>
      <c r="B55" s="5" t="s">
        <v>550</v>
      </c>
      <c r="C55" s="5" t="s">
        <v>4428</v>
      </c>
      <c r="D55" s="5" t="s">
        <v>4429</v>
      </c>
      <c r="E55" s="5" t="s">
        <v>4430</v>
      </c>
    </row>
    <row r="56" customFormat="false" ht="45.75" hidden="false" customHeight="true" outlineLevel="0" collapsed="false">
      <c r="A56" s="4" t="s">
        <v>4431</v>
      </c>
      <c r="B56" s="4" t="s">
        <v>550</v>
      </c>
      <c r="C56" s="4" t="s">
        <v>4432</v>
      </c>
      <c r="D56" s="4" t="s">
        <v>4433</v>
      </c>
      <c r="E56" s="4" t="s">
        <v>4434</v>
      </c>
    </row>
    <row r="57" customFormat="false" ht="34.5" hidden="false" customHeight="true" outlineLevel="0" collapsed="false">
      <c r="A57" s="5" t="s">
        <v>4435</v>
      </c>
      <c r="B57" s="5" t="s">
        <v>550</v>
      </c>
      <c r="C57" s="5" t="s">
        <v>4436</v>
      </c>
      <c r="D57" s="5" t="s">
        <v>4437</v>
      </c>
      <c r="E57" s="5" t="s">
        <v>4438</v>
      </c>
    </row>
    <row r="58" customFormat="false" ht="34.5" hidden="false" customHeight="true" outlineLevel="0" collapsed="false">
      <c r="A58" s="4" t="s">
        <v>4439</v>
      </c>
      <c r="B58" s="4" t="s">
        <v>550</v>
      </c>
      <c r="C58" s="4" t="s">
        <v>4440</v>
      </c>
      <c r="D58" s="4" t="s">
        <v>4441</v>
      </c>
      <c r="E58" s="4" t="s">
        <v>4442</v>
      </c>
    </row>
    <row r="59" customFormat="false" ht="34.5" hidden="false" customHeight="true" outlineLevel="0" collapsed="false">
      <c r="A59" s="5" t="s">
        <v>4443</v>
      </c>
      <c r="B59" s="5" t="s">
        <v>550</v>
      </c>
      <c r="C59" s="5" t="s">
        <v>4444</v>
      </c>
      <c r="D59" s="5" t="s">
        <v>4445</v>
      </c>
      <c r="E59" s="5" t="s">
        <v>4446</v>
      </c>
    </row>
    <row r="62" customFormat="false" ht="15" hidden="false" customHeight="false" outlineLevel="0" collapsed="false">
      <c r="A62" s="7" t="s">
        <v>4447</v>
      </c>
      <c r="B62" s="7"/>
      <c r="C62" s="7"/>
      <c r="D62" s="7"/>
      <c r="E62" s="7"/>
      <c r="F62" s="7"/>
      <c r="G62" s="7"/>
      <c r="H62" s="7"/>
    </row>
    <row r="63" customFormat="false" ht="15" hidden="false" customHeight="false" outlineLevel="0" collapsed="false">
      <c r="A63" s="3" t="s">
        <v>4448</v>
      </c>
      <c r="B63" s="3" t="s">
        <v>284</v>
      </c>
      <c r="C63" s="3" t="s">
        <v>4449</v>
      </c>
      <c r="D63" s="3" t="s">
        <v>4450</v>
      </c>
      <c r="E63" s="3" t="s">
        <v>4451</v>
      </c>
      <c r="F63" s="3" t="s">
        <v>1940</v>
      </c>
      <c r="G63" s="3" t="s">
        <v>4452</v>
      </c>
      <c r="H63" s="3" t="s">
        <v>4453</v>
      </c>
    </row>
    <row r="64" customFormat="false" ht="23.85" hidden="false" customHeight="false" outlineLevel="0" collapsed="false">
      <c r="A64" s="8" t="s">
        <v>4454</v>
      </c>
      <c r="B64" s="8" t="s">
        <v>1952</v>
      </c>
      <c r="C64" s="8" t="s">
        <v>4455</v>
      </c>
      <c r="D64" s="8" t="s">
        <v>4456</v>
      </c>
      <c r="E64" s="8" t="s">
        <v>4457</v>
      </c>
      <c r="F64" s="8" t="s">
        <v>4458</v>
      </c>
      <c r="G64" s="8" t="s">
        <v>4459</v>
      </c>
      <c r="H64" s="8" t="s">
        <v>4460</v>
      </c>
    </row>
    <row r="65" customFormat="false" ht="23.85" hidden="false" customHeight="false" outlineLevel="0" collapsed="false">
      <c r="A65" s="8" t="s">
        <v>4454</v>
      </c>
      <c r="B65" s="8" t="s">
        <v>1963</v>
      </c>
      <c r="C65" s="8" t="s">
        <v>4461</v>
      </c>
      <c r="D65" s="8" t="s">
        <v>4462</v>
      </c>
      <c r="E65" s="8" t="s">
        <v>4463</v>
      </c>
      <c r="F65" s="8" t="s">
        <v>4464</v>
      </c>
      <c r="G65" s="8" t="s">
        <v>4459</v>
      </c>
      <c r="H65" s="8" t="s">
        <v>4465</v>
      </c>
    </row>
    <row r="66" customFormat="false" ht="23.85" hidden="false" customHeight="false" outlineLevel="0" collapsed="false">
      <c r="A66" s="8" t="s">
        <v>4454</v>
      </c>
      <c r="B66" s="8" t="s">
        <v>233</v>
      </c>
      <c r="C66" s="8" t="s">
        <v>4466</v>
      </c>
      <c r="D66" s="8" t="s">
        <v>4467</v>
      </c>
      <c r="E66" s="8" t="s">
        <v>4468</v>
      </c>
      <c r="F66" s="8" t="s">
        <v>4469</v>
      </c>
      <c r="G66" s="8" t="s">
        <v>4459</v>
      </c>
      <c r="H66" s="8" t="s">
        <v>4470</v>
      </c>
    </row>
    <row r="67" customFormat="false" ht="23.85" hidden="false" customHeight="false" outlineLevel="0" collapsed="false">
      <c r="A67" s="8" t="s">
        <v>4454</v>
      </c>
      <c r="B67" s="8" t="s">
        <v>243</v>
      </c>
      <c r="C67" s="8" t="s">
        <v>4471</v>
      </c>
      <c r="D67" s="8" t="s">
        <v>4472</v>
      </c>
      <c r="E67" s="8" t="s">
        <v>4473</v>
      </c>
      <c r="F67" s="8" t="s">
        <v>4474</v>
      </c>
      <c r="G67" s="8" t="s">
        <v>4459</v>
      </c>
      <c r="H67" s="8" t="s">
        <v>4475</v>
      </c>
    </row>
    <row r="68" customFormat="false" ht="23.85" hidden="false" customHeight="false" outlineLevel="0" collapsed="false">
      <c r="A68" s="8" t="s">
        <v>4476</v>
      </c>
      <c r="B68" s="8" t="s">
        <v>1960</v>
      </c>
      <c r="C68" s="8" t="s">
        <v>4477</v>
      </c>
      <c r="D68" s="8" t="s">
        <v>4478</v>
      </c>
      <c r="E68" s="8" t="s">
        <v>4479</v>
      </c>
      <c r="F68" s="8" t="s">
        <v>4480</v>
      </c>
      <c r="G68" s="8" t="s">
        <v>4481</v>
      </c>
      <c r="H68" s="8" t="s">
        <v>4482</v>
      </c>
    </row>
    <row r="69" customFormat="false" ht="23.85" hidden="false" customHeight="false" outlineLevel="0" collapsed="false">
      <c r="A69" s="8" t="s">
        <v>4483</v>
      </c>
      <c r="B69" s="8" t="s">
        <v>4484</v>
      </c>
      <c r="C69" s="8" t="s">
        <v>4485</v>
      </c>
      <c r="D69" s="8" t="s">
        <v>4486</v>
      </c>
      <c r="E69" s="8" t="s">
        <v>4487</v>
      </c>
      <c r="F69" s="8" t="s">
        <v>4488</v>
      </c>
      <c r="G69" s="8" t="s">
        <v>4489</v>
      </c>
      <c r="H69" s="8" t="s">
        <v>4490</v>
      </c>
    </row>
    <row r="70" customFormat="false" ht="23.85" hidden="false" customHeight="false" outlineLevel="0" collapsed="false">
      <c r="A70" s="8" t="s">
        <v>4483</v>
      </c>
      <c r="B70" s="8" t="s">
        <v>4491</v>
      </c>
      <c r="C70" s="8" t="s">
        <v>4485</v>
      </c>
      <c r="D70" s="8" t="s">
        <v>4492</v>
      </c>
      <c r="E70" s="8" t="s">
        <v>4493</v>
      </c>
      <c r="F70" s="8" t="s">
        <v>4494</v>
      </c>
      <c r="G70" s="8" t="s">
        <v>4489</v>
      </c>
      <c r="H70" s="8" t="s">
        <v>4495</v>
      </c>
    </row>
    <row r="71" customFormat="false" ht="23.85" hidden="false" customHeight="false" outlineLevel="0" collapsed="false">
      <c r="A71" s="8" t="s">
        <v>4483</v>
      </c>
      <c r="B71" s="8" t="s">
        <v>4496</v>
      </c>
      <c r="C71" s="8" t="s">
        <v>4485</v>
      </c>
      <c r="D71" s="8" t="s">
        <v>4497</v>
      </c>
      <c r="E71" s="8" t="s">
        <v>4498</v>
      </c>
      <c r="F71" s="8" t="s">
        <v>4499</v>
      </c>
      <c r="G71" s="8" t="s">
        <v>4489</v>
      </c>
      <c r="H71" s="8" t="s">
        <v>4500</v>
      </c>
    </row>
    <row r="72" customFormat="false" ht="23.85" hidden="false" customHeight="false" outlineLevel="0" collapsed="false">
      <c r="A72" s="8" t="s">
        <v>4483</v>
      </c>
      <c r="B72" s="8" t="s">
        <v>4501</v>
      </c>
      <c r="C72" s="8" t="s">
        <v>4485</v>
      </c>
      <c r="D72" s="8" t="s">
        <v>4502</v>
      </c>
      <c r="E72" s="8" t="s">
        <v>4503</v>
      </c>
      <c r="F72" s="8" t="s">
        <v>4504</v>
      </c>
      <c r="G72" s="8" t="s">
        <v>4489</v>
      </c>
      <c r="H72" s="8" t="s">
        <v>4505</v>
      </c>
    </row>
    <row r="73" customFormat="false" ht="23.85" hidden="false" customHeight="false" outlineLevel="0" collapsed="false">
      <c r="A73" s="8" t="s">
        <v>4483</v>
      </c>
      <c r="B73" s="8" t="s">
        <v>4506</v>
      </c>
      <c r="C73" s="8" t="s">
        <v>4485</v>
      </c>
      <c r="D73" s="8" t="s">
        <v>4507</v>
      </c>
      <c r="E73" s="8" t="s">
        <v>4508</v>
      </c>
      <c r="F73" s="8" t="s">
        <v>4509</v>
      </c>
      <c r="G73" s="8" t="s">
        <v>4489</v>
      </c>
      <c r="H73" s="8" t="s">
        <v>4510</v>
      </c>
    </row>
    <row r="74" customFormat="false" ht="23.85" hidden="false" customHeight="false" outlineLevel="0" collapsed="false">
      <c r="A74" s="8" t="s">
        <v>4483</v>
      </c>
      <c r="B74" s="8" t="s">
        <v>4511</v>
      </c>
      <c r="C74" s="8" t="s">
        <v>4485</v>
      </c>
      <c r="D74" s="8" t="s">
        <v>4512</v>
      </c>
      <c r="E74" s="8" t="s">
        <v>4513</v>
      </c>
      <c r="F74" s="8" t="s">
        <v>4514</v>
      </c>
      <c r="G74" s="8" t="s">
        <v>4489</v>
      </c>
      <c r="H74" s="8" t="s">
        <v>4515</v>
      </c>
    </row>
    <row r="75" customFormat="false" ht="23.85" hidden="false" customHeight="false" outlineLevel="0" collapsed="false">
      <c r="A75" s="8" t="s">
        <v>4483</v>
      </c>
      <c r="B75" s="8" t="s">
        <v>4516</v>
      </c>
      <c r="C75" s="8" t="s">
        <v>4485</v>
      </c>
      <c r="D75" s="8" t="s">
        <v>4517</v>
      </c>
      <c r="E75" s="8" t="s">
        <v>4518</v>
      </c>
      <c r="F75" s="8" t="s">
        <v>4519</v>
      </c>
      <c r="G75" s="8" t="s">
        <v>4489</v>
      </c>
      <c r="H75" s="8" t="s">
        <v>4520</v>
      </c>
    </row>
    <row r="76" customFormat="false" ht="23.85" hidden="false" customHeight="false" outlineLevel="0" collapsed="false">
      <c r="A76" s="8" t="s">
        <v>4483</v>
      </c>
      <c r="B76" s="8" t="s">
        <v>4521</v>
      </c>
      <c r="C76" s="8" t="s">
        <v>4485</v>
      </c>
      <c r="D76" s="8" t="s">
        <v>4522</v>
      </c>
      <c r="E76" s="8" t="s">
        <v>4523</v>
      </c>
      <c r="F76" s="8" t="s">
        <v>4524</v>
      </c>
      <c r="G76" s="8" t="s">
        <v>4489</v>
      </c>
      <c r="H76" s="8" t="s">
        <v>4525</v>
      </c>
    </row>
    <row r="78" customFormat="false" ht="15" hidden="false" customHeight="false" outlineLevel="0" collapsed="false">
      <c r="A78" s="7" t="s">
        <v>4526</v>
      </c>
      <c r="B78" s="7"/>
      <c r="C78" s="7"/>
      <c r="D78" s="7"/>
      <c r="E78" s="7"/>
      <c r="F78" s="7"/>
      <c r="G78" s="7"/>
      <c r="H78" s="7"/>
    </row>
    <row r="79" customFormat="false" ht="15" hidden="false" customHeight="false" outlineLevel="0" collapsed="false">
      <c r="A79" s="3" t="s">
        <v>4527</v>
      </c>
      <c r="B79" s="3" t="s">
        <v>3596</v>
      </c>
      <c r="C79" s="3" t="s">
        <v>4528</v>
      </c>
      <c r="D79" s="3" t="s">
        <v>4529</v>
      </c>
      <c r="E79" s="3" t="s">
        <v>1329</v>
      </c>
      <c r="F79" s="3" t="s">
        <v>1940</v>
      </c>
      <c r="G79" s="3" t="s">
        <v>4530</v>
      </c>
      <c r="H79" s="3" t="s">
        <v>4531</v>
      </c>
    </row>
    <row r="80" customFormat="false" ht="23.85" hidden="false" customHeight="false" outlineLevel="0" collapsed="false">
      <c r="A80" s="8" t="s">
        <v>4532</v>
      </c>
      <c r="B80" s="8" t="s">
        <v>4533</v>
      </c>
      <c r="C80" s="8" t="n">
        <v>3</v>
      </c>
      <c r="D80" s="8" t="s">
        <v>4534</v>
      </c>
      <c r="E80" s="8" t="s">
        <v>2794</v>
      </c>
      <c r="F80" s="8" t="s">
        <v>4535</v>
      </c>
      <c r="G80" s="8" t="s">
        <v>4536</v>
      </c>
      <c r="H80" s="8" t="s">
        <v>4537</v>
      </c>
    </row>
    <row r="81" customFormat="false" ht="23.85" hidden="false" customHeight="false" outlineLevel="0" collapsed="false">
      <c r="A81" s="8" t="s">
        <v>4538</v>
      </c>
      <c r="B81" s="8" t="s">
        <v>4539</v>
      </c>
      <c r="C81" s="8" t="n">
        <v>5</v>
      </c>
      <c r="D81" s="8" t="s">
        <v>4540</v>
      </c>
      <c r="E81" s="8" t="s">
        <v>4541</v>
      </c>
      <c r="F81" s="8" t="s">
        <v>4542</v>
      </c>
      <c r="G81" s="8" t="s">
        <v>4543</v>
      </c>
      <c r="H81" s="8" t="s">
        <v>4537</v>
      </c>
    </row>
    <row r="82" customFormat="false" ht="23.85" hidden="false" customHeight="false" outlineLevel="0" collapsed="false">
      <c r="A82" s="8" t="s">
        <v>4292</v>
      </c>
      <c r="B82" s="8" t="s">
        <v>4544</v>
      </c>
      <c r="C82" s="8" t="n">
        <v>2</v>
      </c>
      <c r="D82" s="8" t="s">
        <v>4545</v>
      </c>
      <c r="E82" s="8" t="s">
        <v>4546</v>
      </c>
      <c r="F82" s="8" t="s">
        <v>4547</v>
      </c>
      <c r="G82" s="8" t="s">
        <v>4548</v>
      </c>
      <c r="H82" s="8" t="s">
        <v>4537</v>
      </c>
    </row>
    <row r="83" customFormat="false" ht="23.85" hidden="false" customHeight="false" outlineLevel="0" collapsed="false">
      <c r="A83" s="8" t="s">
        <v>4549</v>
      </c>
      <c r="B83" s="8" t="s">
        <v>3855</v>
      </c>
      <c r="C83" s="8" t="n">
        <v>3</v>
      </c>
      <c r="D83" s="8" t="s">
        <v>4550</v>
      </c>
      <c r="E83" s="8" t="s">
        <v>4551</v>
      </c>
      <c r="F83" s="8" t="s">
        <v>4552</v>
      </c>
      <c r="G83" s="8" t="s">
        <v>4553</v>
      </c>
      <c r="H83" s="8" t="s">
        <v>4537</v>
      </c>
    </row>
    <row r="84" customFormat="false" ht="23.85" hidden="false" customHeight="false" outlineLevel="0" collapsed="false">
      <c r="A84" s="8" t="s">
        <v>4554</v>
      </c>
      <c r="B84" s="8" t="s">
        <v>4555</v>
      </c>
      <c r="C84" s="8" t="n">
        <v>4</v>
      </c>
      <c r="D84" s="8" t="s">
        <v>4556</v>
      </c>
      <c r="E84" s="8" t="s">
        <v>4557</v>
      </c>
      <c r="F84" s="8" t="s">
        <v>4480</v>
      </c>
      <c r="G84" s="8" t="s">
        <v>4558</v>
      </c>
      <c r="H84" s="8" t="s">
        <v>4537</v>
      </c>
    </row>
    <row r="85" customFormat="false" ht="23.85" hidden="false" customHeight="false" outlineLevel="0" collapsed="false">
      <c r="A85" s="8" t="s">
        <v>4559</v>
      </c>
      <c r="B85" s="8" t="s">
        <v>4560</v>
      </c>
      <c r="C85" s="8" t="n">
        <v>2</v>
      </c>
      <c r="D85" s="8" t="s">
        <v>4561</v>
      </c>
      <c r="E85" s="8" t="s">
        <v>4562</v>
      </c>
      <c r="F85" s="8" t="s">
        <v>4563</v>
      </c>
      <c r="G85" s="8" t="s">
        <v>4564</v>
      </c>
      <c r="H85" s="8" t="s">
        <v>4537</v>
      </c>
    </row>
    <row r="86" customFormat="false" ht="23.85" hidden="false" customHeight="false" outlineLevel="0" collapsed="false">
      <c r="A86" s="8" t="s">
        <v>4565</v>
      </c>
      <c r="B86" s="8" t="s">
        <v>4566</v>
      </c>
      <c r="C86" s="8" t="n">
        <v>2</v>
      </c>
      <c r="D86" s="8" t="s">
        <v>4567</v>
      </c>
      <c r="E86" s="8" t="s">
        <v>4568</v>
      </c>
      <c r="F86" s="8" t="s">
        <v>4569</v>
      </c>
      <c r="G86" s="8" t="s">
        <v>4570</v>
      </c>
      <c r="H86" s="8" t="s">
        <v>4571</v>
      </c>
    </row>
    <row r="87" customFormat="false" ht="23.85" hidden="false" customHeight="false" outlineLevel="0" collapsed="false">
      <c r="A87" s="8" t="s">
        <v>4572</v>
      </c>
      <c r="B87" s="8" t="s">
        <v>4573</v>
      </c>
      <c r="C87" s="8" t="n">
        <v>1</v>
      </c>
      <c r="D87" s="8" t="s">
        <v>4574</v>
      </c>
      <c r="E87" s="8" t="s">
        <v>4575</v>
      </c>
      <c r="F87" s="8" t="s">
        <v>4576</v>
      </c>
      <c r="G87" s="8" t="s">
        <v>4577</v>
      </c>
      <c r="H87" s="8" t="s">
        <v>4537</v>
      </c>
    </row>
    <row r="88" customFormat="false" ht="23.85" hidden="false" customHeight="false" outlineLevel="0" collapsed="false">
      <c r="A88" s="8" t="s">
        <v>1280</v>
      </c>
      <c r="B88" s="8" t="s">
        <v>4578</v>
      </c>
      <c r="C88" s="8" t="n">
        <v>3</v>
      </c>
      <c r="D88" s="8" t="s">
        <v>4579</v>
      </c>
      <c r="E88" s="8" t="s">
        <v>4580</v>
      </c>
      <c r="F88" s="8" t="s">
        <v>4581</v>
      </c>
      <c r="G88" s="8" t="s">
        <v>4582</v>
      </c>
      <c r="H88" s="8" t="s">
        <v>4537</v>
      </c>
    </row>
    <row r="89" customFormat="false" ht="23.85" hidden="false" customHeight="false" outlineLevel="0" collapsed="false">
      <c r="A89" s="8" t="s">
        <v>4583</v>
      </c>
      <c r="B89" s="8" t="s">
        <v>4584</v>
      </c>
      <c r="C89" s="8" t="n">
        <v>2</v>
      </c>
      <c r="D89" s="8" t="s">
        <v>4585</v>
      </c>
      <c r="E89" s="8" t="s">
        <v>4586</v>
      </c>
      <c r="F89" s="8" t="s">
        <v>4552</v>
      </c>
      <c r="G89" s="8" t="s">
        <v>4587</v>
      </c>
      <c r="H89" s="8" t="s">
        <v>4537</v>
      </c>
    </row>
  </sheetData>
  <mergeCells count="5">
    <mergeCell ref="A1:G1"/>
    <mergeCell ref="A3:G3"/>
    <mergeCell ref="A10:G10"/>
    <mergeCell ref="A62:H62"/>
    <mergeCell ref="A78:H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722"/>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1" style="1" width="18"/>
    <col collapsed="false" customWidth="true" hidden="false" outlineLevel="0" max="4" min="4" style="1" width="25"/>
    <col collapsed="false" customWidth="true" hidden="false" outlineLevel="0" max="5" min="5" style="1" width="42"/>
    <col collapsed="false" customWidth="true" hidden="false" outlineLevel="0" max="6" min="6" style="1" width="32"/>
    <col collapsed="false" customWidth="true" hidden="false" outlineLevel="0" max="7" min="7" style="1" width="28"/>
    <col collapsed="false" customWidth="true" hidden="false" outlineLevel="0" max="8" min="8" style="1" width="18"/>
  </cols>
  <sheetData>
    <row r="1" customFormat="false" ht="15" hidden="false" customHeight="true" outlineLevel="0" collapsed="false">
      <c r="A1" s="142" t="s">
        <v>4588</v>
      </c>
      <c r="B1" s="142"/>
      <c r="C1" s="142"/>
      <c r="D1" s="142"/>
      <c r="E1" s="142"/>
      <c r="F1" s="142"/>
      <c r="G1" s="142"/>
      <c r="H1" s="142"/>
    </row>
    <row r="2" customFormat="false" ht="15" hidden="false" customHeight="true" outlineLevel="0" collapsed="false">
      <c r="A2" s="143" t="s">
        <v>509</v>
      </c>
      <c r="B2" s="143" t="s">
        <v>566</v>
      </c>
      <c r="C2" s="143" t="s">
        <v>252</v>
      </c>
      <c r="D2" s="143" t="s">
        <v>4589</v>
      </c>
      <c r="E2" s="143" t="s">
        <v>4590</v>
      </c>
      <c r="F2" s="143" t="s">
        <v>4591</v>
      </c>
      <c r="G2" s="143" t="s">
        <v>4592</v>
      </c>
      <c r="H2" s="143" t="s">
        <v>412</v>
      </c>
    </row>
    <row r="3" customFormat="false" ht="15" hidden="false" customHeight="true" outlineLevel="0" collapsed="false">
      <c r="A3" s="83" t="n">
        <v>1</v>
      </c>
      <c r="B3" s="83" t="s">
        <v>4593</v>
      </c>
      <c r="C3" s="83" t="s">
        <v>528</v>
      </c>
      <c r="D3" s="83" t="s">
        <v>4594</v>
      </c>
      <c r="E3" s="83" t="s">
        <v>4595</v>
      </c>
      <c r="F3" s="83" t="s">
        <v>4596</v>
      </c>
      <c r="G3" s="83" t="s">
        <v>4597</v>
      </c>
      <c r="H3" s="83" t="s">
        <v>1759</v>
      </c>
    </row>
    <row r="4" customFormat="false" ht="15" hidden="false" customHeight="true" outlineLevel="0" collapsed="false">
      <c r="A4" s="85" t="n">
        <v>2</v>
      </c>
      <c r="B4" s="85" t="s">
        <v>4598</v>
      </c>
      <c r="C4" s="85" t="s">
        <v>528</v>
      </c>
      <c r="D4" s="85" t="s">
        <v>4599</v>
      </c>
      <c r="E4" s="85" t="s">
        <v>4600</v>
      </c>
      <c r="F4" s="85" t="s">
        <v>4601</v>
      </c>
      <c r="G4" s="85" t="s">
        <v>4602</v>
      </c>
      <c r="H4" s="85" t="s">
        <v>1759</v>
      </c>
    </row>
    <row r="5" customFormat="false" ht="15" hidden="false" customHeight="true" outlineLevel="0" collapsed="false">
      <c r="A5" s="83" t="n">
        <v>3</v>
      </c>
      <c r="B5" s="83" t="s">
        <v>4603</v>
      </c>
      <c r="C5" s="83" t="s">
        <v>4604</v>
      </c>
      <c r="D5" s="83" t="s">
        <v>4605</v>
      </c>
      <c r="E5" s="83" t="s">
        <v>4606</v>
      </c>
      <c r="F5" s="83" t="s">
        <v>4607</v>
      </c>
      <c r="G5" s="83" t="s">
        <v>4608</v>
      </c>
      <c r="H5" s="83" t="s">
        <v>1759</v>
      </c>
    </row>
    <row r="6" customFormat="false" ht="15" hidden="false" customHeight="true" outlineLevel="0" collapsed="false">
      <c r="A6" s="85" t="n">
        <v>4</v>
      </c>
      <c r="B6" s="85" t="s">
        <v>4609</v>
      </c>
      <c r="C6" s="85" t="s">
        <v>4604</v>
      </c>
      <c r="D6" s="85" t="s">
        <v>4610</v>
      </c>
      <c r="E6" s="85" t="s">
        <v>4611</v>
      </c>
      <c r="F6" s="85" t="s">
        <v>4612</v>
      </c>
      <c r="G6" s="85" t="s">
        <v>4613</v>
      </c>
      <c r="H6" s="85" t="s">
        <v>1759</v>
      </c>
    </row>
    <row r="7" customFormat="false" ht="15" hidden="false" customHeight="true" outlineLevel="0" collapsed="false">
      <c r="A7" s="83" t="n">
        <v>5</v>
      </c>
      <c r="B7" s="83" t="s">
        <v>4614</v>
      </c>
      <c r="C7" s="83" t="s">
        <v>4615</v>
      </c>
      <c r="D7" s="83" t="s">
        <v>4616</v>
      </c>
      <c r="E7" s="83" t="s">
        <v>4617</v>
      </c>
      <c r="F7" s="83" t="s">
        <v>4618</v>
      </c>
      <c r="G7" s="83" t="s">
        <v>4619</v>
      </c>
      <c r="H7" s="83" t="s">
        <v>1759</v>
      </c>
    </row>
    <row r="8" customFormat="false" ht="15" hidden="false" customHeight="true" outlineLevel="0" collapsed="false">
      <c r="A8" s="85" t="n">
        <v>6</v>
      </c>
      <c r="B8" s="85" t="s">
        <v>4620</v>
      </c>
      <c r="C8" s="85" t="s">
        <v>4615</v>
      </c>
      <c r="D8" s="85" t="s">
        <v>4621</v>
      </c>
      <c r="E8" s="85" t="s">
        <v>4622</v>
      </c>
      <c r="F8" s="85" t="s">
        <v>4623</v>
      </c>
      <c r="G8" s="85" t="s">
        <v>4624</v>
      </c>
      <c r="H8" s="85" t="s">
        <v>1759</v>
      </c>
    </row>
    <row r="9" customFormat="false" ht="15" hidden="false" customHeight="true" outlineLevel="0" collapsed="false">
      <c r="A9" s="83" t="n">
        <v>7</v>
      </c>
      <c r="B9" s="83" t="s">
        <v>4625</v>
      </c>
      <c r="C9" s="83" t="s">
        <v>4615</v>
      </c>
      <c r="D9" s="83" t="s">
        <v>4626</v>
      </c>
      <c r="E9" s="83" t="s">
        <v>4627</v>
      </c>
      <c r="F9" s="83" t="s">
        <v>4628</v>
      </c>
      <c r="G9" s="83" t="s">
        <v>4629</v>
      </c>
      <c r="H9" s="83" t="s">
        <v>1759</v>
      </c>
    </row>
    <row r="10" customFormat="false" ht="15" hidden="false" customHeight="true" outlineLevel="0" collapsed="false">
      <c r="A10" s="85" t="n">
        <v>8</v>
      </c>
      <c r="B10" s="85" t="s">
        <v>4630</v>
      </c>
      <c r="C10" s="85" t="s">
        <v>4615</v>
      </c>
      <c r="D10" s="85" t="s">
        <v>4631</v>
      </c>
      <c r="E10" s="85" t="s">
        <v>4632</v>
      </c>
      <c r="F10" s="85" t="s">
        <v>4633</v>
      </c>
      <c r="G10" s="85" t="s">
        <v>4634</v>
      </c>
      <c r="H10" s="85" t="s">
        <v>1759</v>
      </c>
    </row>
    <row r="11" customFormat="false" ht="15" hidden="false" customHeight="true" outlineLevel="0" collapsed="false">
      <c r="A11" s="83" t="n">
        <v>9</v>
      </c>
      <c r="B11" s="83" t="s">
        <v>4635</v>
      </c>
      <c r="C11" s="83" t="s">
        <v>4615</v>
      </c>
      <c r="D11" s="83" t="s">
        <v>4636</v>
      </c>
      <c r="E11" s="83" t="s">
        <v>4637</v>
      </c>
      <c r="F11" s="83" t="s">
        <v>4638</v>
      </c>
      <c r="G11" s="83" t="s">
        <v>4639</v>
      </c>
      <c r="H11" s="83" t="s">
        <v>1759</v>
      </c>
    </row>
    <row r="12" customFormat="false" ht="15" hidden="false" customHeight="true" outlineLevel="0" collapsed="false">
      <c r="A12" s="85" t="n">
        <v>10</v>
      </c>
      <c r="B12" s="85" t="s">
        <v>4640</v>
      </c>
      <c r="C12" s="85" t="s">
        <v>4641</v>
      </c>
      <c r="D12" s="85" t="s">
        <v>4642</v>
      </c>
      <c r="E12" s="85" t="s">
        <v>4643</v>
      </c>
      <c r="F12" s="85" t="s">
        <v>4644</v>
      </c>
      <c r="G12" s="85" t="s">
        <v>4645</v>
      </c>
      <c r="H12" s="85" t="s">
        <v>1759</v>
      </c>
    </row>
    <row r="13" customFormat="false" ht="15" hidden="false" customHeight="true" outlineLevel="0" collapsed="false">
      <c r="A13" s="83" t="n">
        <v>11</v>
      </c>
      <c r="B13" s="83" t="s">
        <v>4646</v>
      </c>
      <c r="C13" s="83" t="s">
        <v>4641</v>
      </c>
      <c r="D13" s="83" t="s">
        <v>4647</v>
      </c>
      <c r="E13" s="83" t="s">
        <v>4648</v>
      </c>
      <c r="F13" s="83" t="s">
        <v>4649</v>
      </c>
      <c r="G13" s="83" t="s">
        <v>4650</v>
      </c>
      <c r="H13" s="83" t="s">
        <v>1759</v>
      </c>
    </row>
    <row r="14" customFormat="false" ht="15" hidden="false" customHeight="true" outlineLevel="0" collapsed="false">
      <c r="A14" s="85" t="n">
        <v>12</v>
      </c>
      <c r="B14" s="85" t="s">
        <v>4651</v>
      </c>
      <c r="C14" s="85" t="s">
        <v>4641</v>
      </c>
      <c r="D14" s="85" t="s">
        <v>4652</v>
      </c>
      <c r="E14" s="85" t="s">
        <v>4653</v>
      </c>
      <c r="F14" s="85" t="s">
        <v>4654</v>
      </c>
      <c r="G14" s="85" t="s">
        <v>4655</v>
      </c>
      <c r="H14" s="85" t="s">
        <v>1759</v>
      </c>
    </row>
    <row r="15" customFormat="false" ht="15" hidden="false" customHeight="true" outlineLevel="0" collapsed="false">
      <c r="A15" s="83" t="n">
        <v>13</v>
      </c>
      <c r="B15" s="83" t="s">
        <v>4656</v>
      </c>
      <c r="C15" s="83" t="s">
        <v>4641</v>
      </c>
      <c r="D15" s="83" t="s">
        <v>4657</v>
      </c>
      <c r="E15" s="83" t="s">
        <v>4658</v>
      </c>
      <c r="F15" s="83" t="s">
        <v>4659</v>
      </c>
      <c r="G15" s="83" t="s">
        <v>4660</v>
      </c>
      <c r="H15" s="83" t="s">
        <v>1759</v>
      </c>
    </row>
    <row r="16" customFormat="false" ht="15" hidden="false" customHeight="true" outlineLevel="0" collapsed="false">
      <c r="A16" s="85" t="n">
        <v>14</v>
      </c>
      <c r="B16" s="85" t="s">
        <v>4661</v>
      </c>
      <c r="C16" s="85" t="s">
        <v>4641</v>
      </c>
      <c r="D16" s="85" t="s">
        <v>4662</v>
      </c>
      <c r="E16" s="85" t="s">
        <v>4663</v>
      </c>
      <c r="F16" s="85" t="s">
        <v>4664</v>
      </c>
      <c r="G16" s="85" t="s">
        <v>4665</v>
      </c>
      <c r="H16" s="85" t="s">
        <v>1759</v>
      </c>
    </row>
    <row r="17" customFormat="false" ht="15" hidden="false" customHeight="true" outlineLevel="0" collapsed="false">
      <c r="A17" s="83" t="n">
        <v>15</v>
      </c>
      <c r="B17" s="83" t="s">
        <v>4666</v>
      </c>
      <c r="C17" s="83" t="s">
        <v>4667</v>
      </c>
      <c r="D17" s="83" t="s">
        <v>4668</v>
      </c>
      <c r="E17" s="83" t="s">
        <v>4669</v>
      </c>
      <c r="F17" s="83" t="s">
        <v>4670</v>
      </c>
      <c r="G17" s="83" t="s">
        <v>4671</v>
      </c>
      <c r="H17" s="83" t="s">
        <v>1759</v>
      </c>
    </row>
    <row r="18" customFormat="false" ht="15" hidden="false" customHeight="true" outlineLevel="0" collapsed="false">
      <c r="A18" s="85" t="n">
        <v>16</v>
      </c>
      <c r="B18" s="85" t="s">
        <v>4672</v>
      </c>
      <c r="C18" s="85" t="s">
        <v>4667</v>
      </c>
      <c r="D18" s="85" t="s">
        <v>4673</v>
      </c>
      <c r="E18" s="85" t="s">
        <v>4674</v>
      </c>
      <c r="F18" s="85" t="s">
        <v>4675</v>
      </c>
      <c r="G18" s="85" t="s">
        <v>4676</v>
      </c>
      <c r="H18" s="85" t="s">
        <v>1759</v>
      </c>
    </row>
    <row r="19" customFormat="false" ht="15" hidden="false" customHeight="true" outlineLevel="0" collapsed="false">
      <c r="A19" s="83" t="n">
        <v>17</v>
      </c>
      <c r="B19" s="83" t="s">
        <v>4677</v>
      </c>
      <c r="C19" s="83" t="s">
        <v>4667</v>
      </c>
      <c r="D19" s="83" t="s">
        <v>4678</v>
      </c>
      <c r="E19" s="83" t="s">
        <v>4679</v>
      </c>
      <c r="F19" s="83" t="s">
        <v>4680</v>
      </c>
      <c r="G19" s="83" t="s">
        <v>4681</v>
      </c>
      <c r="H19" s="83" t="s">
        <v>1759</v>
      </c>
    </row>
    <row r="20" customFormat="false" ht="15" hidden="false" customHeight="true" outlineLevel="0" collapsed="false">
      <c r="A20" s="85" t="n">
        <v>18</v>
      </c>
      <c r="B20" s="85" t="s">
        <v>4682</v>
      </c>
      <c r="C20" s="85" t="s">
        <v>4683</v>
      </c>
      <c r="D20" s="85" t="s">
        <v>4684</v>
      </c>
      <c r="E20" s="85" t="s">
        <v>4685</v>
      </c>
      <c r="F20" s="85" t="s">
        <v>4686</v>
      </c>
      <c r="G20" s="85" t="s">
        <v>4687</v>
      </c>
      <c r="H20" s="85" t="s">
        <v>1759</v>
      </c>
    </row>
    <row r="21" customFormat="false" ht="15" hidden="false" customHeight="true" outlineLevel="0" collapsed="false">
      <c r="A21" s="83" t="n">
        <v>19</v>
      </c>
      <c r="B21" s="83" t="s">
        <v>4688</v>
      </c>
      <c r="C21" s="83" t="s">
        <v>4683</v>
      </c>
      <c r="D21" s="83" t="s">
        <v>4689</v>
      </c>
      <c r="E21" s="83" t="s">
        <v>4690</v>
      </c>
      <c r="F21" s="83" t="s">
        <v>4691</v>
      </c>
      <c r="G21" s="83" t="s">
        <v>4692</v>
      </c>
      <c r="H21" s="83" t="s">
        <v>1759</v>
      </c>
    </row>
    <row r="22" customFormat="false" ht="15" hidden="false" customHeight="true" outlineLevel="0" collapsed="false">
      <c r="A22" s="85" t="n">
        <v>20</v>
      </c>
      <c r="B22" s="85" t="s">
        <v>4693</v>
      </c>
      <c r="C22" s="85" t="s">
        <v>4683</v>
      </c>
      <c r="D22" s="85" t="s">
        <v>4694</v>
      </c>
      <c r="E22" s="85" t="s">
        <v>4695</v>
      </c>
      <c r="F22" s="85" t="s">
        <v>4696</v>
      </c>
      <c r="G22" s="85" t="s">
        <v>4697</v>
      </c>
      <c r="H22" s="85" t="s">
        <v>1759</v>
      </c>
    </row>
    <row r="23" customFormat="false" ht="15" hidden="false" customHeight="true" outlineLevel="0" collapsed="false">
      <c r="A23" s="83" t="n">
        <v>21</v>
      </c>
      <c r="B23" s="83" t="s">
        <v>4698</v>
      </c>
      <c r="C23" s="83" t="s">
        <v>4683</v>
      </c>
      <c r="D23" s="83" t="s">
        <v>4699</v>
      </c>
      <c r="E23" s="83" t="s">
        <v>4700</v>
      </c>
      <c r="F23" s="83" t="s">
        <v>4701</v>
      </c>
      <c r="G23" s="83" t="s">
        <v>4702</v>
      </c>
      <c r="H23" s="83" t="s">
        <v>1759</v>
      </c>
    </row>
    <row r="24" customFormat="false" ht="15" hidden="false" customHeight="true" outlineLevel="0" collapsed="false">
      <c r="A24" s="85" t="n">
        <v>22</v>
      </c>
      <c r="B24" s="85" t="s">
        <v>4703</v>
      </c>
      <c r="C24" s="85" t="s">
        <v>4683</v>
      </c>
      <c r="D24" s="85" t="s">
        <v>4704</v>
      </c>
      <c r="E24" s="85" t="s">
        <v>4705</v>
      </c>
      <c r="F24" s="85" t="s">
        <v>4706</v>
      </c>
      <c r="G24" s="85" t="s">
        <v>4707</v>
      </c>
      <c r="H24" s="85" t="s">
        <v>1759</v>
      </c>
    </row>
    <row r="25" customFormat="false" ht="15" hidden="false" customHeight="true" outlineLevel="0" collapsed="false">
      <c r="A25" s="83" t="n">
        <v>23</v>
      </c>
      <c r="B25" s="83" t="s">
        <v>4708</v>
      </c>
      <c r="C25" s="83" t="s">
        <v>4709</v>
      </c>
      <c r="D25" s="83" t="s">
        <v>4710</v>
      </c>
      <c r="E25" s="83" t="s">
        <v>4711</v>
      </c>
      <c r="F25" s="83" t="s">
        <v>4712</v>
      </c>
      <c r="G25" s="83" t="s">
        <v>4713</v>
      </c>
      <c r="H25" s="83" t="s">
        <v>1759</v>
      </c>
    </row>
    <row r="26" customFormat="false" ht="23.25" hidden="false" customHeight="true" outlineLevel="0" collapsed="false">
      <c r="A26" s="85" t="n">
        <v>24</v>
      </c>
      <c r="B26" s="85" t="s">
        <v>4714</v>
      </c>
      <c r="C26" s="85" t="s">
        <v>4715</v>
      </c>
      <c r="D26" s="85" t="s">
        <v>1688</v>
      </c>
      <c r="E26" s="85" t="s">
        <v>4716</v>
      </c>
      <c r="F26" s="85" t="s">
        <v>4717</v>
      </c>
      <c r="G26" s="85" t="s">
        <v>4718</v>
      </c>
      <c r="H26" s="85" t="s">
        <v>1759</v>
      </c>
    </row>
    <row r="27" customFormat="false" ht="15" hidden="false" customHeight="true" outlineLevel="0" collapsed="false">
      <c r="A27" s="83" t="n">
        <v>25</v>
      </c>
      <c r="B27" s="83" t="s">
        <v>4719</v>
      </c>
      <c r="C27" s="83" t="s">
        <v>4715</v>
      </c>
      <c r="D27" s="83" t="s">
        <v>3629</v>
      </c>
      <c r="E27" s="83" t="s">
        <v>4720</v>
      </c>
      <c r="F27" s="83" t="s">
        <v>4721</v>
      </c>
      <c r="G27" s="83" t="s">
        <v>4722</v>
      </c>
      <c r="H27" s="83" t="s">
        <v>1759</v>
      </c>
    </row>
    <row r="28" customFormat="false" ht="15" hidden="false" customHeight="true" outlineLevel="0" collapsed="false">
      <c r="A28" s="85" t="n">
        <v>26</v>
      </c>
      <c r="B28" s="85" t="s">
        <v>4723</v>
      </c>
      <c r="C28" s="85" t="s">
        <v>4715</v>
      </c>
      <c r="D28" s="85" t="s">
        <v>4724</v>
      </c>
      <c r="E28" s="85" t="s">
        <v>4725</v>
      </c>
      <c r="F28" s="85" t="s">
        <v>4726</v>
      </c>
      <c r="G28" s="85" t="s">
        <v>4727</v>
      </c>
      <c r="H28" s="85" t="s">
        <v>1759</v>
      </c>
    </row>
    <row r="29" customFormat="false" ht="15" hidden="false" customHeight="true" outlineLevel="0" collapsed="false">
      <c r="A29" s="83" t="n">
        <v>27</v>
      </c>
      <c r="B29" s="83" t="s">
        <v>4728</v>
      </c>
      <c r="C29" s="83" t="s">
        <v>4729</v>
      </c>
      <c r="D29" s="83" t="s">
        <v>4730</v>
      </c>
      <c r="E29" s="83" t="s">
        <v>4731</v>
      </c>
      <c r="F29" s="83" t="s">
        <v>4732</v>
      </c>
      <c r="G29" s="83" t="s">
        <v>4733</v>
      </c>
      <c r="H29" s="83" t="s">
        <v>1759</v>
      </c>
    </row>
    <row r="30" customFormat="false" ht="23.25" hidden="false" customHeight="true" outlineLevel="0" collapsed="false">
      <c r="A30" s="85" t="n">
        <v>28</v>
      </c>
      <c r="B30" s="85" t="s">
        <v>4734</v>
      </c>
      <c r="C30" s="85" t="s">
        <v>4729</v>
      </c>
      <c r="D30" s="85" t="s">
        <v>4735</v>
      </c>
      <c r="E30" s="85" t="s">
        <v>4736</v>
      </c>
      <c r="F30" s="85" t="s">
        <v>4737</v>
      </c>
      <c r="G30" s="85" t="s">
        <v>4738</v>
      </c>
      <c r="H30" s="85" t="s">
        <v>1759</v>
      </c>
    </row>
    <row r="33" customFormat="false" ht="15" hidden="false" customHeight="false" outlineLevel="0" collapsed="false">
      <c r="A33" s="7" t="s">
        <v>4739</v>
      </c>
      <c r="B33" s="7"/>
      <c r="C33" s="7"/>
      <c r="D33" s="7"/>
      <c r="E33" s="7"/>
      <c r="F33" s="7"/>
      <c r="G33" s="7"/>
    </row>
    <row r="34" customFormat="false" ht="15" hidden="false" customHeight="false" outlineLevel="0" collapsed="false">
      <c r="A34" s="3" t="s">
        <v>566</v>
      </c>
      <c r="B34" s="3" t="s">
        <v>4740</v>
      </c>
      <c r="C34" s="3" t="s">
        <v>4741</v>
      </c>
      <c r="D34" s="3" t="s">
        <v>4742</v>
      </c>
      <c r="E34" s="3" t="s">
        <v>434</v>
      </c>
      <c r="F34" s="3" t="s">
        <v>3248</v>
      </c>
      <c r="G34" s="3" t="s">
        <v>4743</v>
      </c>
    </row>
    <row r="35" customFormat="false" ht="23.85" hidden="false" customHeight="false" outlineLevel="0" collapsed="false">
      <c r="A35" s="8" t="s">
        <v>4097</v>
      </c>
      <c r="B35" s="8" t="s">
        <v>4359</v>
      </c>
      <c r="C35" s="8" t="s">
        <v>4744</v>
      </c>
      <c r="D35" s="8" t="s">
        <v>498</v>
      </c>
      <c r="E35" s="8" t="s">
        <v>4745</v>
      </c>
      <c r="F35" s="8" t="s">
        <v>4746</v>
      </c>
      <c r="G35" s="8" t="s">
        <v>4747</v>
      </c>
    </row>
    <row r="36" customFormat="false" ht="35.05" hidden="false" customHeight="false" outlineLevel="0" collapsed="false">
      <c r="A36" s="8" t="s">
        <v>4097</v>
      </c>
      <c r="B36" s="8" t="s">
        <v>4342</v>
      </c>
      <c r="C36" s="8" t="s">
        <v>4748</v>
      </c>
      <c r="D36" s="8" t="s">
        <v>4749</v>
      </c>
      <c r="E36" s="8" t="s">
        <v>4750</v>
      </c>
      <c r="F36" s="8" t="s">
        <v>4751</v>
      </c>
      <c r="G36" s="8" t="s">
        <v>4752</v>
      </c>
    </row>
    <row r="37" customFormat="false" ht="23.85" hidden="false" customHeight="false" outlineLevel="0" collapsed="false">
      <c r="A37" s="8" t="s">
        <v>4097</v>
      </c>
      <c r="B37" s="8" t="s">
        <v>1866</v>
      </c>
      <c r="C37" s="8" t="s">
        <v>4753</v>
      </c>
      <c r="D37" s="8" t="s">
        <v>4754</v>
      </c>
      <c r="E37" s="8" t="s">
        <v>4755</v>
      </c>
      <c r="F37" s="8" t="s">
        <v>4756</v>
      </c>
      <c r="G37" s="8" t="s">
        <v>4757</v>
      </c>
    </row>
    <row r="38" customFormat="false" ht="23.85" hidden="false" customHeight="false" outlineLevel="0" collapsed="false">
      <c r="A38" s="8" t="s">
        <v>4341</v>
      </c>
      <c r="B38" s="8" t="s">
        <v>4758</v>
      </c>
      <c r="C38" s="8" t="s">
        <v>4759</v>
      </c>
      <c r="D38" s="8" t="s">
        <v>4760</v>
      </c>
      <c r="E38" s="8" t="s">
        <v>4761</v>
      </c>
      <c r="F38" s="8" t="s">
        <v>4762</v>
      </c>
      <c r="G38" s="8" t="s">
        <v>4763</v>
      </c>
    </row>
    <row r="39" customFormat="false" ht="23.85" hidden="false" customHeight="false" outlineLevel="0" collapsed="false">
      <c r="A39" s="8" t="s">
        <v>4341</v>
      </c>
      <c r="B39" s="8" t="s">
        <v>4764</v>
      </c>
      <c r="C39" s="8" t="s">
        <v>4765</v>
      </c>
      <c r="D39" s="8" t="s">
        <v>4766</v>
      </c>
      <c r="E39" s="8" t="s">
        <v>4767</v>
      </c>
      <c r="F39" s="8" t="s">
        <v>4768</v>
      </c>
      <c r="G39" s="8" t="s">
        <v>4769</v>
      </c>
    </row>
    <row r="40" customFormat="false" ht="23.85" hidden="false" customHeight="false" outlineLevel="0" collapsed="false">
      <c r="A40" s="8" t="s">
        <v>4341</v>
      </c>
      <c r="B40" s="8" t="s">
        <v>4770</v>
      </c>
      <c r="C40" s="8" t="s">
        <v>4771</v>
      </c>
      <c r="D40" s="8" t="s">
        <v>4772</v>
      </c>
      <c r="E40" s="8" t="s">
        <v>4773</v>
      </c>
      <c r="F40" s="8" t="s">
        <v>4774</v>
      </c>
      <c r="G40" s="8" t="s">
        <v>4775</v>
      </c>
    </row>
    <row r="41" customFormat="false" ht="23.85" hidden="false" customHeight="false" outlineLevel="0" collapsed="false">
      <c r="A41" s="8" t="s">
        <v>4776</v>
      </c>
      <c r="B41" s="8" t="s">
        <v>4359</v>
      </c>
      <c r="C41" s="8" t="s">
        <v>4777</v>
      </c>
      <c r="D41" s="8" t="s">
        <v>4778</v>
      </c>
      <c r="E41" s="8" t="s">
        <v>1235</v>
      </c>
      <c r="F41" s="8" t="s">
        <v>4779</v>
      </c>
      <c r="G41" s="8" t="s">
        <v>4780</v>
      </c>
    </row>
    <row r="42" customFormat="false" ht="23.85" hidden="false" customHeight="false" outlineLevel="0" collapsed="false">
      <c r="A42" s="8" t="s">
        <v>4776</v>
      </c>
      <c r="B42" s="8" t="s">
        <v>4342</v>
      </c>
      <c r="C42" s="8" t="s">
        <v>4781</v>
      </c>
      <c r="D42" s="8" t="s">
        <v>4782</v>
      </c>
      <c r="E42" s="8" t="s">
        <v>4783</v>
      </c>
      <c r="F42" s="8" t="s">
        <v>4784</v>
      </c>
      <c r="G42" s="8" t="s">
        <v>4785</v>
      </c>
    </row>
    <row r="43" customFormat="false" ht="23.85" hidden="false" customHeight="false" outlineLevel="0" collapsed="false">
      <c r="A43" s="8" t="s">
        <v>4776</v>
      </c>
      <c r="B43" s="8" t="s">
        <v>1871</v>
      </c>
      <c r="C43" s="8" t="s">
        <v>4786</v>
      </c>
      <c r="D43" s="8" t="s">
        <v>4787</v>
      </c>
      <c r="E43" s="8" t="s">
        <v>826</v>
      </c>
      <c r="F43" s="8" t="s">
        <v>4788</v>
      </c>
      <c r="G43" s="8" t="s">
        <v>4789</v>
      </c>
    </row>
    <row r="44" customFormat="false" ht="35.05" hidden="false" customHeight="false" outlineLevel="0" collapsed="false">
      <c r="A44" s="8" t="s">
        <v>4114</v>
      </c>
      <c r="B44" s="8" t="s">
        <v>4353</v>
      </c>
      <c r="C44" s="8" t="s">
        <v>4790</v>
      </c>
      <c r="D44" s="8" t="s">
        <v>4766</v>
      </c>
      <c r="E44" s="8" t="s">
        <v>4791</v>
      </c>
      <c r="F44" s="8" t="s">
        <v>4792</v>
      </c>
      <c r="G44" s="8" t="s">
        <v>4793</v>
      </c>
    </row>
    <row r="45" customFormat="false" ht="23.85" hidden="false" customHeight="false" outlineLevel="0" collapsed="false">
      <c r="A45" s="8" t="s">
        <v>4114</v>
      </c>
      <c r="B45" s="8" t="s">
        <v>1866</v>
      </c>
      <c r="C45" s="8" t="s">
        <v>4794</v>
      </c>
      <c r="D45" s="8" t="s">
        <v>4795</v>
      </c>
      <c r="E45" s="8" t="s">
        <v>4796</v>
      </c>
      <c r="F45" s="8" t="s">
        <v>4797</v>
      </c>
      <c r="G45" s="8" t="s">
        <v>4798</v>
      </c>
    </row>
    <row r="46" customFormat="false" ht="23.85" hidden="false" customHeight="false" outlineLevel="0" collapsed="false">
      <c r="A46" s="8" t="s">
        <v>4352</v>
      </c>
      <c r="B46" s="8" t="s">
        <v>4359</v>
      </c>
      <c r="C46" s="8" t="s">
        <v>4799</v>
      </c>
      <c r="D46" s="8" t="s">
        <v>4778</v>
      </c>
      <c r="E46" s="8" t="s">
        <v>1235</v>
      </c>
      <c r="F46" s="8" t="s">
        <v>4800</v>
      </c>
      <c r="G46" s="8" t="s">
        <v>4801</v>
      </c>
    </row>
    <row r="47" customFormat="false" ht="23.85" hidden="false" customHeight="false" outlineLevel="0" collapsed="false">
      <c r="A47" s="8" t="s">
        <v>4352</v>
      </c>
      <c r="B47" s="8" t="s">
        <v>4802</v>
      </c>
      <c r="C47" s="8" t="s">
        <v>4803</v>
      </c>
      <c r="D47" s="8" t="s">
        <v>4804</v>
      </c>
      <c r="E47" s="8" t="s">
        <v>4805</v>
      </c>
      <c r="F47" s="8" t="s">
        <v>4806</v>
      </c>
      <c r="G47" s="8" t="s">
        <v>4807</v>
      </c>
    </row>
    <row r="48" customFormat="false" ht="23.85" hidden="false" customHeight="false" outlineLevel="0" collapsed="false">
      <c r="A48" s="8" t="s">
        <v>4352</v>
      </c>
      <c r="B48" s="8" t="s">
        <v>4770</v>
      </c>
      <c r="C48" s="8" t="s">
        <v>4808</v>
      </c>
      <c r="D48" s="8" t="s">
        <v>4766</v>
      </c>
      <c r="E48" s="8" t="s">
        <v>4761</v>
      </c>
      <c r="F48" s="8" t="s">
        <v>4809</v>
      </c>
      <c r="G48" s="8" t="s">
        <v>4810</v>
      </c>
    </row>
    <row r="49" customFormat="false" ht="23.85" hidden="false" customHeight="false" outlineLevel="0" collapsed="false">
      <c r="A49" s="8" t="s">
        <v>4358</v>
      </c>
      <c r="B49" s="8" t="s">
        <v>4353</v>
      </c>
      <c r="C49" s="8" t="s">
        <v>4811</v>
      </c>
      <c r="D49" s="8" t="s">
        <v>4812</v>
      </c>
      <c r="E49" s="8" t="s">
        <v>4813</v>
      </c>
      <c r="F49" s="8" t="s">
        <v>4814</v>
      </c>
      <c r="G49" s="8" t="s">
        <v>4815</v>
      </c>
    </row>
    <row r="50" customFormat="false" ht="23.85" hidden="false" customHeight="false" outlineLevel="0" collapsed="false">
      <c r="A50" s="8" t="s">
        <v>4358</v>
      </c>
      <c r="B50" s="8" t="s">
        <v>4764</v>
      </c>
      <c r="C50" s="8" t="s">
        <v>4816</v>
      </c>
      <c r="D50" s="8" t="s">
        <v>604</v>
      </c>
      <c r="E50" s="8" t="s">
        <v>845</v>
      </c>
      <c r="F50" s="8" t="s">
        <v>4817</v>
      </c>
      <c r="G50" s="8" t="s">
        <v>4818</v>
      </c>
    </row>
    <row r="51" customFormat="false" ht="23.85" hidden="false" customHeight="false" outlineLevel="0" collapsed="false">
      <c r="A51" s="8" t="s">
        <v>4819</v>
      </c>
      <c r="B51" s="8" t="s">
        <v>4342</v>
      </c>
      <c r="C51" s="8" t="s">
        <v>4820</v>
      </c>
      <c r="D51" s="8" t="s">
        <v>4821</v>
      </c>
      <c r="E51" s="8" t="s">
        <v>4745</v>
      </c>
      <c r="F51" s="8" t="s">
        <v>4822</v>
      </c>
      <c r="G51" s="8" t="s">
        <v>4823</v>
      </c>
    </row>
    <row r="52" customFormat="false" ht="23.85" hidden="false" customHeight="false" outlineLevel="0" collapsed="false">
      <c r="A52" s="8" t="s">
        <v>4819</v>
      </c>
      <c r="B52" s="8" t="s">
        <v>1866</v>
      </c>
      <c r="C52" s="8" t="s">
        <v>4824</v>
      </c>
      <c r="D52" s="8" t="s">
        <v>4782</v>
      </c>
      <c r="E52" s="8" t="s">
        <v>4750</v>
      </c>
      <c r="F52" s="8" t="s">
        <v>4825</v>
      </c>
      <c r="G52" s="8" t="s">
        <v>4826</v>
      </c>
    </row>
  </sheetData>
  <mergeCells count="2">
    <mergeCell ref="A1:H1"/>
    <mergeCell ref="A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13" min="3" style="1" width="12"/>
    <col collapsed="false" customWidth="true" hidden="false" outlineLevel="0" max="14" min="14" style="1" width="3"/>
  </cols>
  <sheetData>
    <row r="1" customFormat="false" ht="36" hidden="false" customHeight="true" outlineLevel="0" collapsed="false">
      <c r="B1" s="144" t="s">
        <v>4827</v>
      </c>
      <c r="C1" s="144"/>
      <c r="D1" s="144"/>
      <c r="E1" s="144"/>
      <c r="F1" s="144"/>
      <c r="G1" s="144"/>
      <c r="H1" s="144"/>
      <c r="I1" s="144"/>
      <c r="J1" s="144"/>
      <c r="K1" s="144"/>
      <c r="L1" s="144"/>
      <c r="M1" s="144"/>
      <c r="N1" s="144"/>
    </row>
    <row r="2" customFormat="false" ht="30" hidden="false" customHeight="true" outlineLevel="0" collapsed="false">
      <c r="B2" s="145" t="s">
        <v>4828</v>
      </c>
      <c r="C2" s="145"/>
      <c r="D2" s="145"/>
      <c r="E2" s="145"/>
      <c r="F2" s="145"/>
      <c r="G2" s="145"/>
      <c r="H2" s="145"/>
      <c r="I2" s="145"/>
      <c r="J2" s="145"/>
      <c r="K2" s="145"/>
      <c r="L2" s="145"/>
      <c r="M2" s="145"/>
      <c r="N2" s="145"/>
    </row>
    <row r="3" customFormat="false" ht="36" hidden="false" customHeight="true" outlineLevel="0" collapsed="false">
      <c r="B3" s="146" t="s">
        <v>4829</v>
      </c>
      <c r="C3" s="146" t="s">
        <v>4830</v>
      </c>
      <c r="D3" s="146" t="s">
        <v>4831</v>
      </c>
      <c r="E3" s="146" t="s">
        <v>4832</v>
      </c>
      <c r="F3" s="146" t="s">
        <v>4833</v>
      </c>
      <c r="G3" s="146" t="s">
        <v>4834</v>
      </c>
      <c r="H3" s="146" t="s">
        <v>4835</v>
      </c>
      <c r="I3" s="146" t="s">
        <v>4836</v>
      </c>
      <c r="J3" s="146" t="s">
        <v>4837</v>
      </c>
      <c r="K3" s="146" t="s">
        <v>411</v>
      </c>
      <c r="L3" s="146" t="s">
        <v>4838</v>
      </c>
      <c r="M3" s="146" t="s">
        <v>4839</v>
      </c>
    </row>
    <row r="4" customFormat="false" ht="24" hidden="false" customHeight="true" outlineLevel="0" collapsed="false">
      <c r="B4" s="147" t="s">
        <v>4840</v>
      </c>
      <c r="C4" s="147"/>
      <c r="D4" s="147"/>
      <c r="E4" s="147"/>
      <c r="F4" s="147"/>
      <c r="G4" s="147"/>
      <c r="H4" s="147"/>
      <c r="I4" s="147"/>
      <c r="J4" s="147"/>
      <c r="K4" s="147"/>
      <c r="L4" s="147"/>
      <c r="M4" s="147"/>
      <c r="N4" s="147"/>
    </row>
    <row r="5" customFormat="false" ht="18" hidden="false" customHeight="true" outlineLevel="0" collapsed="false">
      <c r="B5" s="148" t="s">
        <v>4841</v>
      </c>
      <c r="C5" s="149" t="n">
        <v>0</v>
      </c>
      <c r="D5" s="149" t="n">
        <v>0</v>
      </c>
      <c r="E5" s="149" t="n">
        <v>0</v>
      </c>
      <c r="F5" s="149" t="n">
        <v>0</v>
      </c>
      <c r="G5" s="149" t="n">
        <v>0</v>
      </c>
      <c r="H5" s="149" t="n">
        <v>0</v>
      </c>
      <c r="I5" s="150" t="n">
        <f aca="false">SUM(C5:H5)</f>
        <v>0</v>
      </c>
      <c r="J5" s="151" t="n">
        <v>0</v>
      </c>
      <c r="K5" s="152" t="n">
        <f aca="false">IF(J5&gt;0,I5/J5,0)</f>
        <v>0</v>
      </c>
      <c r="L5" s="152" t="str">
        <f aca="false">IF(J5&gt;0,I5/J5,"N/A")</f>
        <v>N/A</v>
      </c>
      <c r="M5" s="153" t="s">
        <v>550</v>
      </c>
      <c r="N5" s="11"/>
    </row>
    <row r="6" customFormat="false" ht="18" hidden="false" customHeight="true" outlineLevel="0" collapsed="false">
      <c r="B6" s="148" t="s">
        <v>4842</v>
      </c>
      <c r="C6" s="149" t="n">
        <v>0</v>
      </c>
      <c r="D6" s="149" t="n">
        <v>0</v>
      </c>
      <c r="E6" s="149" t="n">
        <v>0</v>
      </c>
      <c r="F6" s="149" t="n">
        <v>0</v>
      </c>
      <c r="G6" s="149" t="n">
        <v>0</v>
      </c>
      <c r="H6" s="149" t="n">
        <v>0</v>
      </c>
      <c r="I6" s="150" t="n">
        <f aca="false">SUM(C6:H6)</f>
        <v>0</v>
      </c>
      <c r="J6" s="151" t="n">
        <v>0</v>
      </c>
      <c r="K6" s="152" t="n">
        <f aca="false">IF(J6&gt;0,I6/J6,0)</f>
        <v>0</v>
      </c>
      <c r="L6" s="152" t="str">
        <f aca="false">IF(J6&gt;0,I6/J6,"N/A")</f>
        <v>N/A</v>
      </c>
      <c r="M6" s="153" t="s">
        <v>550</v>
      </c>
      <c r="N6" s="11"/>
    </row>
    <row r="7" customFormat="false" ht="18" hidden="false" customHeight="true" outlineLevel="0" collapsed="false">
      <c r="B7" s="148" t="s">
        <v>4843</v>
      </c>
      <c r="C7" s="149" t="n">
        <v>0</v>
      </c>
      <c r="D7" s="149" t="n">
        <v>0</v>
      </c>
      <c r="E7" s="149" t="n">
        <v>0</v>
      </c>
      <c r="F7" s="149" t="n">
        <v>0</v>
      </c>
      <c r="G7" s="149" t="n">
        <v>0</v>
      </c>
      <c r="H7" s="149" t="n">
        <v>0</v>
      </c>
      <c r="I7" s="150" t="n">
        <f aca="false">SUM(C7:H7)</f>
        <v>0</v>
      </c>
      <c r="J7" s="151" t="n">
        <v>0</v>
      </c>
      <c r="K7" s="152" t="n">
        <f aca="false">IF(J7&gt;0,I7/J7,0)</f>
        <v>0</v>
      </c>
      <c r="L7" s="152" t="str">
        <f aca="false">IF(J7&gt;0,I7/J7,"N/A")</f>
        <v>N/A</v>
      </c>
      <c r="M7" s="153" t="s">
        <v>550</v>
      </c>
      <c r="N7" s="11"/>
    </row>
    <row r="8" customFormat="false" ht="18" hidden="false" customHeight="true" outlineLevel="0" collapsed="false">
      <c r="B8" s="148" t="s">
        <v>4844</v>
      </c>
      <c r="C8" s="154" t="n">
        <v>0</v>
      </c>
      <c r="D8" s="154" t="n">
        <v>0</v>
      </c>
      <c r="E8" s="154" t="n">
        <v>0</v>
      </c>
      <c r="F8" s="154" t="n">
        <v>0</v>
      </c>
      <c r="G8" s="154" t="n">
        <v>0</v>
      </c>
      <c r="H8" s="154" t="n">
        <v>0</v>
      </c>
      <c r="I8" s="155" t="n">
        <f aca="false">SUM(C8:H8)</f>
        <v>0</v>
      </c>
      <c r="J8" s="156" t="n">
        <v>0.06</v>
      </c>
      <c r="K8" s="152" t="n">
        <f aca="false">IF(J8&gt;0,I8/J8,0)</f>
        <v>0</v>
      </c>
      <c r="L8" s="152" t="n">
        <f aca="false">IF(J8&gt;0,I8/J8,"N/A")</f>
        <v>0</v>
      </c>
      <c r="M8" s="157" t="s">
        <v>4845</v>
      </c>
      <c r="N8" s="11"/>
    </row>
    <row r="9" customFormat="false" ht="18" hidden="false" customHeight="true" outlineLevel="0" collapsed="false">
      <c r="B9" s="148" t="s">
        <v>4846</v>
      </c>
      <c r="C9" s="149" t="n">
        <v>0</v>
      </c>
      <c r="D9" s="149" t="n">
        <v>0</v>
      </c>
      <c r="E9" s="149" t="n">
        <v>0</v>
      </c>
      <c r="F9" s="149" t="n">
        <v>0</v>
      </c>
      <c r="G9" s="149" t="n">
        <v>0</v>
      </c>
      <c r="H9" s="149" t="n">
        <v>0</v>
      </c>
      <c r="I9" s="150" t="n">
        <f aca="false">SUM(C9:H9)</f>
        <v>0</v>
      </c>
      <c r="J9" s="151" t="n">
        <v>0</v>
      </c>
      <c r="K9" s="152" t="n">
        <f aca="false">IF(J9&gt;0,I9/J9,0)</f>
        <v>0</v>
      </c>
      <c r="L9" s="152" t="str">
        <f aca="false">IF(J9&gt;0,I9/J9,"N/A")</f>
        <v>N/A</v>
      </c>
      <c r="M9" s="153" t="s">
        <v>550</v>
      </c>
      <c r="N9" s="11"/>
    </row>
    <row r="10" customFormat="false" ht="18" hidden="false" customHeight="true" outlineLevel="0" collapsed="false">
      <c r="B10" s="148" t="s">
        <v>4847</v>
      </c>
      <c r="C10" s="149" t="n">
        <v>0</v>
      </c>
      <c r="D10" s="149" t="n">
        <v>0</v>
      </c>
      <c r="E10" s="149" t="n">
        <v>0</v>
      </c>
      <c r="F10" s="149" t="n">
        <v>0</v>
      </c>
      <c r="G10" s="149" t="n">
        <v>0</v>
      </c>
      <c r="H10" s="149" t="n">
        <v>0</v>
      </c>
      <c r="I10" s="150" t="n">
        <f aca="false">SUM(C10:H10)</f>
        <v>0</v>
      </c>
      <c r="J10" s="151" t="n">
        <v>0</v>
      </c>
      <c r="K10" s="152" t="n">
        <f aca="false">IF(J10&gt;0,I10/J10,0)</f>
        <v>0</v>
      </c>
      <c r="L10" s="152" t="str">
        <f aca="false">IF(J10&gt;0,I10/J10,"N/A")</f>
        <v>N/A</v>
      </c>
      <c r="M10" s="153" t="s">
        <v>550</v>
      </c>
      <c r="N10" s="11"/>
    </row>
    <row r="11" customFormat="false" ht="18" hidden="false" customHeight="true" outlineLevel="0" collapsed="false">
      <c r="B11" s="148" t="s">
        <v>4848</v>
      </c>
      <c r="C11" s="149" t="n">
        <v>0</v>
      </c>
      <c r="D11" s="149" t="n">
        <v>0</v>
      </c>
      <c r="E11" s="149" t="n">
        <v>0</v>
      </c>
      <c r="F11" s="149" t="n">
        <v>0</v>
      </c>
      <c r="G11" s="149" t="n">
        <v>0</v>
      </c>
      <c r="H11" s="149" t="n">
        <v>0</v>
      </c>
      <c r="I11" s="150" t="n">
        <f aca="false">SUM(C11:H11)</f>
        <v>0</v>
      </c>
      <c r="J11" s="151" t="n">
        <v>0</v>
      </c>
      <c r="K11" s="152" t="n">
        <f aca="false">IF(J11&gt;0,I11/J11,0)</f>
        <v>0</v>
      </c>
      <c r="L11" s="152" t="str">
        <f aca="false">IF(J11&gt;0,I11/J11,"N/A")</f>
        <v>N/A</v>
      </c>
      <c r="M11" s="153" t="s">
        <v>550</v>
      </c>
      <c r="N11" s="11"/>
    </row>
    <row r="12" customFormat="false" ht="18" hidden="false" customHeight="true" outlineLevel="0" collapsed="false">
      <c r="B12" s="148" t="s">
        <v>4849</v>
      </c>
      <c r="C12" s="149" t="n">
        <v>0</v>
      </c>
      <c r="D12" s="149" t="n">
        <v>0</v>
      </c>
      <c r="E12" s="149" t="n">
        <v>0</v>
      </c>
      <c r="F12" s="149" t="n">
        <v>0</v>
      </c>
      <c r="G12" s="149" t="n">
        <v>0</v>
      </c>
      <c r="H12" s="149" t="n">
        <v>0</v>
      </c>
      <c r="I12" s="150" t="n">
        <f aca="false">SUM(C12:H12)</f>
        <v>0</v>
      </c>
      <c r="J12" s="151" t="n">
        <v>180000</v>
      </c>
      <c r="K12" s="152" t="n">
        <f aca="false">IF(J12&gt;0,I12/J12,0)</f>
        <v>0</v>
      </c>
      <c r="L12" s="152" t="n">
        <f aca="false">IF(J12&gt;0,I12/J12,"N/A")</f>
        <v>0</v>
      </c>
      <c r="M12" s="157" t="s">
        <v>4850</v>
      </c>
      <c r="N12" s="11"/>
    </row>
    <row r="13" customFormat="false" ht="18" hidden="false" customHeight="true" outlineLevel="0" collapsed="false">
      <c r="B13" s="148" t="s">
        <v>4851</v>
      </c>
      <c r="C13" s="154" t="n">
        <v>0</v>
      </c>
      <c r="D13" s="154" t="n">
        <v>0</v>
      </c>
      <c r="E13" s="154" t="n">
        <v>0</v>
      </c>
      <c r="F13" s="154" t="n">
        <v>0</v>
      </c>
      <c r="G13" s="154" t="n">
        <v>0</v>
      </c>
      <c r="H13" s="154" t="n">
        <v>0</v>
      </c>
      <c r="I13" s="155" t="n">
        <f aca="false">SUM(C13:H13)</f>
        <v>0</v>
      </c>
      <c r="J13" s="156" t="n">
        <v>0.5</v>
      </c>
      <c r="K13" s="152" t="n">
        <f aca="false">IF(J13&gt;0,I13/J13,0)</f>
        <v>0</v>
      </c>
      <c r="L13" s="152" t="n">
        <f aca="false">IF(J13&gt;0,I13/J13,"N/A")</f>
        <v>0</v>
      </c>
      <c r="M13" s="157" t="s">
        <v>4852</v>
      </c>
      <c r="N13" s="11"/>
    </row>
    <row r="14" customFormat="false" ht="18" hidden="false" customHeight="true" outlineLevel="0" collapsed="false">
      <c r="B14" s="148" t="s">
        <v>4853</v>
      </c>
      <c r="C14" s="149" t="n">
        <v>0</v>
      </c>
      <c r="D14" s="149" t="n">
        <v>0</v>
      </c>
      <c r="E14" s="149" t="n">
        <v>0</v>
      </c>
      <c r="F14" s="149" t="n">
        <v>0</v>
      </c>
      <c r="G14" s="149" t="n">
        <v>0</v>
      </c>
      <c r="H14" s="149" t="n">
        <v>0</v>
      </c>
      <c r="I14" s="150" t="n">
        <f aca="false">SUM(C14:H14)</f>
        <v>0</v>
      </c>
      <c r="J14" s="151" t="n">
        <v>0</v>
      </c>
      <c r="K14" s="152" t="n">
        <f aca="false">IF(J14&gt;0,I14/J14,0)</f>
        <v>0</v>
      </c>
      <c r="L14" s="152" t="str">
        <f aca="false">IF(J14&gt;0,I14/J14,"N/A")</f>
        <v>N/A</v>
      </c>
      <c r="M14" s="153" t="s">
        <v>550</v>
      </c>
      <c r="N14" s="11"/>
    </row>
    <row r="15" customFormat="false" ht="18" hidden="false" customHeight="true" outlineLevel="0" collapsed="false">
      <c r="B15" s="148" t="s">
        <v>4854</v>
      </c>
      <c r="C15" s="149" t="n">
        <v>0</v>
      </c>
      <c r="D15" s="149" t="n">
        <v>0</v>
      </c>
      <c r="E15" s="149" t="n">
        <v>0</v>
      </c>
      <c r="F15" s="149" t="n">
        <v>0</v>
      </c>
      <c r="G15" s="149" t="n">
        <v>0</v>
      </c>
      <c r="H15" s="149" t="n">
        <v>0</v>
      </c>
      <c r="I15" s="150" t="n">
        <f aca="false">SUM(C15:H15)</f>
        <v>0</v>
      </c>
      <c r="J15" s="151" t="n">
        <v>0</v>
      </c>
      <c r="K15" s="152" t="n">
        <f aca="false">IF(J15&gt;0,I15/J15,0)</f>
        <v>0</v>
      </c>
      <c r="L15" s="152" t="str">
        <f aca="false">IF(J15&gt;0,I15/J15,"N/A")</f>
        <v>N/A</v>
      </c>
      <c r="M15" s="153" t="s">
        <v>550</v>
      </c>
      <c r="N15" s="11"/>
    </row>
    <row r="17" customFormat="false" ht="24" hidden="false" customHeight="true" outlineLevel="0" collapsed="false">
      <c r="B17" s="158" t="s">
        <v>4855</v>
      </c>
      <c r="C17" s="158"/>
      <c r="D17" s="158"/>
      <c r="E17" s="158"/>
      <c r="F17" s="158"/>
      <c r="G17" s="158"/>
      <c r="H17" s="158"/>
      <c r="I17" s="158"/>
      <c r="J17" s="158"/>
      <c r="K17" s="158"/>
      <c r="L17" s="158"/>
      <c r="M17" s="158"/>
      <c r="N17" s="158"/>
    </row>
    <row r="18" customFormat="false" ht="18" hidden="false" customHeight="true" outlineLevel="0" collapsed="false">
      <c r="B18" s="148" t="s">
        <v>4856</v>
      </c>
      <c r="C18" s="149" t="n">
        <v>0</v>
      </c>
      <c r="D18" s="149" t="n">
        <v>0</v>
      </c>
      <c r="E18" s="149" t="n">
        <v>0</v>
      </c>
      <c r="F18" s="149" t="n">
        <v>0</v>
      </c>
      <c r="G18" s="149" t="n">
        <v>0</v>
      </c>
      <c r="H18" s="149" t="n">
        <v>0</v>
      </c>
      <c r="I18" s="150" t="n">
        <f aca="false">SUM(C18:H18)</f>
        <v>0</v>
      </c>
      <c r="J18" s="151" t="n">
        <v>0</v>
      </c>
      <c r="K18" s="152" t="n">
        <f aca="false">IF(J18&gt;0,I18/J18,0)</f>
        <v>0</v>
      </c>
      <c r="L18" s="152" t="str">
        <f aca="false">IF(J18&gt;0,I18/J18,"N/A")</f>
        <v>N/A</v>
      </c>
      <c r="M18" s="153" t="s">
        <v>550</v>
      </c>
      <c r="N18" s="11"/>
    </row>
    <row r="19" customFormat="false" ht="18" hidden="false" customHeight="true" outlineLevel="0" collapsed="false">
      <c r="B19" s="148" t="s">
        <v>4857</v>
      </c>
      <c r="C19" s="149" t="n">
        <v>0</v>
      </c>
      <c r="D19" s="149" t="n">
        <v>0</v>
      </c>
      <c r="E19" s="149" t="n">
        <v>0</v>
      </c>
      <c r="F19" s="149" t="n">
        <v>0</v>
      </c>
      <c r="G19" s="149" t="n">
        <v>0</v>
      </c>
      <c r="H19" s="149" t="n">
        <v>0</v>
      </c>
      <c r="I19" s="150" t="n">
        <f aca="false">SUM(C19:H19)</f>
        <v>0</v>
      </c>
      <c r="J19" s="151" t="n">
        <v>0</v>
      </c>
      <c r="K19" s="152" t="n">
        <f aca="false">IF(J19&gt;0,I19/J19,0)</f>
        <v>0</v>
      </c>
      <c r="L19" s="152" t="str">
        <f aca="false">IF(J19&gt;0,I19/J19,"N/A")</f>
        <v>N/A</v>
      </c>
      <c r="M19" s="153" t="s">
        <v>550</v>
      </c>
      <c r="N19" s="11"/>
    </row>
    <row r="20" customFormat="false" ht="18" hidden="false" customHeight="true" outlineLevel="0" collapsed="false">
      <c r="B20" s="148" t="s">
        <v>4858</v>
      </c>
      <c r="C20" s="149" t="n">
        <v>0</v>
      </c>
      <c r="D20" s="149" t="n">
        <v>0</v>
      </c>
      <c r="E20" s="149" t="n">
        <v>0</v>
      </c>
      <c r="F20" s="149" t="n">
        <v>0</v>
      </c>
      <c r="G20" s="149" t="n">
        <v>0</v>
      </c>
      <c r="H20" s="149" t="n">
        <v>0</v>
      </c>
      <c r="I20" s="150" t="n">
        <f aca="false">SUM(C20:H20)</f>
        <v>0</v>
      </c>
      <c r="J20" s="151" t="n">
        <v>0</v>
      </c>
      <c r="K20" s="152" t="n">
        <f aca="false">IF(J20&gt;0,I20/J20,0)</f>
        <v>0</v>
      </c>
      <c r="L20" s="152" t="str">
        <f aca="false">IF(J20&gt;0,I20/J20,"N/A")</f>
        <v>N/A</v>
      </c>
      <c r="M20" s="153" t="s">
        <v>550</v>
      </c>
      <c r="N20" s="11"/>
    </row>
    <row r="21" customFormat="false" ht="18" hidden="false" customHeight="true" outlineLevel="0" collapsed="false">
      <c r="B21" s="148" t="s">
        <v>4859</v>
      </c>
      <c r="C21" s="154" t="n">
        <v>0</v>
      </c>
      <c r="D21" s="154" t="n">
        <v>0</v>
      </c>
      <c r="E21" s="154" t="n">
        <v>0</v>
      </c>
      <c r="F21" s="154" t="n">
        <v>0</v>
      </c>
      <c r="G21" s="154" t="n">
        <v>0</v>
      </c>
      <c r="H21" s="154" t="n">
        <v>0</v>
      </c>
      <c r="I21" s="155" t="n">
        <f aca="false">SUM(C21:H21)</f>
        <v>0</v>
      </c>
      <c r="J21" s="156" t="n">
        <v>0.015</v>
      </c>
      <c r="K21" s="152" t="n">
        <f aca="false">IF(J21&gt;0,I21/J21,0)</f>
        <v>0</v>
      </c>
      <c r="L21" s="152" t="n">
        <f aca="false">IF(J21&gt;0,I21/J21,"N/A")</f>
        <v>0</v>
      </c>
      <c r="M21" s="157" t="s">
        <v>4860</v>
      </c>
      <c r="N21" s="11"/>
    </row>
    <row r="22" customFormat="false" ht="18" hidden="false" customHeight="true" outlineLevel="0" collapsed="false">
      <c r="B22" s="148" t="s">
        <v>4861</v>
      </c>
      <c r="C22" s="149" t="n">
        <v>0</v>
      </c>
      <c r="D22" s="149" t="n">
        <v>0</v>
      </c>
      <c r="E22" s="149" t="n">
        <v>0</v>
      </c>
      <c r="F22" s="149" t="n">
        <v>0</v>
      </c>
      <c r="G22" s="149" t="n">
        <v>0</v>
      </c>
      <c r="H22" s="149" t="n">
        <v>0</v>
      </c>
      <c r="I22" s="150" t="n">
        <f aca="false">SUM(C22:H22)</f>
        <v>0</v>
      </c>
      <c r="J22" s="151" t="n">
        <v>0</v>
      </c>
      <c r="K22" s="152" t="n">
        <f aca="false">IF(J22&gt;0,I22/J22,0)</f>
        <v>0</v>
      </c>
      <c r="L22" s="152" t="str">
        <f aca="false">IF(J22&gt;0,I22/J22,"N/A")</f>
        <v>N/A</v>
      </c>
      <c r="M22" s="153" t="s">
        <v>550</v>
      </c>
      <c r="N22" s="11"/>
    </row>
    <row r="23" customFormat="false" ht="18" hidden="false" customHeight="true" outlineLevel="0" collapsed="false">
      <c r="B23" s="148" t="s">
        <v>4862</v>
      </c>
      <c r="C23" s="149" t="n">
        <v>0</v>
      </c>
      <c r="D23" s="149" t="n">
        <v>0</v>
      </c>
      <c r="E23" s="149" t="n">
        <v>0</v>
      </c>
      <c r="F23" s="149" t="n">
        <v>0</v>
      </c>
      <c r="G23" s="149" t="n">
        <v>0</v>
      </c>
      <c r="H23" s="149" t="n">
        <v>0</v>
      </c>
      <c r="I23" s="150" t="n">
        <f aca="false">SUM(C23:H23)</f>
        <v>0</v>
      </c>
      <c r="J23" s="151" t="n">
        <v>120000</v>
      </c>
      <c r="K23" s="152" t="n">
        <f aca="false">IF(J23&gt;0,I23/J23,0)</f>
        <v>0</v>
      </c>
      <c r="L23" s="152" t="n">
        <f aca="false">IF(J23&gt;0,I23/J23,"N/A")</f>
        <v>0</v>
      </c>
      <c r="M23" s="157" t="s">
        <v>4863</v>
      </c>
      <c r="N23" s="11"/>
    </row>
    <row r="24" customFormat="false" ht="18" hidden="false" customHeight="true" outlineLevel="0" collapsed="false">
      <c r="B24" s="148" t="s">
        <v>4864</v>
      </c>
      <c r="C24" s="154" t="n">
        <v>0</v>
      </c>
      <c r="D24" s="154" t="n">
        <v>0</v>
      </c>
      <c r="E24" s="154" t="n">
        <v>0</v>
      </c>
      <c r="F24" s="154" t="n">
        <v>0</v>
      </c>
      <c r="G24" s="154" t="n">
        <v>0</v>
      </c>
      <c r="H24" s="154" t="n">
        <v>0</v>
      </c>
      <c r="I24" s="155" t="n">
        <f aca="false">SUM(C24:H24)</f>
        <v>0</v>
      </c>
      <c r="J24" s="156" t="n">
        <v>0.45</v>
      </c>
      <c r="K24" s="152" t="n">
        <f aca="false">IF(J24&gt;0,I24/J24,0)</f>
        <v>0</v>
      </c>
      <c r="L24" s="152" t="n">
        <f aca="false">IF(J24&gt;0,I24/J24,"N/A")</f>
        <v>0</v>
      </c>
      <c r="M24" s="157" t="s">
        <v>4865</v>
      </c>
      <c r="N24" s="11"/>
    </row>
    <row r="25" customFormat="false" ht="18" hidden="false" customHeight="true" outlineLevel="0" collapsed="false">
      <c r="B25" s="148" t="s">
        <v>4866</v>
      </c>
      <c r="C25" s="149" t="n">
        <v>0</v>
      </c>
      <c r="D25" s="149" t="n">
        <v>0</v>
      </c>
      <c r="E25" s="149" t="n">
        <v>0</v>
      </c>
      <c r="F25" s="149" t="n">
        <v>0</v>
      </c>
      <c r="G25" s="149" t="n">
        <v>0</v>
      </c>
      <c r="H25" s="149" t="n">
        <v>0</v>
      </c>
      <c r="I25" s="150" t="n">
        <f aca="false">SUM(C25:H25)</f>
        <v>0</v>
      </c>
      <c r="J25" s="151" t="n">
        <v>0</v>
      </c>
      <c r="K25" s="152" t="n">
        <f aca="false">IF(J25&gt;0,I25/J25,0)</f>
        <v>0</v>
      </c>
      <c r="L25" s="152" t="str">
        <f aca="false">IF(J25&gt;0,I25/J25,"N/A")</f>
        <v>N/A</v>
      </c>
      <c r="M25" s="153" t="s">
        <v>550</v>
      </c>
      <c r="N25" s="11"/>
    </row>
    <row r="27" customFormat="false" ht="24" hidden="false" customHeight="true" outlineLevel="0" collapsed="false">
      <c r="B27" s="159" t="s">
        <v>4867</v>
      </c>
      <c r="C27" s="159"/>
      <c r="D27" s="159"/>
      <c r="E27" s="159"/>
      <c r="F27" s="159"/>
      <c r="G27" s="159"/>
      <c r="H27" s="159"/>
      <c r="I27" s="159"/>
      <c r="J27" s="159"/>
      <c r="K27" s="159"/>
      <c r="L27" s="159"/>
      <c r="M27" s="159"/>
      <c r="N27" s="159"/>
    </row>
    <row r="28" customFormat="false" ht="18" hidden="false" customHeight="true" outlineLevel="0" collapsed="false">
      <c r="B28" s="148" t="s">
        <v>4868</v>
      </c>
      <c r="C28" s="149" t="n">
        <v>0</v>
      </c>
      <c r="D28" s="149" t="n">
        <v>0</v>
      </c>
      <c r="E28" s="149" t="n">
        <v>0</v>
      </c>
      <c r="F28" s="149" t="n">
        <v>0</v>
      </c>
      <c r="G28" s="149" t="n">
        <v>0</v>
      </c>
      <c r="H28" s="149" t="n">
        <v>0</v>
      </c>
      <c r="I28" s="150" t="n">
        <f aca="false">SUM(C28:H28)</f>
        <v>0</v>
      </c>
      <c r="J28" s="151" t="n">
        <v>0</v>
      </c>
      <c r="K28" s="152" t="n">
        <f aca="false">IF(J28&gt;0,I28/J28,0)</f>
        <v>0</v>
      </c>
      <c r="L28" s="152" t="str">
        <f aca="false">IF(J28&gt;0,I28/J28,"N/A")</f>
        <v>N/A</v>
      </c>
      <c r="M28" s="153" t="s">
        <v>550</v>
      </c>
      <c r="N28" s="11"/>
    </row>
    <row r="29" customFormat="false" ht="18" hidden="false" customHeight="true" outlineLevel="0" collapsed="false">
      <c r="B29" s="148" t="s">
        <v>4869</v>
      </c>
      <c r="C29" s="149" t="n">
        <v>0</v>
      </c>
      <c r="D29" s="149" t="n">
        <v>0</v>
      </c>
      <c r="E29" s="149" t="n">
        <v>0</v>
      </c>
      <c r="F29" s="149" t="n">
        <v>0</v>
      </c>
      <c r="G29" s="149" t="n">
        <v>0</v>
      </c>
      <c r="H29" s="149" t="n">
        <v>0</v>
      </c>
      <c r="I29" s="150" t="n">
        <f aca="false">SUM(C29:H29)</f>
        <v>0</v>
      </c>
      <c r="J29" s="151" t="n">
        <v>0</v>
      </c>
      <c r="K29" s="152" t="n">
        <f aca="false">IF(J29&gt;0,I29/J29,0)</f>
        <v>0</v>
      </c>
      <c r="L29" s="152" t="str">
        <f aca="false">IF(J29&gt;0,I29/J29,"N/A")</f>
        <v>N/A</v>
      </c>
      <c r="M29" s="153" t="s">
        <v>550</v>
      </c>
      <c r="N29" s="11"/>
    </row>
    <row r="30" customFormat="false" ht="18" hidden="false" customHeight="true" outlineLevel="0" collapsed="false">
      <c r="B30" s="148" t="s">
        <v>4870</v>
      </c>
      <c r="C30" s="149" t="n">
        <v>0</v>
      </c>
      <c r="D30" s="149" t="n">
        <v>0</v>
      </c>
      <c r="E30" s="149" t="n">
        <v>0</v>
      </c>
      <c r="F30" s="149" t="n">
        <v>0</v>
      </c>
      <c r="G30" s="149" t="n">
        <v>0</v>
      </c>
      <c r="H30" s="149" t="n">
        <v>0</v>
      </c>
      <c r="I30" s="150" t="n">
        <f aca="false">SUM(C30:H30)</f>
        <v>0</v>
      </c>
      <c r="J30" s="151" t="n">
        <v>0</v>
      </c>
      <c r="K30" s="152" t="n">
        <f aca="false">IF(J30&gt;0,I30/J30,0)</f>
        <v>0</v>
      </c>
      <c r="L30" s="152" t="str">
        <f aca="false">IF(J30&gt;0,I30/J30,"N/A")</f>
        <v>N/A</v>
      </c>
      <c r="M30" s="153" t="s">
        <v>550</v>
      </c>
      <c r="N30" s="11"/>
    </row>
    <row r="31" customFormat="false" ht="18" hidden="false" customHeight="true" outlineLevel="0" collapsed="false">
      <c r="B31" s="148" t="s">
        <v>4871</v>
      </c>
      <c r="C31" s="149" t="n">
        <v>0</v>
      </c>
      <c r="D31" s="149" t="n">
        <v>0</v>
      </c>
      <c r="E31" s="149" t="n">
        <v>0</v>
      </c>
      <c r="F31" s="149" t="n">
        <v>0</v>
      </c>
      <c r="G31" s="149" t="n">
        <v>0</v>
      </c>
      <c r="H31" s="149" t="n">
        <v>0</v>
      </c>
      <c r="I31" s="150" t="n">
        <f aca="false">SUM(C31:H31)</f>
        <v>0</v>
      </c>
      <c r="J31" s="151" t="n">
        <v>90000</v>
      </c>
      <c r="K31" s="152" t="n">
        <f aca="false">IF(J31&gt;0,I31/J31,0)</f>
        <v>0</v>
      </c>
      <c r="L31" s="152" t="n">
        <f aca="false">IF(J31&gt;0,I31/J31,"N/A")</f>
        <v>0</v>
      </c>
      <c r="M31" s="157" t="s">
        <v>4872</v>
      </c>
      <c r="N31" s="11"/>
    </row>
    <row r="32" customFormat="false" ht="18" hidden="false" customHeight="true" outlineLevel="0" collapsed="false">
      <c r="B32" s="148" t="s">
        <v>4873</v>
      </c>
      <c r="C32" s="149" t="n">
        <v>0</v>
      </c>
      <c r="D32" s="149" t="n">
        <v>0</v>
      </c>
      <c r="E32" s="149" t="n">
        <v>0</v>
      </c>
      <c r="F32" s="149" t="n">
        <v>0</v>
      </c>
      <c r="G32" s="149" t="n">
        <v>0</v>
      </c>
      <c r="H32" s="149" t="n">
        <v>0</v>
      </c>
      <c r="I32" s="150" t="n">
        <f aca="false">SUM(C32:H32)</f>
        <v>0</v>
      </c>
      <c r="J32" s="151" t="n">
        <v>0</v>
      </c>
      <c r="K32" s="152" t="n">
        <f aca="false">IF(J32&gt;0,I32/J32,0)</f>
        <v>0</v>
      </c>
      <c r="L32" s="152" t="str">
        <f aca="false">IF(J32&gt;0,I32/J32,"N/A")</f>
        <v>N/A</v>
      </c>
      <c r="M32" s="153" t="s">
        <v>550</v>
      </c>
      <c r="N32" s="11"/>
    </row>
    <row r="33" customFormat="false" ht="18" hidden="false" customHeight="true" outlineLevel="0" collapsed="false">
      <c r="B33" s="148" t="s">
        <v>4874</v>
      </c>
      <c r="C33" s="149" t="n">
        <v>0</v>
      </c>
      <c r="D33" s="149" t="n">
        <v>0</v>
      </c>
      <c r="E33" s="149" t="n">
        <v>0</v>
      </c>
      <c r="F33" s="149" t="n">
        <v>0</v>
      </c>
      <c r="G33" s="149" t="n">
        <v>0</v>
      </c>
      <c r="H33" s="149" t="n">
        <v>0</v>
      </c>
      <c r="I33" s="150" t="n">
        <f aca="false">SUM(C33:H33)</f>
        <v>0</v>
      </c>
      <c r="J33" s="151" t="n">
        <v>0</v>
      </c>
      <c r="K33" s="152" t="n">
        <f aca="false">IF(J33&gt;0,I33/J33,0)</f>
        <v>0</v>
      </c>
      <c r="L33" s="152" t="str">
        <f aca="false">IF(J33&gt;0,I33/J33,"N/A")</f>
        <v>N/A</v>
      </c>
      <c r="M33" s="153" t="s">
        <v>550</v>
      </c>
      <c r="N33" s="11"/>
    </row>
    <row r="34" customFormat="false" ht="18" hidden="false" customHeight="true" outlineLevel="0" collapsed="false">
      <c r="B34" s="148" t="s">
        <v>4875</v>
      </c>
      <c r="C34" s="149" t="n">
        <v>0</v>
      </c>
      <c r="D34" s="149" t="n">
        <v>0</v>
      </c>
      <c r="E34" s="149" t="n">
        <v>0</v>
      </c>
      <c r="F34" s="149" t="n">
        <v>0</v>
      </c>
      <c r="G34" s="149" t="n">
        <v>0</v>
      </c>
      <c r="H34" s="149" t="n">
        <v>0</v>
      </c>
      <c r="I34" s="150" t="n">
        <f aca="false">SUM(C34:H34)</f>
        <v>0</v>
      </c>
      <c r="J34" s="151" t="n">
        <v>80000</v>
      </c>
      <c r="K34" s="152" t="n">
        <f aca="false">IF(J34&gt;0,I34/J34,0)</f>
        <v>0</v>
      </c>
      <c r="L34" s="152" t="n">
        <f aca="false">IF(J34&gt;0,I34/J34,"N/A")</f>
        <v>0</v>
      </c>
      <c r="M34" s="157" t="s">
        <v>4876</v>
      </c>
      <c r="N34" s="11"/>
    </row>
    <row r="36" customFormat="false" ht="24" hidden="false" customHeight="true" outlineLevel="0" collapsed="false">
      <c r="B36" s="160" t="s">
        <v>4877</v>
      </c>
      <c r="C36" s="160"/>
      <c r="D36" s="160"/>
      <c r="E36" s="160"/>
      <c r="F36" s="160"/>
      <c r="G36" s="160"/>
      <c r="H36" s="160"/>
      <c r="I36" s="160"/>
      <c r="J36" s="160"/>
      <c r="K36" s="160"/>
      <c r="L36" s="160"/>
      <c r="M36" s="160"/>
      <c r="N36" s="160"/>
    </row>
    <row r="37" customFormat="false" ht="18" hidden="false" customHeight="true" outlineLevel="0" collapsed="false">
      <c r="B37" s="148" t="s">
        <v>4878</v>
      </c>
      <c r="C37" s="149" t="n">
        <v>0</v>
      </c>
      <c r="D37" s="149" t="n">
        <v>0</v>
      </c>
      <c r="E37" s="149" t="n">
        <v>0</v>
      </c>
      <c r="F37" s="149" t="n">
        <v>0</v>
      </c>
      <c r="G37" s="149" t="n">
        <v>0</v>
      </c>
      <c r="H37" s="149" t="n">
        <v>0</v>
      </c>
      <c r="I37" s="150" t="n">
        <f aca="false">SUM(C37:H37)</f>
        <v>0</v>
      </c>
      <c r="J37" s="151" t="n">
        <v>0</v>
      </c>
      <c r="K37" s="152" t="n">
        <f aca="false">IF(J37&gt;0,I37/J37,0)</f>
        <v>0</v>
      </c>
      <c r="L37" s="152" t="str">
        <f aca="false">IF(J37&gt;0,I37/J37,"N/A")</f>
        <v>N/A</v>
      </c>
      <c r="M37" s="153" t="s">
        <v>550</v>
      </c>
      <c r="N37" s="11"/>
    </row>
    <row r="38" customFormat="false" ht="18" hidden="false" customHeight="true" outlineLevel="0" collapsed="false">
      <c r="B38" s="148" t="s">
        <v>4879</v>
      </c>
      <c r="C38" s="149" t="n">
        <v>0</v>
      </c>
      <c r="D38" s="149" t="n">
        <v>0</v>
      </c>
      <c r="E38" s="149" t="n">
        <v>0</v>
      </c>
      <c r="F38" s="149" t="n">
        <v>0</v>
      </c>
      <c r="G38" s="149" t="n">
        <v>0</v>
      </c>
      <c r="H38" s="149" t="n">
        <v>0</v>
      </c>
      <c r="I38" s="150" t="n">
        <f aca="false">SUM(C38:H38)</f>
        <v>0</v>
      </c>
      <c r="J38" s="151" t="n">
        <v>0</v>
      </c>
      <c r="K38" s="152" t="n">
        <f aca="false">IF(J38&gt;0,I38/J38,0)</f>
        <v>0</v>
      </c>
      <c r="L38" s="152" t="str">
        <f aca="false">IF(J38&gt;0,I38/J38,"N/A")</f>
        <v>N/A</v>
      </c>
      <c r="M38" s="153" t="s">
        <v>550</v>
      </c>
      <c r="N38" s="11"/>
    </row>
    <row r="39" customFormat="false" ht="18" hidden="false" customHeight="true" outlineLevel="0" collapsed="false">
      <c r="B39" s="148" t="s">
        <v>4880</v>
      </c>
      <c r="C39" s="154" t="n">
        <v>0</v>
      </c>
      <c r="D39" s="154" t="n">
        <v>0</v>
      </c>
      <c r="E39" s="154" t="n">
        <v>0</v>
      </c>
      <c r="F39" s="154" t="n">
        <v>0</v>
      </c>
      <c r="G39" s="154" t="n">
        <v>0</v>
      </c>
      <c r="H39" s="154" t="n">
        <v>0</v>
      </c>
      <c r="I39" s="155" t="n">
        <f aca="false">SUM(C39:H39)</f>
        <v>0</v>
      </c>
      <c r="J39" s="156" t="n">
        <v>0.85</v>
      </c>
      <c r="K39" s="152" t="n">
        <f aca="false">IF(J39&gt;0,I39/J39,0)</f>
        <v>0</v>
      </c>
      <c r="L39" s="152" t="n">
        <f aca="false">IF(J39&gt;0,I39/J39,"N/A")</f>
        <v>0</v>
      </c>
      <c r="M39" s="157" t="s">
        <v>4881</v>
      </c>
      <c r="N39" s="11"/>
    </row>
    <row r="40" customFormat="false" ht="18" hidden="false" customHeight="true" outlineLevel="0" collapsed="false">
      <c r="B40" s="148" t="s">
        <v>4882</v>
      </c>
      <c r="C40" s="154" t="n">
        <v>0</v>
      </c>
      <c r="D40" s="154" t="n">
        <v>0</v>
      </c>
      <c r="E40" s="154" t="n">
        <v>0</v>
      </c>
      <c r="F40" s="154" t="n">
        <v>0</v>
      </c>
      <c r="G40" s="154" t="n">
        <v>0</v>
      </c>
      <c r="H40" s="154" t="n">
        <v>0</v>
      </c>
      <c r="I40" s="155" t="n">
        <f aca="false">SUM(C40:H40)</f>
        <v>0</v>
      </c>
      <c r="J40" s="156" t="n">
        <v>0.45</v>
      </c>
      <c r="K40" s="152" t="n">
        <f aca="false">IF(J40&gt;0,I40/J40,0)</f>
        <v>0</v>
      </c>
      <c r="L40" s="152" t="n">
        <f aca="false">IF(J40&gt;0,I40/J40,"N/A")</f>
        <v>0</v>
      </c>
      <c r="M40" s="157" t="s">
        <v>4865</v>
      </c>
      <c r="N40" s="11"/>
    </row>
    <row r="41" customFormat="false" ht="18" hidden="false" customHeight="true" outlineLevel="0" collapsed="false">
      <c r="B41" s="148" t="s">
        <v>4883</v>
      </c>
      <c r="C41" s="149" t="n">
        <v>0</v>
      </c>
      <c r="D41" s="149" t="n">
        <v>0</v>
      </c>
      <c r="E41" s="149" t="n">
        <v>0</v>
      </c>
      <c r="F41" s="149" t="n">
        <v>0</v>
      </c>
      <c r="G41" s="149" t="n">
        <v>0</v>
      </c>
      <c r="H41" s="149" t="n">
        <v>0</v>
      </c>
      <c r="I41" s="150" t="n">
        <f aca="false">SUM(C41:H41)</f>
        <v>0</v>
      </c>
      <c r="J41" s="151" t="n">
        <v>0</v>
      </c>
      <c r="K41" s="152" t="n">
        <f aca="false">IF(J41&gt;0,I41/J41,0)</f>
        <v>0</v>
      </c>
      <c r="L41" s="152" t="str">
        <f aca="false">IF(J41&gt;0,I41/J41,"N/A")</f>
        <v>N/A</v>
      </c>
      <c r="M41" s="153" t="s">
        <v>550</v>
      </c>
      <c r="N41" s="11"/>
    </row>
    <row r="42" customFormat="false" ht="18" hidden="false" customHeight="true" outlineLevel="0" collapsed="false">
      <c r="B42" s="148" t="s">
        <v>4884</v>
      </c>
      <c r="C42" s="154" t="n">
        <v>0</v>
      </c>
      <c r="D42" s="154" t="n">
        <v>0</v>
      </c>
      <c r="E42" s="154" t="n">
        <v>0</v>
      </c>
      <c r="F42" s="154" t="n">
        <v>0</v>
      </c>
      <c r="G42" s="154" t="n">
        <v>0</v>
      </c>
      <c r="H42" s="154" t="n">
        <v>0</v>
      </c>
      <c r="I42" s="155" t="n">
        <f aca="false">SUM(C42:H42)</f>
        <v>0</v>
      </c>
      <c r="J42" s="156" t="n">
        <v>0.3</v>
      </c>
      <c r="K42" s="152" t="n">
        <f aca="false">IF(J42&gt;0,I42/J42,0)</f>
        <v>0</v>
      </c>
      <c r="L42" s="152" t="n">
        <f aca="false">IF(J42&gt;0,I42/J42,"N/A")</f>
        <v>0</v>
      </c>
      <c r="M42" s="157" t="s">
        <v>4885</v>
      </c>
      <c r="N42" s="11"/>
    </row>
    <row r="43" customFormat="false" ht="18" hidden="false" customHeight="true" outlineLevel="0" collapsed="false">
      <c r="B43" s="148" t="s">
        <v>4886</v>
      </c>
      <c r="C43" s="149" t="n">
        <v>0</v>
      </c>
      <c r="D43" s="149" t="n">
        <v>0</v>
      </c>
      <c r="E43" s="149" t="n">
        <v>0</v>
      </c>
      <c r="F43" s="149" t="n">
        <v>0</v>
      </c>
      <c r="G43" s="149" t="n">
        <v>0</v>
      </c>
      <c r="H43" s="149" t="n">
        <v>0</v>
      </c>
      <c r="I43" s="150" t="n">
        <f aca="false">SUM(C43:H43)</f>
        <v>0</v>
      </c>
      <c r="J43" s="151" t="n">
        <v>0</v>
      </c>
      <c r="K43" s="152" t="n">
        <f aca="false">IF(J43&gt;0,I43/J43,0)</f>
        <v>0</v>
      </c>
      <c r="L43" s="152" t="str">
        <f aca="false">IF(J43&gt;0,I43/J43,"N/A")</f>
        <v>N/A</v>
      </c>
      <c r="M43" s="153" t="s">
        <v>550</v>
      </c>
      <c r="N43" s="11"/>
    </row>
    <row r="44" customFormat="false" ht="18" hidden="false" customHeight="true" outlineLevel="0" collapsed="false">
      <c r="B44" s="148" t="s">
        <v>4887</v>
      </c>
      <c r="C44" s="154" t="n">
        <v>0</v>
      </c>
      <c r="D44" s="154" t="n">
        <v>0</v>
      </c>
      <c r="E44" s="154" t="n">
        <v>0</v>
      </c>
      <c r="F44" s="154" t="n">
        <v>0</v>
      </c>
      <c r="G44" s="154" t="n">
        <v>0</v>
      </c>
      <c r="H44" s="154" t="n">
        <v>0</v>
      </c>
      <c r="I44" s="155" t="n">
        <f aca="false">SUM(C44:H44)</f>
        <v>0</v>
      </c>
      <c r="J44" s="156" t="n">
        <v>0.65</v>
      </c>
      <c r="K44" s="152" t="n">
        <f aca="false">IF(J44&gt;0,I44/J44,0)</f>
        <v>0</v>
      </c>
      <c r="L44" s="152" t="n">
        <f aca="false">IF(J44&gt;0,I44/J44,"N/A")</f>
        <v>0</v>
      </c>
      <c r="M44" s="157" t="s">
        <v>4888</v>
      </c>
      <c r="N44" s="11"/>
    </row>
    <row r="45" customFormat="false" ht="18" hidden="false" customHeight="true" outlineLevel="0" collapsed="false">
      <c r="B45" s="148" t="s">
        <v>4889</v>
      </c>
      <c r="C45" s="149" t="n">
        <v>0</v>
      </c>
      <c r="D45" s="149" t="n">
        <v>0</v>
      </c>
      <c r="E45" s="149" t="n">
        <v>0</v>
      </c>
      <c r="F45" s="149" t="n">
        <v>0</v>
      </c>
      <c r="G45" s="149" t="n">
        <v>0</v>
      </c>
      <c r="H45" s="149" t="n">
        <v>0</v>
      </c>
      <c r="I45" s="150" t="n">
        <f aca="false">SUM(C45:H45)</f>
        <v>0</v>
      </c>
      <c r="J45" s="151" t="n">
        <v>0</v>
      </c>
      <c r="K45" s="152" t="n">
        <f aca="false">IF(J45&gt;0,I45/J45,0)</f>
        <v>0</v>
      </c>
      <c r="L45" s="152" t="str">
        <f aca="false">IF(J45&gt;0,I45/J45,"N/A")</f>
        <v>N/A</v>
      </c>
      <c r="M45" s="153" t="s">
        <v>550</v>
      </c>
      <c r="N45" s="11"/>
    </row>
    <row r="46" customFormat="false" ht="18" hidden="false" customHeight="true" outlineLevel="0" collapsed="false">
      <c r="B46" s="148" t="s">
        <v>4890</v>
      </c>
      <c r="C46" s="149" t="n">
        <v>0</v>
      </c>
      <c r="D46" s="149" t="n">
        <v>0</v>
      </c>
      <c r="E46" s="149" t="n">
        <v>0</v>
      </c>
      <c r="F46" s="149" t="n">
        <v>0</v>
      </c>
      <c r="G46" s="149" t="n">
        <v>0</v>
      </c>
      <c r="H46" s="149" t="n">
        <v>0</v>
      </c>
      <c r="I46" s="150" t="n">
        <f aca="false">SUM(C46:H46)</f>
        <v>0</v>
      </c>
      <c r="J46" s="151" t="n">
        <v>0</v>
      </c>
      <c r="K46" s="152" t="n">
        <f aca="false">IF(J46&gt;0,I46/J46,0)</f>
        <v>0</v>
      </c>
      <c r="L46" s="152" t="str">
        <f aca="false">IF(J46&gt;0,I46/J46,"N/A")</f>
        <v>N/A</v>
      </c>
      <c r="M46" s="153" t="s">
        <v>550</v>
      </c>
      <c r="N46" s="11"/>
    </row>
    <row r="47" customFormat="false" ht="18" hidden="false" customHeight="true" outlineLevel="0" collapsed="false">
      <c r="B47" s="148" t="s">
        <v>4891</v>
      </c>
      <c r="C47" s="149" t="n">
        <v>0</v>
      </c>
      <c r="D47" s="149" t="n">
        <v>0</v>
      </c>
      <c r="E47" s="149" t="n">
        <v>0</v>
      </c>
      <c r="F47" s="149" t="n">
        <v>0</v>
      </c>
      <c r="G47" s="149" t="n">
        <v>0</v>
      </c>
      <c r="H47" s="149" t="n">
        <v>0</v>
      </c>
      <c r="I47" s="150" t="n">
        <f aca="false">SUM(C47:H47)</f>
        <v>0</v>
      </c>
      <c r="J47" s="151" t="n">
        <v>0</v>
      </c>
      <c r="K47" s="152" t="n">
        <f aca="false">IF(J47&gt;0,I47/J47,0)</f>
        <v>0</v>
      </c>
      <c r="L47" s="152" t="str">
        <f aca="false">IF(J47&gt;0,I47/J47,"N/A")</f>
        <v>N/A</v>
      </c>
      <c r="M47" s="153" t="s">
        <v>550</v>
      </c>
      <c r="N47" s="11"/>
    </row>
    <row r="48" customFormat="false" ht="18" hidden="false" customHeight="true" outlineLevel="0" collapsed="false">
      <c r="B48" s="148" t="s">
        <v>4892</v>
      </c>
      <c r="C48" s="154" t="n">
        <v>0</v>
      </c>
      <c r="D48" s="154" t="n">
        <v>0</v>
      </c>
      <c r="E48" s="154" t="n">
        <v>0</v>
      </c>
      <c r="F48" s="154" t="n">
        <v>0</v>
      </c>
      <c r="G48" s="154" t="n">
        <v>0</v>
      </c>
      <c r="H48" s="154" t="n">
        <v>0</v>
      </c>
      <c r="I48" s="155" t="n">
        <f aca="false">SUM(C48:H48)</f>
        <v>0</v>
      </c>
      <c r="J48" s="156" t="n">
        <v>0.35</v>
      </c>
      <c r="K48" s="152" t="n">
        <f aca="false">IF(J48&gt;0,I48/J48,0)</f>
        <v>0</v>
      </c>
      <c r="L48" s="152" t="n">
        <f aca="false">IF(J48&gt;0,I48/J48,"N/A")</f>
        <v>0</v>
      </c>
      <c r="M48" s="157" t="s">
        <v>4893</v>
      </c>
      <c r="N48" s="11"/>
    </row>
    <row r="50" customFormat="false" ht="24" hidden="false" customHeight="true" outlineLevel="0" collapsed="false">
      <c r="B50" s="161" t="s">
        <v>4894</v>
      </c>
      <c r="C50" s="161"/>
      <c r="D50" s="161"/>
      <c r="E50" s="161"/>
      <c r="F50" s="161"/>
      <c r="G50" s="161"/>
      <c r="H50" s="161"/>
      <c r="I50" s="161"/>
      <c r="J50" s="161"/>
      <c r="K50" s="161"/>
      <c r="L50" s="161"/>
      <c r="M50" s="161"/>
      <c r="N50" s="161"/>
    </row>
    <row r="51" customFormat="false" ht="18" hidden="false" customHeight="true" outlineLevel="0" collapsed="false">
      <c r="B51" s="148" t="s">
        <v>4895</v>
      </c>
      <c r="C51" s="162" t="n">
        <v>0</v>
      </c>
      <c r="D51" s="162" t="n">
        <v>0</v>
      </c>
      <c r="E51" s="162" t="n">
        <v>0</v>
      </c>
      <c r="F51" s="162" t="n">
        <v>0</v>
      </c>
      <c r="G51" s="162" t="n">
        <v>0</v>
      </c>
      <c r="H51" s="162" t="n">
        <v>0</v>
      </c>
      <c r="I51" s="163" t="n">
        <f aca="false">SUM(C51:H51)</f>
        <v>0</v>
      </c>
      <c r="J51" s="164" t="n">
        <v>1</v>
      </c>
      <c r="K51" s="152" t="n">
        <f aca="false">IF(J51&gt;0,I51/J51,0)</f>
        <v>0</v>
      </c>
      <c r="L51" s="152" t="n">
        <f aca="false">IF(J51&gt;0,I51/J51,"N/A")</f>
        <v>0</v>
      </c>
      <c r="M51" s="157" t="s">
        <v>4896</v>
      </c>
      <c r="N51" s="11"/>
    </row>
    <row r="52" customFormat="false" ht="18" hidden="false" customHeight="true" outlineLevel="0" collapsed="false">
      <c r="B52" s="148" t="s">
        <v>4897</v>
      </c>
      <c r="C52" s="149" t="n">
        <v>0</v>
      </c>
      <c r="D52" s="149" t="n">
        <v>0</v>
      </c>
      <c r="E52" s="149" t="n">
        <v>0</v>
      </c>
      <c r="F52" s="149" t="n">
        <v>0</v>
      </c>
      <c r="G52" s="149" t="n">
        <v>0</v>
      </c>
      <c r="H52" s="149" t="n">
        <v>0</v>
      </c>
      <c r="I52" s="150" t="n">
        <f aca="false">SUM(C52:H52)</f>
        <v>0</v>
      </c>
      <c r="J52" s="151" t="n">
        <v>0</v>
      </c>
      <c r="K52" s="152" t="n">
        <f aca="false">IF(J52&gt;0,I52/J52,0)</f>
        <v>0</v>
      </c>
      <c r="L52" s="152" t="str">
        <f aca="false">IF(J52&gt;0,I52/J52,"N/A")</f>
        <v>N/A</v>
      </c>
      <c r="M52" s="153" t="s">
        <v>550</v>
      </c>
      <c r="N52" s="11"/>
    </row>
    <row r="53" customFormat="false" ht="18" hidden="false" customHeight="true" outlineLevel="0" collapsed="false">
      <c r="B53" s="148" t="s">
        <v>4898</v>
      </c>
      <c r="C53" s="149" t="n">
        <v>0</v>
      </c>
      <c r="D53" s="149" t="n">
        <v>0</v>
      </c>
      <c r="E53" s="149" t="n">
        <v>0</v>
      </c>
      <c r="F53" s="149" t="n">
        <v>0</v>
      </c>
      <c r="G53" s="149" t="n">
        <v>0</v>
      </c>
      <c r="H53" s="149" t="n">
        <v>0</v>
      </c>
      <c r="I53" s="150" t="n">
        <f aca="false">SUM(C53:H53)</f>
        <v>0</v>
      </c>
      <c r="J53" s="151" t="n">
        <v>0</v>
      </c>
      <c r="K53" s="152" t="n">
        <f aca="false">IF(J53&gt;0,I53/J53,0)</f>
        <v>0</v>
      </c>
      <c r="L53" s="152" t="str">
        <f aca="false">IF(J53&gt;0,I53/J53,"N/A")</f>
        <v>N/A</v>
      </c>
      <c r="M53" s="153" t="s">
        <v>550</v>
      </c>
      <c r="N53" s="11"/>
    </row>
    <row r="54" customFormat="false" ht="18" hidden="false" customHeight="true" outlineLevel="0" collapsed="false">
      <c r="B54" s="148" t="s">
        <v>4899</v>
      </c>
      <c r="C54" s="149" t="n">
        <v>0</v>
      </c>
      <c r="D54" s="149" t="n">
        <v>0</v>
      </c>
      <c r="E54" s="149" t="n">
        <v>0</v>
      </c>
      <c r="F54" s="149" t="n">
        <v>0</v>
      </c>
      <c r="G54" s="149" t="n">
        <v>0</v>
      </c>
      <c r="H54" s="149" t="n">
        <v>0</v>
      </c>
      <c r="I54" s="150" t="n">
        <f aca="false">SUM(C54:H54)</f>
        <v>0</v>
      </c>
      <c r="J54" s="151" t="n">
        <v>0</v>
      </c>
      <c r="K54" s="152" t="n">
        <f aca="false">IF(J54&gt;0,I54/J54,0)</f>
        <v>0</v>
      </c>
      <c r="L54" s="152" t="str">
        <f aca="false">IF(J54&gt;0,I54/J54,"N/A")</f>
        <v>N/A</v>
      </c>
      <c r="M54" s="153" t="s">
        <v>550</v>
      </c>
      <c r="N54" s="11"/>
    </row>
    <row r="55" customFormat="false" ht="18" hidden="false" customHeight="true" outlineLevel="0" collapsed="false">
      <c r="B55" s="148" t="s">
        <v>4900</v>
      </c>
      <c r="C55" s="154" t="n">
        <v>0</v>
      </c>
      <c r="D55" s="154" t="n">
        <v>0</v>
      </c>
      <c r="E55" s="154" t="n">
        <v>0</v>
      </c>
      <c r="F55" s="154" t="n">
        <v>0</v>
      </c>
      <c r="G55" s="154" t="n">
        <v>0</v>
      </c>
      <c r="H55" s="154" t="n">
        <v>0</v>
      </c>
      <c r="I55" s="155" t="n">
        <f aca="false">SUM(C55:H55)</f>
        <v>0</v>
      </c>
      <c r="J55" s="156" t="n">
        <v>0.7</v>
      </c>
      <c r="K55" s="152" t="n">
        <f aca="false">IF(J55&gt;0,I55/J55,0)</f>
        <v>0</v>
      </c>
      <c r="L55" s="152" t="n">
        <f aca="false">IF(J55&gt;0,I55/J55,"N/A")</f>
        <v>0</v>
      </c>
      <c r="M55" s="157" t="s">
        <v>4888</v>
      </c>
      <c r="N55" s="11"/>
    </row>
    <row r="56" customFormat="false" ht="18" hidden="false" customHeight="true" outlineLevel="0" collapsed="false">
      <c r="B56" s="148" t="s">
        <v>4901</v>
      </c>
      <c r="C56" s="149" t="n">
        <v>0</v>
      </c>
      <c r="D56" s="149" t="n">
        <v>0</v>
      </c>
      <c r="E56" s="149" t="n">
        <v>0</v>
      </c>
      <c r="F56" s="149" t="n">
        <v>0</v>
      </c>
      <c r="G56" s="149" t="n">
        <v>0</v>
      </c>
      <c r="H56" s="149" t="n">
        <v>0</v>
      </c>
      <c r="I56" s="150" t="n">
        <f aca="false">SUM(C56:H56)</f>
        <v>0</v>
      </c>
      <c r="J56" s="151" t="n">
        <v>0</v>
      </c>
      <c r="K56" s="152" t="n">
        <f aca="false">IF(J56&gt;0,I56/J56,0)</f>
        <v>0</v>
      </c>
      <c r="L56" s="152" t="str">
        <f aca="false">IF(J56&gt;0,I56/J56,"N/A")</f>
        <v>N/A</v>
      </c>
      <c r="M56" s="153" t="s">
        <v>550</v>
      </c>
      <c r="N56" s="11"/>
    </row>
    <row r="57" customFormat="false" ht="18" hidden="false" customHeight="true" outlineLevel="0" collapsed="false">
      <c r="B57" s="148" t="s">
        <v>4902</v>
      </c>
      <c r="C57" s="149" t="n">
        <v>0</v>
      </c>
      <c r="D57" s="149" t="n">
        <v>0</v>
      </c>
      <c r="E57" s="149" t="n">
        <v>0</v>
      </c>
      <c r="F57" s="149" t="n">
        <v>0</v>
      </c>
      <c r="G57" s="149" t="n">
        <v>0</v>
      </c>
      <c r="H57" s="149" t="n">
        <v>0</v>
      </c>
      <c r="I57" s="150" t="n">
        <f aca="false">SUM(C57:H57)</f>
        <v>0</v>
      </c>
      <c r="J57" s="151" t="n">
        <v>0</v>
      </c>
      <c r="K57" s="152" t="n">
        <f aca="false">IF(J57&gt;0,I57/J57,0)</f>
        <v>0</v>
      </c>
      <c r="L57" s="152" t="str">
        <f aca="false">IF(J57&gt;0,I57/J57,"N/A")</f>
        <v>N/A</v>
      </c>
      <c r="M57" s="153" t="s">
        <v>550</v>
      </c>
      <c r="N57" s="11"/>
    </row>
  </sheetData>
  <mergeCells count="7">
    <mergeCell ref="B1:N1"/>
    <mergeCell ref="B2:N2"/>
    <mergeCell ref="B4:N4"/>
    <mergeCell ref="B17:N17"/>
    <mergeCell ref="B27:N27"/>
    <mergeCell ref="B36:N36"/>
    <mergeCell ref="B50:N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20"/>
    <col collapsed="false" customWidth="true" hidden="false" outlineLevel="0" max="4" min="4" style="1" width="35"/>
    <col collapsed="false" customWidth="true" hidden="false" outlineLevel="0" max="5" min="5" style="1" width="50"/>
    <col collapsed="false" customWidth="true" hidden="false" outlineLevel="0" max="8" min="6" style="1" width="18"/>
    <col collapsed="false" customWidth="true" hidden="false" outlineLevel="0" max="9" min="9" style="1" width="12"/>
  </cols>
  <sheetData>
    <row r="1" customFormat="false" ht="36" hidden="false" customHeight="true" outlineLevel="0" collapsed="false">
      <c r="B1" s="144" t="s">
        <v>4903</v>
      </c>
      <c r="C1" s="144"/>
      <c r="D1" s="144"/>
      <c r="E1" s="144"/>
      <c r="F1" s="144"/>
      <c r="G1" s="144"/>
      <c r="H1" s="144"/>
      <c r="I1" s="144"/>
    </row>
    <row r="2" customFormat="false" ht="27.75" hidden="false" customHeight="true" outlineLevel="0" collapsed="false">
      <c r="B2" s="145" t="s">
        <v>4904</v>
      </c>
      <c r="C2" s="145"/>
      <c r="D2" s="145"/>
      <c r="E2" s="145"/>
      <c r="F2" s="145"/>
      <c r="G2" s="145"/>
      <c r="H2" s="145"/>
      <c r="I2" s="145"/>
    </row>
    <row r="3" customFormat="false" ht="21.75" hidden="false" customHeight="true" outlineLevel="0" collapsed="false">
      <c r="B3" s="146" t="s">
        <v>638</v>
      </c>
      <c r="C3" s="146" t="s">
        <v>4905</v>
      </c>
      <c r="D3" s="146" t="s">
        <v>1839</v>
      </c>
      <c r="E3" s="146" t="s">
        <v>4906</v>
      </c>
      <c r="F3" s="146" t="s">
        <v>1838</v>
      </c>
      <c r="G3" s="146" t="s">
        <v>1843</v>
      </c>
      <c r="H3" s="146" t="s">
        <v>412</v>
      </c>
      <c r="I3" s="146" t="s">
        <v>440</v>
      </c>
    </row>
    <row r="4" customFormat="false" ht="21.75" hidden="false" customHeight="true" outlineLevel="0" collapsed="false">
      <c r="B4" s="165" t="s">
        <v>4907</v>
      </c>
      <c r="C4" s="165"/>
      <c r="D4" s="165"/>
      <c r="E4" s="165"/>
      <c r="F4" s="165"/>
      <c r="G4" s="165"/>
      <c r="H4" s="165"/>
      <c r="I4" s="165"/>
    </row>
    <row r="5" customFormat="false" ht="27.75" hidden="false" customHeight="true" outlineLevel="0" collapsed="false">
      <c r="B5" s="166" t="n">
        <v>2</v>
      </c>
      <c r="C5" s="167" t="s">
        <v>904</v>
      </c>
      <c r="D5" s="168" t="s">
        <v>4908</v>
      </c>
      <c r="E5" s="169" t="s">
        <v>4909</v>
      </c>
      <c r="F5" s="170" t="s">
        <v>1844</v>
      </c>
      <c r="G5" s="171" t="s">
        <v>4910</v>
      </c>
      <c r="H5" s="172" t="s">
        <v>1759</v>
      </c>
      <c r="I5" s="173"/>
    </row>
    <row r="6" customFormat="false" ht="27.75" hidden="false" customHeight="true" outlineLevel="0" collapsed="false">
      <c r="B6" s="174" t="n">
        <v>3</v>
      </c>
      <c r="C6" s="175" t="s">
        <v>904</v>
      </c>
      <c r="D6" s="22" t="s">
        <v>4063</v>
      </c>
      <c r="E6" s="176" t="s">
        <v>4911</v>
      </c>
      <c r="F6" s="177" t="s">
        <v>1850</v>
      </c>
      <c r="G6" s="28" t="s">
        <v>4910</v>
      </c>
      <c r="H6" s="178" t="s">
        <v>1759</v>
      </c>
      <c r="I6" s="29"/>
    </row>
    <row r="7" customFormat="false" ht="27.75" hidden="false" customHeight="true" outlineLevel="0" collapsed="false">
      <c r="B7" s="166" t="n">
        <v>4</v>
      </c>
      <c r="C7" s="167" t="s">
        <v>619</v>
      </c>
      <c r="D7" s="168" t="s">
        <v>4912</v>
      </c>
      <c r="E7" s="169" t="s">
        <v>4913</v>
      </c>
      <c r="F7" s="170" t="s">
        <v>4914</v>
      </c>
      <c r="G7" s="171" t="s">
        <v>4910</v>
      </c>
      <c r="H7" s="172" t="s">
        <v>1759</v>
      </c>
      <c r="I7" s="173"/>
    </row>
    <row r="8" customFormat="false" ht="27.75" hidden="false" customHeight="true" outlineLevel="0" collapsed="false">
      <c r="B8" s="174" t="n">
        <v>5</v>
      </c>
      <c r="C8" s="175" t="s">
        <v>619</v>
      </c>
      <c r="D8" s="22" t="s">
        <v>4915</v>
      </c>
      <c r="E8" s="176" t="s">
        <v>4916</v>
      </c>
      <c r="F8" s="177" t="s">
        <v>1856</v>
      </c>
      <c r="G8" s="28" t="s">
        <v>4910</v>
      </c>
      <c r="H8" s="178" t="s">
        <v>1759</v>
      </c>
      <c r="I8" s="29"/>
    </row>
    <row r="9" customFormat="false" ht="27.75" hidden="false" customHeight="true" outlineLevel="0" collapsed="false">
      <c r="B9" s="166" t="n">
        <v>6</v>
      </c>
      <c r="C9" s="167" t="s">
        <v>845</v>
      </c>
      <c r="D9" s="168" t="s">
        <v>4917</v>
      </c>
      <c r="E9" s="169" t="s">
        <v>4918</v>
      </c>
      <c r="F9" s="170" t="s">
        <v>4919</v>
      </c>
      <c r="G9" s="171" t="s">
        <v>522</v>
      </c>
      <c r="H9" s="172" t="s">
        <v>1759</v>
      </c>
      <c r="I9" s="173"/>
    </row>
    <row r="10" customFormat="false" ht="27.75" hidden="false" customHeight="true" outlineLevel="0" collapsed="false">
      <c r="B10" s="174" t="n">
        <v>7</v>
      </c>
      <c r="C10" s="175" t="s">
        <v>826</v>
      </c>
      <c r="D10" s="22" t="s">
        <v>4920</v>
      </c>
      <c r="E10" s="176" t="s">
        <v>4921</v>
      </c>
      <c r="F10" s="177" t="s">
        <v>4922</v>
      </c>
      <c r="G10" s="28" t="s">
        <v>4923</v>
      </c>
      <c r="H10" s="178" t="s">
        <v>1759</v>
      </c>
      <c r="I10" s="29"/>
    </row>
    <row r="11" customFormat="false" ht="27.75" hidden="false" customHeight="true" outlineLevel="0" collapsed="false">
      <c r="B11" s="166" t="n">
        <v>8</v>
      </c>
      <c r="C11" s="167" t="s">
        <v>4924</v>
      </c>
      <c r="D11" s="168" t="s">
        <v>4925</v>
      </c>
      <c r="E11" s="169" t="s">
        <v>4926</v>
      </c>
      <c r="F11" s="170" t="s">
        <v>2555</v>
      </c>
      <c r="G11" s="171" t="s">
        <v>4927</v>
      </c>
      <c r="H11" s="172" t="s">
        <v>1759</v>
      </c>
      <c r="I11" s="173"/>
    </row>
    <row r="12" customFormat="false" ht="27.75" hidden="false" customHeight="true" outlineLevel="0" collapsed="false">
      <c r="B12" s="174" t="n">
        <v>9</v>
      </c>
      <c r="C12" s="175" t="s">
        <v>4924</v>
      </c>
      <c r="D12" s="22" t="s">
        <v>4928</v>
      </c>
      <c r="E12" s="176" t="s">
        <v>4929</v>
      </c>
      <c r="F12" s="177" t="s">
        <v>4930</v>
      </c>
      <c r="G12" s="28" t="s">
        <v>4931</v>
      </c>
      <c r="H12" s="178" t="s">
        <v>1759</v>
      </c>
      <c r="I12" s="29"/>
    </row>
    <row r="13" customFormat="false" ht="21.75" hidden="false" customHeight="true" outlineLevel="0" collapsed="false">
      <c r="B13" s="179" t="s">
        <v>4932</v>
      </c>
      <c r="C13" s="179"/>
      <c r="D13" s="179"/>
      <c r="E13" s="179"/>
      <c r="F13" s="179"/>
      <c r="G13" s="179"/>
      <c r="H13" s="179"/>
      <c r="I13" s="179"/>
    </row>
    <row r="14" customFormat="false" ht="27.75" hidden="false" customHeight="true" outlineLevel="0" collapsed="false">
      <c r="B14" s="174" t="n">
        <v>11</v>
      </c>
      <c r="C14" s="175" t="s">
        <v>4924</v>
      </c>
      <c r="D14" s="22" t="s">
        <v>4933</v>
      </c>
      <c r="E14" s="176" t="s">
        <v>4934</v>
      </c>
      <c r="F14" s="177" t="s">
        <v>4935</v>
      </c>
      <c r="G14" s="28" t="s">
        <v>4931</v>
      </c>
      <c r="H14" s="178" t="s">
        <v>1759</v>
      </c>
      <c r="I14" s="29"/>
    </row>
    <row r="15" customFormat="false" ht="27.75" hidden="false" customHeight="true" outlineLevel="0" collapsed="false">
      <c r="B15" s="166" t="n">
        <v>12</v>
      </c>
      <c r="C15" s="167" t="s">
        <v>904</v>
      </c>
      <c r="D15" s="168" t="s">
        <v>4936</v>
      </c>
      <c r="E15" s="169" t="s">
        <v>4937</v>
      </c>
      <c r="F15" s="170" t="s">
        <v>4938</v>
      </c>
      <c r="G15" s="171" t="s">
        <v>4910</v>
      </c>
      <c r="H15" s="172" t="s">
        <v>1759</v>
      </c>
      <c r="I15" s="173"/>
    </row>
    <row r="16" customFormat="false" ht="27.75" hidden="false" customHeight="true" outlineLevel="0" collapsed="false">
      <c r="B16" s="174" t="n">
        <v>13</v>
      </c>
      <c r="C16" s="175" t="s">
        <v>1724</v>
      </c>
      <c r="D16" s="22" t="s">
        <v>4939</v>
      </c>
      <c r="E16" s="176" t="s">
        <v>4940</v>
      </c>
      <c r="F16" s="177" t="s">
        <v>4941</v>
      </c>
      <c r="G16" s="28" t="s">
        <v>4942</v>
      </c>
      <c r="H16" s="178" t="s">
        <v>1759</v>
      </c>
      <c r="I16" s="29"/>
    </row>
    <row r="17" customFormat="false" ht="21.75" hidden="false" customHeight="true" outlineLevel="0" collapsed="false">
      <c r="B17" s="180" t="s">
        <v>4943</v>
      </c>
      <c r="C17" s="180"/>
      <c r="D17" s="180"/>
      <c r="E17" s="180"/>
      <c r="F17" s="180"/>
      <c r="G17" s="180"/>
      <c r="H17" s="180"/>
      <c r="I17" s="180"/>
    </row>
    <row r="18" customFormat="false" ht="27.75" hidden="false" customHeight="true" outlineLevel="0" collapsed="false">
      <c r="B18" s="174" t="n">
        <v>15</v>
      </c>
      <c r="C18" s="175" t="s">
        <v>4924</v>
      </c>
      <c r="D18" s="22" t="s">
        <v>4944</v>
      </c>
      <c r="E18" s="176" t="s">
        <v>4945</v>
      </c>
      <c r="F18" s="177" t="s">
        <v>1866</v>
      </c>
      <c r="G18" s="28" t="s">
        <v>4931</v>
      </c>
      <c r="H18" s="178" t="s">
        <v>1759</v>
      </c>
      <c r="I18" s="29"/>
    </row>
    <row r="19" customFormat="false" ht="27.75" hidden="false" customHeight="true" outlineLevel="0" collapsed="false">
      <c r="B19" s="166" t="n">
        <v>16</v>
      </c>
      <c r="C19" s="167" t="s">
        <v>619</v>
      </c>
      <c r="D19" s="168" t="s">
        <v>4946</v>
      </c>
      <c r="E19" s="169" t="s">
        <v>4947</v>
      </c>
      <c r="F19" s="170" t="s">
        <v>4948</v>
      </c>
      <c r="G19" s="171" t="s">
        <v>4910</v>
      </c>
      <c r="H19" s="172" t="s">
        <v>1759</v>
      </c>
      <c r="I19" s="173"/>
    </row>
    <row r="20" customFormat="false" ht="27.75" hidden="false" customHeight="true" outlineLevel="0" collapsed="false">
      <c r="B20" s="174" t="n">
        <v>17</v>
      </c>
      <c r="C20" s="175" t="s">
        <v>606</v>
      </c>
      <c r="D20" s="22" t="s">
        <v>4949</v>
      </c>
      <c r="E20" s="176" t="s">
        <v>4950</v>
      </c>
      <c r="F20" s="177" t="s">
        <v>1871</v>
      </c>
      <c r="G20" s="28" t="s">
        <v>604</v>
      </c>
      <c r="H20" s="178" t="s">
        <v>1759</v>
      </c>
      <c r="I20" s="29"/>
    </row>
    <row r="21" customFormat="false" ht="27.75" hidden="false" customHeight="true" outlineLevel="0" collapsed="false">
      <c r="B21" s="166" t="n">
        <v>18</v>
      </c>
      <c r="C21" s="167" t="s">
        <v>1724</v>
      </c>
      <c r="D21" s="168" t="s">
        <v>4951</v>
      </c>
      <c r="E21" s="169" t="s">
        <v>4952</v>
      </c>
      <c r="F21" s="170" t="s">
        <v>1871</v>
      </c>
      <c r="G21" s="171" t="s">
        <v>4942</v>
      </c>
      <c r="H21" s="172" t="s">
        <v>1759</v>
      </c>
      <c r="I21" s="173"/>
    </row>
    <row r="22" customFormat="false" ht="27.75" hidden="false" customHeight="true" outlineLevel="0" collapsed="false">
      <c r="B22" s="174" t="n">
        <v>19</v>
      </c>
      <c r="C22" s="175" t="s">
        <v>4924</v>
      </c>
      <c r="D22" s="22" t="s">
        <v>3620</v>
      </c>
      <c r="E22" s="176" t="s">
        <v>4953</v>
      </c>
      <c r="F22" s="177" t="s">
        <v>1876</v>
      </c>
      <c r="G22" s="28" t="s">
        <v>4931</v>
      </c>
      <c r="H22" s="178" t="s">
        <v>1759</v>
      </c>
      <c r="I22" s="29"/>
    </row>
    <row r="23" customFormat="false" ht="21.75" hidden="false" customHeight="true" outlineLevel="0" collapsed="false">
      <c r="B23" s="181" t="s">
        <v>4954</v>
      </c>
      <c r="C23" s="181"/>
      <c r="D23" s="181"/>
      <c r="E23" s="181"/>
      <c r="F23" s="181"/>
      <c r="G23" s="181"/>
      <c r="H23" s="181"/>
      <c r="I23" s="181"/>
    </row>
    <row r="24" customFormat="false" ht="27.75" hidden="false" customHeight="true" outlineLevel="0" collapsed="false">
      <c r="B24" s="174" t="n">
        <v>21</v>
      </c>
      <c r="C24" s="175" t="s">
        <v>3662</v>
      </c>
      <c r="D24" s="22" t="s">
        <v>4955</v>
      </c>
      <c r="E24" s="176" t="s">
        <v>4956</v>
      </c>
      <c r="F24" s="177" t="s">
        <v>1876</v>
      </c>
      <c r="G24" s="28" t="s">
        <v>4910</v>
      </c>
      <c r="H24" s="178" t="s">
        <v>1759</v>
      </c>
      <c r="I24" s="29"/>
    </row>
    <row r="25" customFormat="false" ht="27.75" hidden="false" customHeight="true" outlineLevel="0" collapsed="false">
      <c r="B25" s="166" t="n">
        <v>22</v>
      </c>
      <c r="C25" s="167" t="s">
        <v>904</v>
      </c>
      <c r="D25" s="168" t="s">
        <v>4957</v>
      </c>
      <c r="E25" s="169" t="s">
        <v>4958</v>
      </c>
      <c r="F25" s="170" t="s">
        <v>4959</v>
      </c>
      <c r="G25" s="171" t="s">
        <v>4910</v>
      </c>
      <c r="H25" s="172" t="s">
        <v>1759</v>
      </c>
      <c r="I25" s="173"/>
    </row>
    <row r="26" customFormat="false" ht="27.75" hidden="false" customHeight="true" outlineLevel="0" collapsed="false">
      <c r="B26" s="174" t="n">
        <v>23</v>
      </c>
      <c r="C26" s="175" t="s">
        <v>458</v>
      </c>
      <c r="D26" s="22" t="s">
        <v>4960</v>
      </c>
      <c r="E26" s="176" t="s">
        <v>4961</v>
      </c>
      <c r="F26" s="177" t="s">
        <v>4962</v>
      </c>
      <c r="G26" s="28" t="s">
        <v>4923</v>
      </c>
      <c r="H26" s="178" t="s">
        <v>1759</v>
      </c>
      <c r="I26" s="29"/>
    </row>
    <row r="27" customFormat="false" ht="27.75" hidden="false" customHeight="true" outlineLevel="0" collapsed="false">
      <c r="B27" s="166" t="n">
        <v>24</v>
      </c>
      <c r="C27" s="167" t="s">
        <v>3662</v>
      </c>
      <c r="D27" s="168" t="s">
        <v>4963</v>
      </c>
      <c r="E27" s="169" t="s">
        <v>4964</v>
      </c>
      <c r="F27" s="170" t="s">
        <v>4965</v>
      </c>
      <c r="G27" s="171" t="s">
        <v>498</v>
      </c>
      <c r="H27" s="172" t="s">
        <v>1759</v>
      </c>
      <c r="I27" s="173"/>
    </row>
    <row r="28" customFormat="false" ht="27.75" hidden="false" customHeight="true" outlineLevel="0" collapsed="false">
      <c r="B28" s="174" t="n">
        <v>25</v>
      </c>
      <c r="C28" s="175" t="s">
        <v>1724</v>
      </c>
      <c r="D28" s="22" t="s">
        <v>4966</v>
      </c>
      <c r="E28" s="176" t="s">
        <v>4967</v>
      </c>
      <c r="F28" s="177" t="s">
        <v>4968</v>
      </c>
      <c r="G28" s="28" t="s">
        <v>4942</v>
      </c>
      <c r="H28" s="178" t="s">
        <v>1759</v>
      </c>
      <c r="I28" s="29"/>
    </row>
    <row r="31" customFormat="false" ht="17.35" hidden="false" customHeight="false" outlineLevel="0" collapsed="false">
      <c r="A31" s="71" t="s">
        <v>4969</v>
      </c>
    </row>
    <row r="33" customFormat="false" ht="15" hidden="false" customHeight="false" outlineLevel="0" collapsed="false">
      <c r="A33" s="72" t="s">
        <v>4970</v>
      </c>
    </row>
    <row r="34" customFormat="false" ht="26.85" hidden="false" customHeight="false" outlineLevel="0" collapsed="false">
      <c r="A34" s="3" t="s">
        <v>638</v>
      </c>
      <c r="B34" s="3" t="s">
        <v>1838</v>
      </c>
      <c r="C34" s="3" t="s">
        <v>4971</v>
      </c>
      <c r="D34" s="3" t="s">
        <v>4972</v>
      </c>
      <c r="E34" s="3" t="s">
        <v>4973</v>
      </c>
      <c r="F34" s="3" t="s">
        <v>4974</v>
      </c>
      <c r="G34" s="3" t="s">
        <v>4975</v>
      </c>
      <c r="H34" s="3" t="s">
        <v>4976</v>
      </c>
      <c r="I34" s="3" t="s">
        <v>4977</v>
      </c>
    </row>
    <row r="35" customFormat="false" ht="35.05" hidden="false" customHeight="false" outlineLevel="0" collapsed="false">
      <c r="A35" s="73" t="s">
        <v>490</v>
      </c>
      <c r="B35" s="73" t="s">
        <v>4978</v>
      </c>
      <c r="C35" s="73" t="s">
        <v>4979</v>
      </c>
      <c r="D35" s="73" t="s">
        <v>4980</v>
      </c>
      <c r="E35" s="73" t="s">
        <v>4981</v>
      </c>
      <c r="F35" s="73" t="s">
        <v>498</v>
      </c>
      <c r="G35" s="73" t="s">
        <v>4982</v>
      </c>
      <c r="H35" s="73" t="s">
        <v>4983</v>
      </c>
      <c r="I35" s="73" t="s">
        <v>4984</v>
      </c>
    </row>
    <row r="36" customFormat="false" ht="23.85" hidden="false" customHeight="false" outlineLevel="0" collapsed="false">
      <c r="A36" s="75" t="s">
        <v>496</v>
      </c>
      <c r="B36" s="75" t="s">
        <v>4985</v>
      </c>
      <c r="C36" s="75" t="s">
        <v>458</v>
      </c>
      <c r="D36" s="75" t="s">
        <v>4986</v>
      </c>
      <c r="E36" s="75" t="s">
        <v>4987</v>
      </c>
      <c r="F36" s="75" t="s">
        <v>498</v>
      </c>
      <c r="G36" s="75" t="s">
        <v>4988</v>
      </c>
      <c r="H36" s="75" t="s">
        <v>4989</v>
      </c>
      <c r="I36" s="75" t="s">
        <v>4984</v>
      </c>
    </row>
    <row r="37" customFormat="false" ht="23.85" hidden="false" customHeight="false" outlineLevel="0" collapsed="false">
      <c r="A37" s="73" t="s">
        <v>502</v>
      </c>
      <c r="B37" s="73" t="s">
        <v>4990</v>
      </c>
      <c r="C37" s="73" t="s">
        <v>4991</v>
      </c>
      <c r="D37" s="73" t="s">
        <v>4992</v>
      </c>
      <c r="E37" s="73" t="s">
        <v>4993</v>
      </c>
      <c r="F37" s="73" t="s">
        <v>4994</v>
      </c>
      <c r="G37" s="73" t="s">
        <v>4995</v>
      </c>
      <c r="H37" s="73" t="s">
        <v>4996</v>
      </c>
      <c r="I37" s="73" t="s">
        <v>4984</v>
      </c>
    </row>
    <row r="38" customFormat="false" ht="23.85" hidden="false" customHeight="false" outlineLevel="0" collapsed="false">
      <c r="A38" s="75" t="s">
        <v>507</v>
      </c>
      <c r="B38" s="75" t="s">
        <v>4997</v>
      </c>
      <c r="C38" s="75" t="s">
        <v>826</v>
      </c>
      <c r="D38" s="75" t="s">
        <v>4998</v>
      </c>
      <c r="E38" s="75" t="s">
        <v>4999</v>
      </c>
      <c r="F38" s="75" t="s">
        <v>4787</v>
      </c>
      <c r="G38" s="75" t="s">
        <v>5000</v>
      </c>
      <c r="H38" s="75" t="s">
        <v>5001</v>
      </c>
      <c r="I38" s="75" t="s">
        <v>4984</v>
      </c>
    </row>
    <row r="39" customFormat="false" ht="23.85" hidden="false" customHeight="false" outlineLevel="0" collapsed="false">
      <c r="A39" s="73" t="s">
        <v>511</v>
      </c>
      <c r="B39" s="73" t="s">
        <v>4062</v>
      </c>
      <c r="C39" s="73" t="s">
        <v>802</v>
      </c>
      <c r="D39" s="73" t="s">
        <v>5002</v>
      </c>
      <c r="E39" s="73" t="s">
        <v>5003</v>
      </c>
      <c r="F39" s="73" t="s">
        <v>5004</v>
      </c>
      <c r="G39" s="73" t="s">
        <v>5005</v>
      </c>
      <c r="H39" s="73" t="s">
        <v>5006</v>
      </c>
      <c r="I39" s="73" t="s">
        <v>4984</v>
      </c>
    </row>
    <row r="40" customFormat="false" ht="23.85" hidden="false" customHeight="false" outlineLevel="0" collapsed="false">
      <c r="A40" s="75" t="s">
        <v>516</v>
      </c>
      <c r="B40" s="75" t="s">
        <v>4062</v>
      </c>
      <c r="C40" s="75" t="s">
        <v>826</v>
      </c>
      <c r="D40" s="75" t="s">
        <v>5007</v>
      </c>
      <c r="E40" s="75" t="s">
        <v>5008</v>
      </c>
      <c r="F40" s="75" t="s">
        <v>5004</v>
      </c>
      <c r="G40" s="75" t="s">
        <v>5009</v>
      </c>
      <c r="H40" s="75" t="s">
        <v>5010</v>
      </c>
      <c r="I40" s="75" t="s">
        <v>4984</v>
      </c>
    </row>
    <row r="41" customFormat="false" ht="23.85" hidden="false" customHeight="false" outlineLevel="0" collapsed="false">
      <c r="A41" s="73" t="s">
        <v>519</v>
      </c>
      <c r="B41" s="73" t="s">
        <v>4065</v>
      </c>
      <c r="C41" s="73" t="s">
        <v>854</v>
      </c>
      <c r="D41" s="73" t="s">
        <v>5011</v>
      </c>
      <c r="E41" s="73" t="s">
        <v>5012</v>
      </c>
      <c r="F41" s="73" t="s">
        <v>5013</v>
      </c>
      <c r="G41" s="73" t="s">
        <v>5014</v>
      </c>
      <c r="H41" s="73" t="s">
        <v>5015</v>
      </c>
      <c r="I41" s="73" t="s">
        <v>5016</v>
      </c>
    </row>
    <row r="42" customFormat="false" ht="23.85" hidden="false" customHeight="false" outlineLevel="0" collapsed="false">
      <c r="A42" s="75" t="s">
        <v>523</v>
      </c>
      <c r="B42" s="75" t="s">
        <v>4065</v>
      </c>
      <c r="C42" s="75" t="s">
        <v>845</v>
      </c>
      <c r="D42" s="75" t="s">
        <v>5017</v>
      </c>
      <c r="E42" s="75" t="s">
        <v>5018</v>
      </c>
      <c r="F42" s="75" t="s">
        <v>5019</v>
      </c>
      <c r="G42" s="75" t="s">
        <v>5020</v>
      </c>
      <c r="H42" s="75" t="s">
        <v>5021</v>
      </c>
      <c r="I42" s="75" t="s">
        <v>5016</v>
      </c>
    </row>
    <row r="43" customFormat="false" ht="23.85" hidden="false" customHeight="false" outlineLevel="0" collapsed="false">
      <c r="A43" s="73" t="s">
        <v>530</v>
      </c>
      <c r="B43" s="73" t="s">
        <v>1856</v>
      </c>
      <c r="C43" s="73" t="s">
        <v>3692</v>
      </c>
      <c r="D43" s="73" t="s">
        <v>5022</v>
      </c>
      <c r="E43" s="73" t="s">
        <v>5023</v>
      </c>
      <c r="F43" s="73" t="s">
        <v>498</v>
      </c>
      <c r="G43" s="73" t="s">
        <v>5024</v>
      </c>
      <c r="H43" s="73" t="s">
        <v>5025</v>
      </c>
      <c r="I43" s="73" t="s">
        <v>4984</v>
      </c>
    </row>
    <row r="45" customFormat="false" ht="15" hidden="false" customHeight="false" outlineLevel="0" collapsed="false">
      <c r="A45" s="72" t="s">
        <v>5026</v>
      </c>
    </row>
    <row r="46" customFormat="false" ht="26.85" hidden="false" customHeight="false" outlineLevel="0" collapsed="false">
      <c r="A46" s="3" t="s">
        <v>638</v>
      </c>
      <c r="B46" s="3" t="s">
        <v>1838</v>
      </c>
      <c r="C46" s="3" t="s">
        <v>4971</v>
      </c>
      <c r="D46" s="3" t="s">
        <v>4972</v>
      </c>
      <c r="E46" s="3" t="s">
        <v>4973</v>
      </c>
      <c r="F46" s="3" t="s">
        <v>4974</v>
      </c>
      <c r="G46" s="3" t="s">
        <v>4975</v>
      </c>
      <c r="H46" s="3" t="s">
        <v>4976</v>
      </c>
      <c r="I46" s="3" t="s">
        <v>4977</v>
      </c>
    </row>
    <row r="47" customFormat="false" ht="23.85" hidden="false" customHeight="false" outlineLevel="0" collapsed="false">
      <c r="A47" s="73" t="s">
        <v>535</v>
      </c>
      <c r="B47" s="73" t="s">
        <v>5027</v>
      </c>
      <c r="C47" s="73" t="s">
        <v>4991</v>
      </c>
      <c r="D47" s="73" t="s">
        <v>5028</v>
      </c>
      <c r="E47" s="73" t="s">
        <v>5029</v>
      </c>
      <c r="F47" s="73" t="s">
        <v>5004</v>
      </c>
      <c r="G47" s="73" t="s">
        <v>5030</v>
      </c>
      <c r="H47" s="73" t="s">
        <v>5031</v>
      </c>
      <c r="I47" s="73" t="s">
        <v>4984</v>
      </c>
    </row>
    <row r="48" customFormat="false" ht="23.85" hidden="false" customHeight="false" outlineLevel="0" collapsed="false">
      <c r="A48" s="75" t="s">
        <v>542</v>
      </c>
      <c r="B48" s="75" t="s">
        <v>5032</v>
      </c>
      <c r="C48" s="75" t="s">
        <v>5033</v>
      </c>
      <c r="D48" s="75" t="s">
        <v>5034</v>
      </c>
      <c r="E48" s="75" t="s">
        <v>5035</v>
      </c>
      <c r="F48" s="75" t="s">
        <v>4994</v>
      </c>
      <c r="G48" s="75" t="s">
        <v>5036</v>
      </c>
      <c r="H48" s="75" t="s">
        <v>5037</v>
      </c>
      <c r="I48" s="75" t="s">
        <v>5016</v>
      </c>
    </row>
    <row r="49" customFormat="false" ht="23.85" hidden="false" customHeight="false" outlineLevel="0" collapsed="false">
      <c r="A49" s="73" t="s">
        <v>546</v>
      </c>
      <c r="B49" s="73" t="s">
        <v>5038</v>
      </c>
      <c r="C49" s="73" t="s">
        <v>5039</v>
      </c>
      <c r="D49" s="73" t="s">
        <v>5040</v>
      </c>
      <c r="E49" s="73" t="s">
        <v>5041</v>
      </c>
      <c r="F49" s="73" t="s">
        <v>5042</v>
      </c>
      <c r="G49" s="73" t="s">
        <v>5043</v>
      </c>
      <c r="H49" s="73" t="s">
        <v>5044</v>
      </c>
      <c r="I49" s="73" t="s">
        <v>4984</v>
      </c>
    </row>
    <row r="50" customFormat="false" ht="23.85" hidden="false" customHeight="false" outlineLevel="0" collapsed="false">
      <c r="A50" s="75" t="s">
        <v>551</v>
      </c>
      <c r="B50" s="75" t="s">
        <v>5038</v>
      </c>
      <c r="C50" s="75" t="s">
        <v>836</v>
      </c>
      <c r="D50" s="75" t="s">
        <v>5045</v>
      </c>
      <c r="E50" s="75" t="s">
        <v>5046</v>
      </c>
      <c r="F50" s="75" t="s">
        <v>5047</v>
      </c>
      <c r="G50" s="75" t="s">
        <v>5048</v>
      </c>
      <c r="H50" s="75" t="s">
        <v>5049</v>
      </c>
      <c r="I50" s="75" t="s">
        <v>5016</v>
      </c>
    </row>
    <row r="51" customFormat="false" ht="23.85" hidden="false" customHeight="false" outlineLevel="0" collapsed="false">
      <c r="A51" s="73" t="s">
        <v>556</v>
      </c>
      <c r="B51" s="73" t="s">
        <v>5050</v>
      </c>
      <c r="C51" s="73" t="s">
        <v>875</v>
      </c>
      <c r="D51" s="73" t="s">
        <v>5051</v>
      </c>
      <c r="E51" s="73" t="s">
        <v>5052</v>
      </c>
      <c r="F51" s="73" t="s">
        <v>498</v>
      </c>
      <c r="G51" s="73" t="s">
        <v>5053</v>
      </c>
      <c r="H51" s="73" t="s">
        <v>5054</v>
      </c>
      <c r="I51" s="73" t="s">
        <v>5016</v>
      </c>
    </row>
    <row r="52" customFormat="false" ht="23.85" hidden="false" customHeight="false" outlineLevel="0" collapsed="false">
      <c r="A52" s="75" t="s">
        <v>666</v>
      </c>
      <c r="B52" s="75" t="s">
        <v>5055</v>
      </c>
      <c r="C52" s="75" t="s">
        <v>715</v>
      </c>
      <c r="D52" s="75" t="s">
        <v>5056</v>
      </c>
      <c r="E52" s="75" t="s">
        <v>5057</v>
      </c>
      <c r="F52" s="75" t="s">
        <v>498</v>
      </c>
      <c r="G52" s="75" t="s">
        <v>5058</v>
      </c>
      <c r="H52" s="75" t="s">
        <v>5059</v>
      </c>
      <c r="I52" s="75" t="s">
        <v>4984</v>
      </c>
    </row>
    <row r="53" customFormat="false" ht="23.85" hidden="false" customHeight="false" outlineLevel="0" collapsed="false">
      <c r="A53" s="73" t="s">
        <v>668</v>
      </c>
      <c r="B53" s="73" t="s">
        <v>5060</v>
      </c>
      <c r="C53" s="73" t="s">
        <v>606</v>
      </c>
      <c r="D53" s="73" t="s">
        <v>5061</v>
      </c>
      <c r="E53" s="73" t="s">
        <v>5062</v>
      </c>
      <c r="F53" s="73" t="s">
        <v>5063</v>
      </c>
      <c r="G53" s="73" t="s">
        <v>5064</v>
      </c>
      <c r="H53" s="73" t="s">
        <v>5065</v>
      </c>
      <c r="I53" s="73" t="s">
        <v>4984</v>
      </c>
    </row>
    <row r="55" customFormat="false" ht="15" hidden="false" customHeight="false" outlineLevel="0" collapsed="false">
      <c r="A55" s="72" t="s">
        <v>5066</v>
      </c>
    </row>
    <row r="56" customFormat="false" ht="26.85" hidden="false" customHeight="false" outlineLevel="0" collapsed="false">
      <c r="A56" s="3" t="s">
        <v>638</v>
      </c>
      <c r="B56" s="3" t="s">
        <v>1838</v>
      </c>
      <c r="C56" s="3" t="s">
        <v>4971</v>
      </c>
      <c r="D56" s="3" t="s">
        <v>4972</v>
      </c>
      <c r="E56" s="3" t="s">
        <v>4973</v>
      </c>
      <c r="F56" s="3" t="s">
        <v>4974</v>
      </c>
      <c r="G56" s="3" t="s">
        <v>4975</v>
      </c>
      <c r="H56" s="3" t="s">
        <v>4976</v>
      </c>
      <c r="I56" s="3" t="s">
        <v>4977</v>
      </c>
    </row>
    <row r="57" customFormat="false" ht="23.85" hidden="false" customHeight="false" outlineLevel="0" collapsed="false">
      <c r="A57" s="73" t="s">
        <v>670</v>
      </c>
      <c r="B57" s="73" t="s">
        <v>5067</v>
      </c>
      <c r="C57" s="73" t="s">
        <v>458</v>
      </c>
      <c r="D57" s="73" t="s">
        <v>5068</v>
      </c>
      <c r="E57" s="73" t="s">
        <v>5069</v>
      </c>
      <c r="F57" s="73" t="s">
        <v>4931</v>
      </c>
      <c r="G57" s="73" t="s">
        <v>5070</v>
      </c>
      <c r="H57" s="73" t="s">
        <v>5071</v>
      </c>
      <c r="I57" s="73" t="s">
        <v>4984</v>
      </c>
    </row>
    <row r="58" customFormat="false" ht="23.85" hidden="false" customHeight="false" outlineLevel="0" collapsed="false">
      <c r="A58" s="75" t="s">
        <v>673</v>
      </c>
      <c r="B58" s="75" t="s">
        <v>5072</v>
      </c>
      <c r="C58" s="75" t="s">
        <v>866</v>
      </c>
      <c r="D58" s="75" t="s">
        <v>5073</v>
      </c>
      <c r="E58" s="75" t="s">
        <v>5074</v>
      </c>
      <c r="F58" s="75" t="s">
        <v>5047</v>
      </c>
      <c r="G58" s="75" t="s">
        <v>5075</v>
      </c>
      <c r="H58" s="75" t="s">
        <v>5076</v>
      </c>
      <c r="I58" s="75" t="s">
        <v>5016</v>
      </c>
    </row>
    <row r="59" customFormat="false" ht="23.85" hidden="false" customHeight="false" outlineLevel="0" collapsed="false">
      <c r="A59" s="73" t="s">
        <v>676</v>
      </c>
      <c r="B59" s="73" t="s">
        <v>5077</v>
      </c>
      <c r="C59" s="73" t="s">
        <v>4991</v>
      </c>
      <c r="D59" s="73" t="s">
        <v>5078</v>
      </c>
      <c r="E59" s="73" t="s">
        <v>5079</v>
      </c>
      <c r="F59" s="73" t="s">
        <v>4994</v>
      </c>
      <c r="G59" s="73" t="s">
        <v>5080</v>
      </c>
      <c r="H59" s="73" t="s">
        <v>5081</v>
      </c>
      <c r="I59" s="73" t="s">
        <v>4984</v>
      </c>
    </row>
    <row r="60" customFormat="false" ht="35.05" hidden="false" customHeight="false" outlineLevel="0" collapsed="false">
      <c r="A60" s="75" t="s">
        <v>679</v>
      </c>
      <c r="B60" s="75" t="s">
        <v>5077</v>
      </c>
      <c r="C60" s="75" t="s">
        <v>1150</v>
      </c>
      <c r="D60" s="75" t="s">
        <v>5082</v>
      </c>
      <c r="E60" s="75" t="s">
        <v>5083</v>
      </c>
      <c r="F60" s="75" t="s">
        <v>4787</v>
      </c>
      <c r="G60" s="75" t="s">
        <v>5084</v>
      </c>
      <c r="H60" s="75" t="s">
        <v>5085</v>
      </c>
      <c r="I60" s="75" t="s">
        <v>4984</v>
      </c>
    </row>
    <row r="61" customFormat="false" ht="35.05" hidden="false" customHeight="false" outlineLevel="0" collapsed="false">
      <c r="A61" s="73" t="s">
        <v>682</v>
      </c>
      <c r="B61" s="73" t="s">
        <v>5086</v>
      </c>
      <c r="C61" s="73" t="s">
        <v>5039</v>
      </c>
      <c r="D61" s="73" t="s">
        <v>5087</v>
      </c>
      <c r="E61" s="73" t="s">
        <v>5088</v>
      </c>
      <c r="F61" s="73" t="s">
        <v>5042</v>
      </c>
      <c r="G61" s="73" t="s">
        <v>5089</v>
      </c>
      <c r="H61" s="73" t="s">
        <v>5090</v>
      </c>
      <c r="I61" s="73" t="s">
        <v>4984</v>
      </c>
    </row>
    <row r="62" customFormat="false" ht="23.85" hidden="false" customHeight="false" outlineLevel="0" collapsed="false">
      <c r="A62" s="75" t="s">
        <v>685</v>
      </c>
      <c r="B62" s="75" t="s">
        <v>5091</v>
      </c>
      <c r="C62" s="75" t="s">
        <v>4979</v>
      </c>
      <c r="D62" s="75" t="s">
        <v>5092</v>
      </c>
      <c r="E62" s="75" t="s">
        <v>5093</v>
      </c>
      <c r="F62" s="75" t="s">
        <v>5094</v>
      </c>
      <c r="G62" s="75" t="s">
        <v>5095</v>
      </c>
      <c r="H62" s="75" t="s">
        <v>5096</v>
      </c>
      <c r="I62" s="75" t="s">
        <v>5016</v>
      </c>
    </row>
    <row r="63" customFormat="false" ht="23.85" hidden="false" customHeight="false" outlineLevel="0" collapsed="false">
      <c r="A63" s="73" t="s">
        <v>687</v>
      </c>
      <c r="B63" s="73" t="s">
        <v>5097</v>
      </c>
      <c r="C63" s="73" t="s">
        <v>3692</v>
      </c>
      <c r="D63" s="73" t="s">
        <v>5098</v>
      </c>
      <c r="E63" s="73" t="s">
        <v>5099</v>
      </c>
      <c r="F63" s="73" t="s">
        <v>498</v>
      </c>
      <c r="G63" s="73" t="s">
        <v>5100</v>
      </c>
      <c r="H63" s="73" t="s">
        <v>5101</v>
      </c>
      <c r="I63" s="73" t="s">
        <v>4984</v>
      </c>
    </row>
    <row r="65" customFormat="false" ht="15" hidden="false" customHeight="false" outlineLevel="0" collapsed="false">
      <c r="A65" s="72" t="s">
        <v>5102</v>
      </c>
    </row>
    <row r="66" customFormat="false" ht="26.85" hidden="false" customHeight="false" outlineLevel="0" collapsed="false">
      <c r="A66" s="3" t="s">
        <v>638</v>
      </c>
      <c r="B66" s="3" t="s">
        <v>1838</v>
      </c>
      <c r="C66" s="3" t="s">
        <v>4971</v>
      </c>
      <c r="D66" s="3" t="s">
        <v>4972</v>
      </c>
      <c r="E66" s="3" t="s">
        <v>4973</v>
      </c>
      <c r="F66" s="3" t="s">
        <v>4974</v>
      </c>
      <c r="G66" s="3" t="s">
        <v>4975</v>
      </c>
      <c r="H66" s="3" t="s">
        <v>4976</v>
      </c>
      <c r="I66" s="3" t="s">
        <v>4977</v>
      </c>
    </row>
    <row r="67" customFormat="false" ht="23.85" hidden="false" customHeight="false" outlineLevel="0" collapsed="false">
      <c r="A67" s="73" t="s">
        <v>689</v>
      </c>
      <c r="B67" s="73" t="s">
        <v>5103</v>
      </c>
      <c r="C67" s="73" t="s">
        <v>4991</v>
      </c>
      <c r="D67" s="73" t="s">
        <v>5104</v>
      </c>
      <c r="E67" s="73" t="s">
        <v>5105</v>
      </c>
      <c r="F67" s="73" t="s">
        <v>5004</v>
      </c>
      <c r="G67" s="73" t="s">
        <v>5106</v>
      </c>
      <c r="H67" s="73" t="s">
        <v>5107</v>
      </c>
      <c r="I67" s="73" t="s">
        <v>5016</v>
      </c>
    </row>
    <row r="68" customFormat="false" ht="23.85" hidden="false" customHeight="false" outlineLevel="0" collapsed="false">
      <c r="A68" s="75" t="s">
        <v>692</v>
      </c>
      <c r="B68" s="75" t="s">
        <v>5108</v>
      </c>
      <c r="C68" s="75" t="s">
        <v>845</v>
      </c>
      <c r="D68" s="75" t="s">
        <v>5109</v>
      </c>
      <c r="E68" s="75" t="s">
        <v>5110</v>
      </c>
      <c r="F68" s="75" t="s">
        <v>5019</v>
      </c>
      <c r="G68" s="75" t="s">
        <v>5020</v>
      </c>
      <c r="H68" s="75" t="s">
        <v>5111</v>
      </c>
      <c r="I68" s="75" t="s">
        <v>5016</v>
      </c>
    </row>
    <row r="69" customFormat="false" ht="23.85" hidden="false" customHeight="false" outlineLevel="0" collapsed="false">
      <c r="A69" s="73" t="s">
        <v>695</v>
      </c>
      <c r="B69" s="73" t="s">
        <v>5112</v>
      </c>
      <c r="C69" s="73" t="s">
        <v>5113</v>
      </c>
      <c r="D69" s="73" t="s">
        <v>5114</v>
      </c>
      <c r="E69" s="73" t="s">
        <v>5115</v>
      </c>
      <c r="F69" s="73" t="s">
        <v>5116</v>
      </c>
      <c r="G69" s="73" t="s">
        <v>5117</v>
      </c>
      <c r="H69" s="73" t="s">
        <v>5118</v>
      </c>
      <c r="I69" s="73" t="s">
        <v>5119</v>
      </c>
    </row>
    <row r="70" customFormat="false" ht="23.85" hidden="false" customHeight="false" outlineLevel="0" collapsed="false">
      <c r="A70" s="75" t="s">
        <v>698</v>
      </c>
      <c r="B70" s="75" t="s">
        <v>5112</v>
      </c>
      <c r="C70" s="75" t="s">
        <v>5120</v>
      </c>
      <c r="D70" s="75" t="s">
        <v>5121</v>
      </c>
      <c r="E70" s="75" t="s">
        <v>5122</v>
      </c>
      <c r="F70" s="75" t="s">
        <v>5013</v>
      </c>
      <c r="G70" s="75" t="s">
        <v>5123</v>
      </c>
      <c r="H70" s="75" t="s">
        <v>5124</v>
      </c>
      <c r="I70" s="75" t="s">
        <v>5125</v>
      </c>
    </row>
    <row r="71" customFormat="false" ht="23.85" hidden="false" customHeight="false" outlineLevel="0" collapsed="false">
      <c r="A71" s="73" t="s">
        <v>700</v>
      </c>
      <c r="B71" s="73" t="s">
        <v>5126</v>
      </c>
      <c r="C71" s="73" t="s">
        <v>5127</v>
      </c>
      <c r="D71" s="73" t="s">
        <v>5128</v>
      </c>
      <c r="E71" s="73" t="s">
        <v>5129</v>
      </c>
      <c r="F71" s="73" t="s">
        <v>498</v>
      </c>
      <c r="G71" s="73" t="s">
        <v>5130</v>
      </c>
      <c r="H71" s="73" t="s">
        <v>5131</v>
      </c>
      <c r="I71" s="73" t="s">
        <v>4984</v>
      </c>
    </row>
    <row r="74" customFormat="false" ht="17.35" hidden="false" customHeight="false" outlineLevel="0" collapsed="false">
      <c r="A74" s="71" t="s">
        <v>5132</v>
      </c>
    </row>
    <row r="76" customFormat="false" ht="15" hidden="false" customHeight="false" outlineLevel="0" collapsed="false">
      <c r="A76" s="118" t="s">
        <v>5133</v>
      </c>
      <c r="B76" s="118"/>
      <c r="C76" s="118"/>
    </row>
    <row r="77" customFormat="false" ht="57.45" hidden="false" customHeight="false" outlineLevel="0" collapsed="false">
      <c r="A77" s="117" t="n">
        <v>1</v>
      </c>
      <c r="B77" s="182" t="s">
        <v>5134</v>
      </c>
    </row>
    <row r="78" customFormat="false" ht="57.45" hidden="false" customHeight="false" outlineLevel="0" collapsed="false">
      <c r="A78" s="117" t="n">
        <v>2</v>
      </c>
      <c r="B78" s="182" t="s">
        <v>5135</v>
      </c>
    </row>
    <row r="79" customFormat="false" ht="68.65" hidden="false" customHeight="false" outlineLevel="0" collapsed="false">
      <c r="A79" s="117" t="n">
        <v>3</v>
      </c>
      <c r="B79" s="182" t="s">
        <v>5136</v>
      </c>
    </row>
    <row r="80" customFormat="false" ht="57.45" hidden="false" customHeight="false" outlineLevel="0" collapsed="false">
      <c r="A80" s="117" t="n">
        <v>4</v>
      </c>
      <c r="B80" s="182" t="s">
        <v>5137</v>
      </c>
    </row>
    <row r="81" customFormat="false" ht="57.45" hidden="false" customHeight="false" outlineLevel="0" collapsed="false">
      <c r="A81" s="117" t="n">
        <v>5</v>
      </c>
      <c r="B81" s="182" t="s">
        <v>5138</v>
      </c>
    </row>
    <row r="82" customFormat="false" ht="57.45" hidden="false" customHeight="false" outlineLevel="0" collapsed="false">
      <c r="A82" s="117" t="n">
        <v>6</v>
      </c>
      <c r="B82" s="182" t="s">
        <v>5139</v>
      </c>
    </row>
    <row r="83" customFormat="false" ht="46.25" hidden="false" customHeight="false" outlineLevel="0" collapsed="false">
      <c r="A83" s="117" t="n">
        <v>7</v>
      </c>
      <c r="B83" s="182" t="s">
        <v>5140</v>
      </c>
    </row>
    <row r="84" customFormat="false" ht="46.25" hidden="false" customHeight="false" outlineLevel="0" collapsed="false">
      <c r="A84" s="117" t="n">
        <v>8</v>
      </c>
      <c r="B84" s="182" t="s">
        <v>5141</v>
      </c>
    </row>
    <row r="85" customFormat="false" ht="46.25" hidden="false" customHeight="false" outlineLevel="0" collapsed="false">
      <c r="A85" s="117" t="n">
        <v>9</v>
      </c>
      <c r="B85" s="182" t="s">
        <v>5142</v>
      </c>
    </row>
    <row r="86" customFormat="false" ht="46.25" hidden="false" customHeight="false" outlineLevel="0" collapsed="false">
      <c r="A86" s="117" t="n">
        <v>10</v>
      </c>
      <c r="B86" s="182" t="s">
        <v>5143</v>
      </c>
    </row>
    <row r="87" customFormat="false" ht="57.45" hidden="false" customHeight="false" outlineLevel="0" collapsed="false">
      <c r="A87" s="117" t="n">
        <v>11</v>
      </c>
      <c r="B87" s="182" t="s">
        <v>5144</v>
      </c>
    </row>
    <row r="88" customFormat="false" ht="68.65" hidden="false" customHeight="false" outlineLevel="0" collapsed="false">
      <c r="A88" s="117" t="n">
        <v>12</v>
      </c>
      <c r="B88" s="182" t="s">
        <v>5145</v>
      </c>
    </row>
    <row r="89" customFormat="false" ht="68.65" hidden="false" customHeight="false" outlineLevel="0" collapsed="false">
      <c r="A89" s="117" t="n">
        <v>13</v>
      </c>
      <c r="B89" s="182" t="s">
        <v>5146</v>
      </c>
    </row>
    <row r="90" customFormat="false" ht="57.45" hidden="false" customHeight="false" outlineLevel="0" collapsed="false">
      <c r="A90" s="117" t="n">
        <v>14</v>
      </c>
      <c r="B90" s="182" t="s">
        <v>5147</v>
      </c>
    </row>
    <row r="92" customFormat="false" ht="15" hidden="false" customHeight="false" outlineLevel="0" collapsed="false">
      <c r="A92" s="118" t="s">
        <v>5148</v>
      </c>
      <c r="B92" s="118"/>
      <c r="C92" s="118"/>
    </row>
    <row r="93" customFormat="false" ht="68.65" hidden="false" customHeight="false" outlineLevel="0" collapsed="false">
      <c r="A93" s="117" t="n">
        <v>1</v>
      </c>
      <c r="B93" s="182" t="s">
        <v>5149</v>
      </c>
    </row>
    <row r="94" customFormat="false" ht="57.45" hidden="false" customHeight="false" outlineLevel="0" collapsed="false">
      <c r="A94" s="117" t="n">
        <v>2</v>
      </c>
      <c r="B94" s="182" t="s">
        <v>5150</v>
      </c>
    </row>
    <row r="95" customFormat="false" ht="57.45" hidden="false" customHeight="false" outlineLevel="0" collapsed="false">
      <c r="A95" s="117" t="n">
        <v>3</v>
      </c>
      <c r="B95" s="182" t="s">
        <v>5151</v>
      </c>
    </row>
    <row r="96" customFormat="false" ht="68.65" hidden="false" customHeight="false" outlineLevel="0" collapsed="false">
      <c r="A96" s="117" t="n">
        <v>4</v>
      </c>
      <c r="B96" s="182" t="s">
        <v>5152</v>
      </c>
    </row>
    <row r="97" customFormat="false" ht="57.45" hidden="false" customHeight="false" outlineLevel="0" collapsed="false">
      <c r="A97" s="117" t="n">
        <v>5</v>
      </c>
      <c r="B97" s="182" t="s">
        <v>5153</v>
      </c>
    </row>
    <row r="98" customFormat="false" ht="57.45" hidden="false" customHeight="false" outlineLevel="0" collapsed="false">
      <c r="A98" s="117" t="n">
        <v>6</v>
      </c>
      <c r="B98" s="182" t="s">
        <v>5154</v>
      </c>
    </row>
    <row r="99" customFormat="false" ht="57.45" hidden="false" customHeight="false" outlineLevel="0" collapsed="false">
      <c r="A99" s="117" t="n">
        <v>7</v>
      </c>
      <c r="B99" s="182" t="s">
        <v>5155</v>
      </c>
    </row>
    <row r="100" customFormat="false" ht="46.25" hidden="false" customHeight="false" outlineLevel="0" collapsed="false">
      <c r="A100" s="117" t="n">
        <v>8</v>
      </c>
      <c r="B100" s="182" t="s">
        <v>5156</v>
      </c>
    </row>
    <row r="101" customFormat="false" ht="57.45" hidden="false" customHeight="false" outlineLevel="0" collapsed="false">
      <c r="A101" s="117" t="n">
        <v>9</v>
      </c>
      <c r="B101" s="182" t="s">
        <v>5157</v>
      </c>
    </row>
    <row r="102" customFormat="false" ht="46.25" hidden="false" customHeight="false" outlineLevel="0" collapsed="false">
      <c r="A102" s="117" t="n">
        <v>10</v>
      </c>
      <c r="B102" s="182" t="s">
        <v>5158</v>
      </c>
    </row>
    <row r="103" customFormat="false" ht="57.45" hidden="false" customHeight="false" outlineLevel="0" collapsed="false">
      <c r="A103" s="117" t="n">
        <v>11</v>
      </c>
      <c r="B103" s="182" t="s">
        <v>5159</v>
      </c>
    </row>
    <row r="104" customFormat="false" ht="57.45" hidden="false" customHeight="false" outlineLevel="0" collapsed="false">
      <c r="A104" s="117" t="n">
        <v>12</v>
      </c>
      <c r="B104" s="182" t="s">
        <v>5160</v>
      </c>
    </row>
    <row r="105" customFormat="false" ht="46.25" hidden="false" customHeight="false" outlineLevel="0" collapsed="false">
      <c r="A105" s="117" t="n">
        <v>13</v>
      </c>
      <c r="B105" s="182" t="s">
        <v>5161</v>
      </c>
    </row>
    <row r="106" customFormat="false" ht="57.45" hidden="false" customHeight="false" outlineLevel="0" collapsed="false">
      <c r="A106" s="117" t="n">
        <v>14</v>
      </c>
      <c r="B106" s="182" t="s">
        <v>5162</v>
      </c>
    </row>
    <row r="108" customFormat="false" ht="15" hidden="false" customHeight="false" outlineLevel="0" collapsed="false">
      <c r="A108" s="118" t="s">
        <v>5163</v>
      </c>
      <c r="B108" s="118"/>
      <c r="C108" s="118"/>
    </row>
    <row r="109" customFormat="false" ht="46.25" hidden="false" customHeight="false" outlineLevel="0" collapsed="false">
      <c r="A109" s="117" t="n">
        <v>1</v>
      </c>
      <c r="B109" s="182" t="s">
        <v>5164</v>
      </c>
    </row>
    <row r="110" customFormat="false" ht="57.45" hidden="false" customHeight="false" outlineLevel="0" collapsed="false">
      <c r="A110" s="117" t="n">
        <v>2</v>
      </c>
      <c r="B110" s="182" t="s">
        <v>5165</v>
      </c>
    </row>
    <row r="111" customFormat="false" ht="57.45" hidden="false" customHeight="false" outlineLevel="0" collapsed="false">
      <c r="A111" s="117" t="n">
        <v>3</v>
      </c>
      <c r="B111" s="182" t="s">
        <v>5166</v>
      </c>
    </row>
    <row r="112" customFormat="false" ht="57.45" hidden="false" customHeight="false" outlineLevel="0" collapsed="false">
      <c r="A112" s="117" t="n">
        <v>4</v>
      </c>
      <c r="B112" s="182" t="s">
        <v>5167</v>
      </c>
    </row>
    <row r="113" customFormat="false" ht="68.65" hidden="false" customHeight="false" outlineLevel="0" collapsed="false">
      <c r="A113" s="117" t="n">
        <v>5</v>
      </c>
      <c r="B113" s="182" t="s">
        <v>5168</v>
      </c>
    </row>
    <row r="114" customFormat="false" ht="46.25" hidden="false" customHeight="false" outlineLevel="0" collapsed="false">
      <c r="A114" s="117" t="n">
        <v>6</v>
      </c>
      <c r="B114" s="182" t="s">
        <v>5169</v>
      </c>
    </row>
    <row r="115" customFormat="false" ht="57.45" hidden="false" customHeight="false" outlineLevel="0" collapsed="false">
      <c r="A115" s="117" t="n">
        <v>7</v>
      </c>
      <c r="B115" s="182" t="s">
        <v>5170</v>
      </c>
    </row>
    <row r="116" customFormat="false" ht="68.65" hidden="false" customHeight="false" outlineLevel="0" collapsed="false">
      <c r="A116" s="117" t="n">
        <v>8</v>
      </c>
      <c r="B116" s="182" t="s">
        <v>5171</v>
      </c>
    </row>
    <row r="117" customFormat="false" ht="57.45" hidden="false" customHeight="false" outlineLevel="0" collapsed="false">
      <c r="A117" s="117" t="n">
        <v>9</v>
      </c>
      <c r="B117" s="182" t="s">
        <v>5172</v>
      </c>
    </row>
    <row r="118" customFormat="false" ht="46.25" hidden="false" customHeight="false" outlineLevel="0" collapsed="false">
      <c r="A118" s="117" t="n">
        <v>10</v>
      </c>
      <c r="B118" s="182" t="s">
        <v>5173</v>
      </c>
    </row>
    <row r="119" customFormat="false" ht="57.45" hidden="false" customHeight="false" outlineLevel="0" collapsed="false">
      <c r="A119" s="117" t="n">
        <v>11</v>
      </c>
      <c r="B119" s="182" t="s">
        <v>5174</v>
      </c>
    </row>
    <row r="120" customFormat="false" ht="46.25" hidden="false" customHeight="false" outlineLevel="0" collapsed="false">
      <c r="A120" s="117" t="n">
        <v>12</v>
      </c>
      <c r="B120" s="182" t="s">
        <v>5175</v>
      </c>
    </row>
    <row r="121" customFormat="false" ht="68.65" hidden="false" customHeight="false" outlineLevel="0" collapsed="false">
      <c r="A121" s="117" t="n">
        <v>13</v>
      </c>
      <c r="B121" s="182" t="s">
        <v>5176</v>
      </c>
    </row>
    <row r="122" customFormat="false" ht="57.45" hidden="false" customHeight="false" outlineLevel="0" collapsed="false">
      <c r="A122" s="117" t="n">
        <v>14</v>
      </c>
      <c r="B122" s="182" t="s">
        <v>5177</v>
      </c>
    </row>
    <row r="123" customFormat="false" ht="57.45" hidden="false" customHeight="false" outlineLevel="0" collapsed="false">
      <c r="A123" s="117" t="n">
        <v>15</v>
      </c>
      <c r="B123" s="182" t="s">
        <v>5178</v>
      </c>
    </row>
    <row r="125" customFormat="false" ht="15" hidden="false" customHeight="false" outlineLevel="0" collapsed="false">
      <c r="A125" s="118" t="s">
        <v>5179</v>
      </c>
      <c r="B125" s="118"/>
      <c r="C125" s="118"/>
    </row>
    <row r="126" customFormat="false" ht="68.65" hidden="false" customHeight="false" outlineLevel="0" collapsed="false">
      <c r="A126" s="117" t="n">
        <v>1</v>
      </c>
      <c r="B126" s="182" t="s">
        <v>5180</v>
      </c>
    </row>
    <row r="127" customFormat="false" ht="57.45" hidden="false" customHeight="false" outlineLevel="0" collapsed="false">
      <c r="A127" s="117" t="n">
        <v>2</v>
      </c>
      <c r="B127" s="182" t="s">
        <v>5181</v>
      </c>
    </row>
    <row r="128" customFormat="false" ht="68.65" hidden="false" customHeight="false" outlineLevel="0" collapsed="false">
      <c r="A128" s="117" t="n">
        <v>3</v>
      </c>
      <c r="B128" s="182" t="s">
        <v>5182</v>
      </c>
    </row>
    <row r="129" customFormat="false" ht="57.45" hidden="false" customHeight="false" outlineLevel="0" collapsed="false">
      <c r="A129" s="117" t="n">
        <v>4</v>
      </c>
      <c r="B129" s="182" t="s">
        <v>5183</v>
      </c>
    </row>
    <row r="130" customFormat="false" ht="46.25" hidden="false" customHeight="false" outlineLevel="0" collapsed="false">
      <c r="A130" s="117" t="n">
        <v>5</v>
      </c>
      <c r="B130" s="182" t="s">
        <v>5184</v>
      </c>
    </row>
    <row r="131" customFormat="false" ht="68.65" hidden="false" customHeight="false" outlineLevel="0" collapsed="false">
      <c r="A131" s="117" t="n">
        <v>6</v>
      </c>
      <c r="B131" s="182" t="s">
        <v>5185</v>
      </c>
    </row>
    <row r="132" customFormat="false" ht="57.45" hidden="false" customHeight="false" outlineLevel="0" collapsed="false">
      <c r="A132" s="117" t="n">
        <v>7</v>
      </c>
      <c r="B132" s="182" t="s">
        <v>5186</v>
      </c>
    </row>
    <row r="133" customFormat="false" ht="57.45" hidden="false" customHeight="false" outlineLevel="0" collapsed="false">
      <c r="A133" s="117" t="n">
        <v>8</v>
      </c>
      <c r="B133" s="182" t="s">
        <v>5187</v>
      </c>
    </row>
    <row r="134" customFormat="false" ht="57.45" hidden="false" customHeight="false" outlineLevel="0" collapsed="false">
      <c r="A134" s="117" t="n">
        <v>9</v>
      </c>
      <c r="B134" s="182" t="s">
        <v>5188</v>
      </c>
    </row>
    <row r="135" customFormat="false" ht="68.65" hidden="false" customHeight="false" outlineLevel="0" collapsed="false">
      <c r="A135" s="117" t="n">
        <v>10</v>
      </c>
      <c r="B135" s="182" t="s">
        <v>5189</v>
      </c>
    </row>
    <row r="136" customFormat="false" ht="68.65" hidden="false" customHeight="false" outlineLevel="0" collapsed="false">
      <c r="A136" s="117" t="n">
        <v>11</v>
      </c>
      <c r="B136" s="182" t="s">
        <v>5190</v>
      </c>
    </row>
    <row r="137" customFormat="false" ht="68.65" hidden="false" customHeight="false" outlineLevel="0" collapsed="false">
      <c r="A137" s="117" t="n">
        <v>12</v>
      </c>
      <c r="B137" s="182" t="s">
        <v>5191</v>
      </c>
    </row>
    <row r="138" customFormat="false" ht="57.45" hidden="false" customHeight="false" outlineLevel="0" collapsed="false">
      <c r="A138" s="117" t="n">
        <v>13</v>
      </c>
      <c r="B138" s="182" t="s">
        <v>5192</v>
      </c>
    </row>
    <row r="139" customFormat="false" ht="68.65" hidden="false" customHeight="false" outlineLevel="0" collapsed="false">
      <c r="A139" s="117" t="n">
        <v>14</v>
      </c>
      <c r="B139" s="182" t="s">
        <v>5193</v>
      </c>
    </row>
    <row r="140" customFormat="false" ht="57.45" hidden="false" customHeight="false" outlineLevel="0" collapsed="false">
      <c r="A140" s="117" t="n">
        <v>15</v>
      </c>
      <c r="B140" s="182" t="s">
        <v>5194</v>
      </c>
    </row>
    <row r="142" customFormat="false" ht="15" hidden="false" customHeight="false" outlineLevel="0" collapsed="false">
      <c r="A142" s="118" t="s">
        <v>5195</v>
      </c>
      <c r="B142" s="118"/>
      <c r="C142" s="118"/>
    </row>
    <row r="143" customFormat="false" ht="46.25" hidden="false" customHeight="false" outlineLevel="0" collapsed="false">
      <c r="A143" s="117" t="n">
        <v>1</v>
      </c>
      <c r="B143" s="182" t="s">
        <v>5196</v>
      </c>
    </row>
    <row r="144" customFormat="false" ht="68.65" hidden="false" customHeight="false" outlineLevel="0" collapsed="false">
      <c r="A144" s="117" t="n">
        <v>2</v>
      </c>
      <c r="B144" s="182" t="s">
        <v>5197</v>
      </c>
    </row>
    <row r="145" customFormat="false" ht="68.65" hidden="false" customHeight="false" outlineLevel="0" collapsed="false">
      <c r="A145" s="117" t="n">
        <v>3</v>
      </c>
      <c r="B145" s="182" t="s">
        <v>5198</v>
      </c>
    </row>
    <row r="146" customFormat="false" ht="57.45" hidden="false" customHeight="false" outlineLevel="0" collapsed="false">
      <c r="A146" s="117" t="n">
        <v>4</v>
      </c>
      <c r="B146" s="182" t="s">
        <v>5199</v>
      </c>
    </row>
    <row r="147" customFormat="false" ht="46.25" hidden="false" customHeight="false" outlineLevel="0" collapsed="false">
      <c r="A147" s="117" t="n">
        <v>5</v>
      </c>
      <c r="B147" s="182" t="s">
        <v>5200</v>
      </c>
    </row>
    <row r="148" customFormat="false" ht="68.65" hidden="false" customHeight="false" outlineLevel="0" collapsed="false">
      <c r="A148" s="117" t="n">
        <v>6</v>
      </c>
      <c r="B148" s="182" t="s">
        <v>5201</v>
      </c>
    </row>
    <row r="149" customFormat="false" ht="68.65" hidden="false" customHeight="false" outlineLevel="0" collapsed="false">
      <c r="A149" s="117" t="n">
        <v>7</v>
      </c>
      <c r="B149" s="182" t="s">
        <v>5202</v>
      </c>
    </row>
    <row r="150" customFormat="false" ht="57.45" hidden="false" customHeight="false" outlineLevel="0" collapsed="false">
      <c r="A150" s="117" t="n">
        <v>8</v>
      </c>
      <c r="B150" s="182" t="s">
        <v>5203</v>
      </c>
    </row>
    <row r="151" customFormat="false" ht="57.45" hidden="false" customHeight="false" outlineLevel="0" collapsed="false">
      <c r="A151" s="117" t="n">
        <v>9</v>
      </c>
      <c r="B151" s="182" t="s">
        <v>5204</v>
      </c>
    </row>
    <row r="152" customFormat="false" ht="57.45" hidden="false" customHeight="false" outlineLevel="0" collapsed="false">
      <c r="A152" s="117" t="n">
        <v>10</v>
      </c>
      <c r="B152" s="182" t="s">
        <v>5205</v>
      </c>
    </row>
    <row r="153" customFormat="false" ht="68.65" hidden="false" customHeight="false" outlineLevel="0" collapsed="false">
      <c r="A153" s="117" t="n">
        <v>11</v>
      </c>
      <c r="B153" s="182" t="s">
        <v>5206</v>
      </c>
    </row>
    <row r="154" customFormat="false" ht="68.65" hidden="false" customHeight="false" outlineLevel="0" collapsed="false">
      <c r="A154" s="117" t="n">
        <v>12</v>
      </c>
      <c r="B154" s="182" t="s">
        <v>5207</v>
      </c>
    </row>
    <row r="155" customFormat="false" ht="57.45" hidden="false" customHeight="false" outlineLevel="0" collapsed="false">
      <c r="A155" s="117" t="n">
        <v>13</v>
      </c>
      <c r="B155" s="182" t="s">
        <v>5208</v>
      </c>
    </row>
    <row r="156" customFormat="false" ht="57.45" hidden="false" customHeight="false" outlineLevel="0" collapsed="false">
      <c r="A156" s="117" t="n">
        <v>14</v>
      </c>
      <c r="B156" s="182" t="s">
        <v>5209</v>
      </c>
    </row>
    <row r="157" customFormat="false" ht="68.65" hidden="false" customHeight="false" outlineLevel="0" collapsed="false">
      <c r="A157" s="117" t="n">
        <v>15</v>
      </c>
      <c r="B157" s="182" t="s">
        <v>5210</v>
      </c>
    </row>
    <row r="159" customFormat="false" ht="15" hidden="false" customHeight="false" outlineLevel="0" collapsed="false">
      <c r="A159" s="118" t="s">
        <v>5211</v>
      </c>
      <c r="B159" s="118"/>
      <c r="C159" s="118"/>
    </row>
    <row r="160" customFormat="false" ht="57.45" hidden="false" customHeight="false" outlineLevel="0" collapsed="false">
      <c r="A160" s="117" t="n">
        <v>1</v>
      </c>
      <c r="B160" s="182" t="s">
        <v>5212</v>
      </c>
    </row>
    <row r="161" customFormat="false" ht="68.65" hidden="false" customHeight="false" outlineLevel="0" collapsed="false">
      <c r="A161" s="117" t="n">
        <v>2</v>
      </c>
      <c r="B161" s="182" t="s">
        <v>5213</v>
      </c>
    </row>
    <row r="162" customFormat="false" ht="57.45" hidden="false" customHeight="false" outlineLevel="0" collapsed="false">
      <c r="A162" s="117" t="n">
        <v>3</v>
      </c>
      <c r="B162" s="182" t="s">
        <v>5214</v>
      </c>
    </row>
    <row r="163" customFormat="false" ht="57.45" hidden="false" customHeight="false" outlineLevel="0" collapsed="false">
      <c r="A163" s="117" t="n">
        <v>4</v>
      </c>
      <c r="B163" s="182" t="s">
        <v>5215</v>
      </c>
    </row>
    <row r="164" customFormat="false" ht="68.65" hidden="false" customHeight="false" outlineLevel="0" collapsed="false">
      <c r="A164" s="117" t="n">
        <v>5</v>
      </c>
      <c r="B164" s="182" t="s">
        <v>5216</v>
      </c>
    </row>
    <row r="165" customFormat="false" ht="57.45" hidden="false" customHeight="false" outlineLevel="0" collapsed="false">
      <c r="A165" s="117" t="n">
        <v>6</v>
      </c>
      <c r="B165" s="182" t="s">
        <v>5217</v>
      </c>
    </row>
    <row r="166" customFormat="false" ht="57.45" hidden="false" customHeight="false" outlineLevel="0" collapsed="false">
      <c r="A166" s="117" t="n">
        <v>7</v>
      </c>
      <c r="B166" s="182" t="s">
        <v>5218</v>
      </c>
    </row>
    <row r="167" customFormat="false" ht="68.65" hidden="false" customHeight="false" outlineLevel="0" collapsed="false">
      <c r="A167" s="117" t="n">
        <v>8</v>
      </c>
      <c r="B167" s="182" t="s">
        <v>5219</v>
      </c>
    </row>
    <row r="168" customFormat="false" ht="68.65" hidden="false" customHeight="false" outlineLevel="0" collapsed="false">
      <c r="A168" s="117" t="n">
        <v>9</v>
      </c>
      <c r="B168" s="182" t="s">
        <v>5220</v>
      </c>
    </row>
    <row r="169" customFormat="false" ht="57.45" hidden="false" customHeight="false" outlineLevel="0" collapsed="false">
      <c r="A169" s="117" t="n">
        <v>10</v>
      </c>
      <c r="B169" s="182" t="s">
        <v>5221</v>
      </c>
    </row>
    <row r="170" customFormat="false" ht="68.65" hidden="false" customHeight="false" outlineLevel="0" collapsed="false">
      <c r="A170" s="117" t="n">
        <v>11</v>
      </c>
      <c r="B170" s="182" t="s">
        <v>5222</v>
      </c>
    </row>
    <row r="171" customFormat="false" ht="57.45" hidden="false" customHeight="false" outlineLevel="0" collapsed="false">
      <c r="A171" s="117" t="n">
        <v>12</v>
      </c>
      <c r="B171" s="182" t="s">
        <v>5223</v>
      </c>
    </row>
    <row r="172" customFormat="false" ht="68.65" hidden="false" customHeight="false" outlineLevel="0" collapsed="false">
      <c r="A172" s="117" t="n">
        <v>13</v>
      </c>
      <c r="B172" s="182" t="s">
        <v>5224</v>
      </c>
    </row>
    <row r="173" customFormat="false" ht="57.45" hidden="false" customHeight="false" outlineLevel="0" collapsed="false">
      <c r="A173" s="117" t="n">
        <v>14</v>
      </c>
      <c r="B173" s="182" t="s">
        <v>5225</v>
      </c>
    </row>
    <row r="174" customFormat="false" ht="68.65" hidden="false" customHeight="false" outlineLevel="0" collapsed="false">
      <c r="A174" s="117" t="n">
        <v>15</v>
      </c>
      <c r="B174" s="182" t="s">
        <v>5226</v>
      </c>
    </row>
  </sheetData>
  <mergeCells count="12">
    <mergeCell ref="B1:I1"/>
    <mergeCell ref="B2:I2"/>
    <mergeCell ref="B4:I4"/>
    <mergeCell ref="B13:I13"/>
    <mergeCell ref="B17:I17"/>
    <mergeCell ref="B23:I23"/>
    <mergeCell ref="A76:C76"/>
    <mergeCell ref="A92:C92"/>
    <mergeCell ref="A108:C108"/>
    <mergeCell ref="A125:C125"/>
    <mergeCell ref="A142:C142"/>
    <mergeCell ref="A159:C1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22"/>
    <col collapsed="false" customWidth="true" hidden="false" outlineLevel="0" max="4" min="4" style="1" width="35"/>
    <col collapsed="false" customWidth="true" hidden="false" outlineLevel="0" max="5" min="5" style="1" width="55"/>
    <col collapsed="false" customWidth="true" hidden="false" outlineLevel="0" max="6" min="6" style="1" width="28"/>
    <col collapsed="false" customWidth="true" hidden="false" outlineLevel="0" max="8" min="7" style="1" width="20"/>
    <col collapsed="false" customWidth="true" hidden="false" outlineLevel="0" max="9" min="9" style="1" width="3"/>
  </cols>
  <sheetData>
    <row r="1" customFormat="false" ht="36" hidden="false" customHeight="true" outlineLevel="0" collapsed="false">
      <c r="B1" s="144" t="s">
        <v>5227</v>
      </c>
      <c r="C1" s="144"/>
      <c r="D1" s="144"/>
      <c r="E1" s="144"/>
      <c r="F1" s="144"/>
      <c r="G1" s="144"/>
      <c r="H1" s="144"/>
      <c r="I1" s="144"/>
    </row>
    <row r="2" customFormat="false" ht="27.75" hidden="false" customHeight="true" outlineLevel="0" collapsed="false">
      <c r="B2" s="145" t="s">
        <v>5228</v>
      </c>
      <c r="C2" s="145"/>
      <c r="D2" s="145"/>
      <c r="E2" s="145"/>
      <c r="F2" s="145"/>
      <c r="G2" s="145"/>
      <c r="H2" s="145"/>
      <c r="I2" s="145"/>
    </row>
    <row r="3" customFormat="false" ht="21.75" hidden="false" customHeight="true" outlineLevel="0" collapsed="false">
      <c r="B3" s="146" t="s">
        <v>638</v>
      </c>
      <c r="C3" s="146" t="s">
        <v>5229</v>
      </c>
      <c r="D3" s="146" t="s">
        <v>1839</v>
      </c>
      <c r="E3" s="146" t="s">
        <v>5230</v>
      </c>
      <c r="F3" s="146" t="s">
        <v>3562</v>
      </c>
      <c r="G3" s="146" t="s">
        <v>5231</v>
      </c>
      <c r="H3" s="146" t="s">
        <v>412</v>
      </c>
      <c r="I3" s="146" t="s">
        <v>5232</v>
      </c>
    </row>
    <row r="4" customFormat="false" ht="21.75" hidden="false" customHeight="true" outlineLevel="0" collapsed="false">
      <c r="B4" s="165" t="s">
        <v>5233</v>
      </c>
      <c r="C4" s="165"/>
      <c r="D4" s="165"/>
      <c r="E4" s="165"/>
      <c r="F4" s="165"/>
      <c r="G4" s="165"/>
      <c r="H4" s="165"/>
      <c r="I4" s="165"/>
    </row>
    <row r="5" customFormat="false" ht="27.75" hidden="false" customHeight="true" outlineLevel="0" collapsed="false">
      <c r="B5" s="174" t="n">
        <v>1</v>
      </c>
      <c r="C5" s="175" t="s">
        <v>538</v>
      </c>
      <c r="D5" s="22" t="s">
        <v>5234</v>
      </c>
      <c r="E5" s="183" t="s">
        <v>5235</v>
      </c>
      <c r="F5" s="184" t="s">
        <v>5236</v>
      </c>
      <c r="G5" s="185" t="s">
        <v>4097</v>
      </c>
      <c r="H5" s="178" t="s">
        <v>1759</v>
      </c>
      <c r="I5" s="29"/>
    </row>
    <row r="6" customFormat="false" ht="27.75" hidden="false" customHeight="true" outlineLevel="0" collapsed="false">
      <c r="B6" s="166" t="n">
        <v>2</v>
      </c>
      <c r="C6" s="167" t="s">
        <v>538</v>
      </c>
      <c r="D6" s="168" t="s">
        <v>5237</v>
      </c>
      <c r="E6" s="186" t="s">
        <v>5238</v>
      </c>
      <c r="F6" s="187" t="s">
        <v>5239</v>
      </c>
      <c r="G6" s="188" t="s">
        <v>4341</v>
      </c>
      <c r="H6" s="172" t="s">
        <v>1759</v>
      </c>
      <c r="I6" s="173"/>
    </row>
    <row r="7" customFormat="false" ht="27.75" hidden="false" customHeight="true" outlineLevel="0" collapsed="false">
      <c r="B7" s="174" t="n">
        <v>3</v>
      </c>
      <c r="C7" s="175" t="s">
        <v>538</v>
      </c>
      <c r="D7" s="22" t="s">
        <v>5240</v>
      </c>
      <c r="E7" s="183" t="s">
        <v>5241</v>
      </c>
      <c r="F7" s="184" t="s">
        <v>5242</v>
      </c>
      <c r="G7" s="185" t="s">
        <v>4776</v>
      </c>
      <c r="H7" s="178" t="s">
        <v>1759</v>
      </c>
      <c r="I7" s="29"/>
    </row>
    <row r="8" customFormat="false" ht="27.75" hidden="false" customHeight="true" outlineLevel="0" collapsed="false">
      <c r="B8" s="166" t="n">
        <v>4</v>
      </c>
      <c r="C8" s="167" t="s">
        <v>538</v>
      </c>
      <c r="D8" s="168" t="s">
        <v>5243</v>
      </c>
      <c r="E8" s="186" t="s">
        <v>5244</v>
      </c>
      <c r="F8" s="187" t="s">
        <v>5245</v>
      </c>
      <c r="G8" s="188" t="s">
        <v>4776</v>
      </c>
      <c r="H8" s="172" t="s">
        <v>1759</v>
      </c>
      <c r="I8" s="173"/>
    </row>
    <row r="9" customFormat="false" ht="27.75" hidden="false" customHeight="true" outlineLevel="0" collapsed="false">
      <c r="B9" s="174" t="n">
        <v>5</v>
      </c>
      <c r="C9" s="175" t="s">
        <v>538</v>
      </c>
      <c r="D9" s="22" t="s">
        <v>5246</v>
      </c>
      <c r="E9" s="183" t="s">
        <v>5247</v>
      </c>
      <c r="F9" s="184" t="s">
        <v>5248</v>
      </c>
      <c r="G9" s="185" t="s">
        <v>4352</v>
      </c>
      <c r="H9" s="178" t="s">
        <v>1759</v>
      </c>
      <c r="I9" s="29"/>
    </row>
    <row r="10" customFormat="false" ht="21.75" hidden="false" customHeight="true" outlineLevel="0" collapsed="false">
      <c r="B10" s="179" t="s">
        <v>5249</v>
      </c>
      <c r="C10" s="179"/>
      <c r="D10" s="179"/>
      <c r="E10" s="179"/>
      <c r="F10" s="179"/>
      <c r="G10" s="179"/>
      <c r="H10" s="179"/>
      <c r="I10" s="179"/>
    </row>
    <row r="11" customFormat="false" ht="27.75" hidden="false" customHeight="true" outlineLevel="0" collapsed="false">
      <c r="B11" s="166" t="n">
        <v>6</v>
      </c>
      <c r="C11" s="167" t="s">
        <v>538</v>
      </c>
      <c r="D11" s="168" t="s">
        <v>5250</v>
      </c>
      <c r="E11" s="186" t="s">
        <v>5251</v>
      </c>
      <c r="F11" s="187" t="s">
        <v>5252</v>
      </c>
      <c r="G11" s="188" t="s">
        <v>4097</v>
      </c>
      <c r="H11" s="172" t="s">
        <v>1759</v>
      </c>
      <c r="I11" s="173"/>
    </row>
    <row r="12" customFormat="false" ht="27.75" hidden="false" customHeight="true" outlineLevel="0" collapsed="false">
      <c r="B12" s="174" t="n">
        <v>7</v>
      </c>
      <c r="C12" s="175" t="s">
        <v>538</v>
      </c>
      <c r="D12" s="22" t="s">
        <v>5253</v>
      </c>
      <c r="E12" s="183" t="s">
        <v>5254</v>
      </c>
      <c r="F12" s="184" t="s">
        <v>5255</v>
      </c>
      <c r="G12" s="185" t="s">
        <v>4341</v>
      </c>
      <c r="H12" s="178" t="s">
        <v>1759</v>
      </c>
      <c r="I12" s="29"/>
    </row>
    <row r="13" customFormat="false" ht="27.75" hidden="false" customHeight="true" outlineLevel="0" collapsed="false">
      <c r="B13" s="166" t="n">
        <v>8</v>
      </c>
      <c r="C13" s="167" t="s">
        <v>538</v>
      </c>
      <c r="D13" s="168" t="s">
        <v>5256</v>
      </c>
      <c r="E13" s="186" t="s">
        <v>5257</v>
      </c>
      <c r="F13" s="187" t="s">
        <v>5258</v>
      </c>
      <c r="G13" s="188" t="s">
        <v>4776</v>
      </c>
      <c r="H13" s="172" t="s">
        <v>1759</v>
      </c>
      <c r="I13" s="173"/>
    </row>
    <row r="14" customFormat="false" ht="27.75" hidden="false" customHeight="true" outlineLevel="0" collapsed="false">
      <c r="B14" s="174" t="n">
        <v>9</v>
      </c>
      <c r="C14" s="175" t="s">
        <v>538</v>
      </c>
      <c r="D14" s="22" t="s">
        <v>5259</v>
      </c>
      <c r="E14" s="183" t="s">
        <v>5260</v>
      </c>
      <c r="F14" s="184" t="s">
        <v>5261</v>
      </c>
      <c r="G14" s="185" t="s">
        <v>4114</v>
      </c>
      <c r="H14" s="178" t="s">
        <v>1759</v>
      </c>
      <c r="I14" s="29"/>
    </row>
    <row r="15" customFormat="false" ht="27.75" hidden="false" customHeight="true" outlineLevel="0" collapsed="false">
      <c r="B15" s="166" t="n">
        <v>10</v>
      </c>
      <c r="C15" s="167" t="s">
        <v>538</v>
      </c>
      <c r="D15" s="168" t="s">
        <v>5262</v>
      </c>
      <c r="E15" s="186" t="s">
        <v>5263</v>
      </c>
      <c r="F15" s="187" t="s">
        <v>5264</v>
      </c>
      <c r="G15" s="188" t="s">
        <v>4114</v>
      </c>
      <c r="H15" s="172" t="s">
        <v>1759</v>
      </c>
      <c r="I15" s="173"/>
    </row>
    <row r="16" customFormat="false" ht="21.75" hidden="false" customHeight="true" outlineLevel="0" collapsed="false">
      <c r="B16" s="181" t="s">
        <v>5265</v>
      </c>
      <c r="C16" s="181"/>
      <c r="D16" s="181"/>
      <c r="E16" s="181"/>
      <c r="F16" s="181"/>
      <c r="G16" s="181"/>
      <c r="H16" s="181"/>
      <c r="I16" s="181"/>
    </row>
    <row r="17" customFormat="false" ht="27.75" hidden="false" customHeight="true" outlineLevel="0" collapsed="false">
      <c r="B17" s="174" t="n">
        <v>11</v>
      </c>
      <c r="C17" s="175" t="s">
        <v>538</v>
      </c>
      <c r="D17" s="22" t="s">
        <v>5266</v>
      </c>
      <c r="E17" s="183" t="s">
        <v>5267</v>
      </c>
      <c r="F17" s="184" t="s">
        <v>5268</v>
      </c>
      <c r="G17" s="185" t="s">
        <v>4341</v>
      </c>
      <c r="H17" s="178" t="s">
        <v>1759</v>
      </c>
      <c r="I17" s="29"/>
    </row>
    <row r="18" customFormat="false" ht="27.75" hidden="false" customHeight="true" outlineLevel="0" collapsed="false">
      <c r="B18" s="166" t="n">
        <v>12</v>
      </c>
      <c r="C18" s="167" t="s">
        <v>538</v>
      </c>
      <c r="D18" s="168" t="s">
        <v>5269</v>
      </c>
      <c r="E18" s="186" t="s">
        <v>5270</v>
      </c>
      <c r="F18" s="187" t="s">
        <v>5271</v>
      </c>
      <c r="G18" s="188" t="s">
        <v>4114</v>
      </c>
      <c r="H18" s="172" t="s">
        <v>1759</v>
      </c>
      <c r="I18" s="173"/>
    </row>
    <row r="19" customFormat="false" ht="27.75" hidden="false" customHeight="true" outlineLevel="0" collapsed="false">
      <c r="B19" s="174" t="n">
        <v>13</v>
      </c>
      <c r="C19" s="175" t="s">
        <v>538</v>
      </c>
      <c r="D19" s="22" t="s">
        <v>5272</v>
      </c>
      <c r="E19" s="183" t="s">
        <v>5273</v>
      </c>
      <c r="F19" s="184" t="s">
        <v>5274</v>
      </c>
      <c r="G19" s="185" t="s">
        <v>4341</v>
      </c>
      <c r="H19" s="178" t="s">
        <v>1759</v>
      </c>
      <c r="I19" s="29"/>
    </row>
    <row r="20" customFormat="false" ht="21.75" hidden="false" customHeight="true" outlineLevel="0" collapsed="false">
      <c r="B20" s="180" t="s">
        <v>5275</v>
      </c>
      <c r="C20" s="180"/>
      <c r="D20" s="180"/>
      <c r="E20" s="180"/>
      <c r="F20" s="180"/>
      <c r="G20" s="180"/>
      <c r="H20" s="180"/>
      <c r="I20" s="180"/>
    </row>
    <row r="21" customFormat="false" ht="27.75" hidden="false" customHeight="true" outlineLevel="0" collapsed="false">
      <c r="B21" s="166" t="n">
        <v>14</v>
      </c>
      <c r="C21" s="167" t="s">
        <v>5276</v>
      </c>
      <c r="D21" s="168" t="s">
        <v>5277</v>
      </c>
      <c r="E21" s="186" t="s">
        <v>5278</v>
      </c>
      <c r="F21" s="187" t="s">
        <v>5279</v>
      </c>
      <c r="G21" s="188" t="s">
        <v>4097</v>
      </c>
      <c r="H21" s="172" t="s">
        <v>1759</v>
      </c>
      <c r="I21" s="173"/>
    </row>
    <row r="22" customFormat="false" ht="27.75" hidden="false" customHeight="true" outlineLevel="0" collapsed="false">
      <c r="B22" s="174" t="n">
        <v>15</v>
      </c>
      <c r="C22" s="175" t="s">
        <v>5276</v>
      </c>
      <c r="D22" s="22" t="s">
        <v>5280</v>
      </c>
      <c r="E22" s="183" t="s">
        <v>5281</v>
      </c>
      <c r="F22" s="184" t="s">
        <v>5282</v>
      </c>
      <c r="G22" s="185" t="s">
        <v>4776</v>
      </c>
      <c r="H22" s="178" t="s">
        <v>1759</v>
      </c>
      <c r="I22" s="29"/>
    </row>
    <row r="23" customFormat="false" ht="27.75" hidden="false" customHeight="true" outlineLevel="0" collapsed="false">
      <c r="B23" s="166" t="n">
        <v>16</v>
      </c>
      <c r="C23" s="167" t="s">
        <v>5276</v>
      </c>
      <c r="D23" s="168" t="s">
        <v>5283</v>
      </c>
      <c r="E23" s="186" t="s">
        <v>5284</v>
      </c>
      <c r="F23" s="187" t="s">
        <v>5285</v>
      </c>
      <c r="G23" s="188" t="s">
        <v>4114</v>
      </c>
      <c r="H23" s="172" t="s">
        <v>1759</v>
      </c>
      <c r="I23" s="173"/>
    </row>
    <row r="24" customFormat="false" ht="27.75" hidden="false" customHeight="true" outlineLevel="0" collapsed="false">
      <c r="B24" s="174" t="n">
        <v>17</v>
      </c>
      <c r="C24" s="175" t="s">
        <v>5276</v>
      </c>
      <c r="D24" s="22" t="s">
        <v>5286</v>
      </c>
      <c r="E24" s="183" t="s">
        <v>5287</v>
      </c>
      <c r="F24" s="184" t="s">
        <v>5288</v>
      </c>
      <c r="G24" s="185" t="s">
        <v>4352</v>
      </c>
      <c r="H24" s="178" t="s">
        <v>1759</v>
      </c>
      <c r="I24" s="29"/>
    </row>
    <row r="25" customFormat="false" ht="27.75" hidden="false" customHeight="true" outlineLevel="0" collapsed="false">
      <c r="B25" s="166" t="n">
        <v>18</v>
      </c>
      <c r="C25" s="167" t="s">
        <v>5276</v>
      </c>
      <c r="D25" s="168" t="s">
        <v>5289</v>
      </c>
      <c r="E25" s="186" t="s">
        <v>5290</v>
      </c>
      <c r="F25" s="187" t="s">
        <v>5291</v>
      </c>
      <c r="G25" s="188" t="s">
        <v>4352</v>
      </c>
      <c r="H25" s="172" t="s">
        <v>1759</v>
      </c>
      <c r="I25" s="173"/>
    </row>
    <row r="26" customFormat="false" ht="21.75" hidden="false" customHeight="true" outlineLevel="0" collapsed="false">
      <c r="B26" s="189" t="s">
        <v>5292</v>
      </c>
      <c r="C26" s="189"/>
      <c r="D26" s="189"/>
      <c r="E26" s="189"/>
      <c r="F26" s="189"/>
      <c r="G26" s="189"/>
      <c r="H26" s="189"/>
      <c r="I26" s="189"/>
    </row>
    <row r="27" customFormat="false" ht="27.75" hidden="false" customHeight="true" outlineLevel="0" collapsed="false">
      <c r="B27" s="174" t="n">
        <v>19</v>
      </c>
      <c r="C27" s="175" t="s">
        <v>1724</v>
      </c>
      <c r="D27" s="22" t="s">
        <v>5293</v>
      </c>
      <c r="E27" s="183" t="s">
        <v>5294</v>
      </c>
      <c r="F27" s="184" t="s">
        <v>5295</v>
      </c>
      <c r="G27" s="185" t="s">
        <v>4097</v>
      </c>
      <c r="H27" s="178" t="s">
        <v>1759</v>
      </c>
      <c r="I27" s="29"/>
    </row>
    <row r="28" customFormat="false" ht="27.75" hidden="false" customHeight="true" outlineLevel="0" collapsed="false">
      <c r="B28" s="166" t="n">
        <v>20</v>
      </c>
      <c r="C28" s="167" t="s">
        <v>1724</v>
      </c>
      <c r="D28" s="168" t="s">
        <v>5296</v>
      </c>
      <c r="E28" s="186" t="s">
        <v>5297</v>
      </c>
      <c r="F28" s="187" t="s">
        <v>5298</v>
      </c>
      <c r="G28" s="188" t="s">
        <v>4341</v>
      </c>
      <c r="H28" s="172" t="s">
        <v>1759</v>
      </c>
      <c r="I28" s="173"/>
    </row>
    <row r="29" customFormat="false" ht="27.75" hidden="false" customHeight="true" outlineLevel="0" collapsed="false">
      <c r="B29" s="174" t="n">
        <v>21</v>
      </c>
      <c r="C29" s="175" t="s">
        <v>1724</v>
      </c>
      <c r="D29" s="22" t="s">
        <v>5299</v>
      </c>
      <c r="E29" s="183" t="s">
        <v>5300</v>
      </c>
      <c r="F29" s="184" t="s">
        <v>5301</v>
      </c>
      <c r="G29" s="185" t="s">
        <v>4114</v>
      </c>
      <c r="H29" s="178" t="s">
        <v>1759</v>
      </c>
      <c r="I29" s="29"/>
    </row>
    <row r="30" customFormat="false" ht="27.75" hidden="false" customHeight="true" outlineLevel="0" collapsed="false">
      <c r="B30" s="166" t="n">
        <v>22</v>
      </c>
      <c r="C30" s="167" t="s">
        <v>1724</v>
      </c>
      <c r="D30" s="168" t="s">
        <v>5302</v>
      </c>
      <c r="E30" s="186" t="s">
        <v>5303</v>
      </c>
      <c r="F30" s="187" t="s">
        <v>5304</v>
      </c>
      <c r="G30" s="188" t="s">
        <v>4352</v>
      </c>
      <c r="H30" s="172" t="s">
        <v>1759</v>
      </c>
      <c r="I30" s="173"/>
    </row>
    <row r="31" customFormat="false" ht="21.75" hidden="false" customHeight="true" outlineLevel="0" collapsed="false">
      <c r="B31" s="190" t="s">
        <v>5305</v>
      </c>
      <c r="C31" s="190"/>
      <c r="D31" s="190"/>
      <c r="E31" s="190"/>
      <c r="F31" s="190"/>
      <c r="G31" s="190"/>
      <c r="H31" s="190"/>
      <c r="I31" s="190"/>
    </row>
    <row r="32" customFormat="false" ht="27.75" hidden="false" customHeight="true" outlineLevel="0" collapsed="false">
      <c r="B32" s="174" t="n">
        <v>23</v>
      </c>
      <c r="C32" s="175" t="s">
        <v>1960</v>
      </c>
      <c r="D32" s="22" t="s">
        <v>5306</v>
      </c>
      <c r="E32" s="183" t="s">
        <v>5307</v>
      </c>
      <c r="F32" s="184" t="s">
        <v>5308</v>
      </c>
      <c r="G32" s="185" t="s">
        <v>5309</v>
      </c>
      <c r="H32" s="178" t="s">
        <v>1759</v>
      </c>
      <c r="I32" s="29"/>
    </row>
    <row r="33" customFormat="false" ht="27.75" hidden="false" customHeight="true" outlineLevel="0" collapsed="false">
      <c r="B33" s="166" t="n">
        <v>24</v>
      </c>
      <c r="C33" s="167" t="s">
        <v>1960</v>
      </c>
      <c r="D33" s="168" t="s">
        <v>5310</v>
      </c>
      <c r="E33" s="186" t="s">
        <v>5311</v>
      </c>
      <c r="F33" s="187" t="s">
        <v>5312</v>
      </c>
      <c r="G33" s="188" t="s">
        <v>5309</v>
      </c>
      <c r="H33" s="172" t="s">
        <v>1759</v>
      </c>
      <c r="I33" s="173"/>
    </row>
    <row r="34" customFormat="false" ht="27.75" hidden="false" customHeight="true" outlineLevel="0" collapsed="false">
      <c r="B34" s="174" t="n">
        <v>25</v>
      </c>
      <c r="C34" s="175" t="s">
        <v>575</v>
      </c>
      <c r="D34" s="22" t="s">
        <v>5313</v>
      </c>
      <c r="E34" s="183" t="s">
        <v>5314</v>
      </c>
      <c r="F34" s="184" t="s">
        <v>5239</v>
      </c>
      <c r="G34" s="185" t="s">
        <v>5315</v>
      </c>
      <c r="H34" s="178" t="s">
        <v>1759</v>
      </c>
      <c r="I34" s="29"/>
    </row>
    <row r="35" customFormat="false" ht="27.75" hidden="false" customHeight="true" outlineLevel="0" collapsed="false">
      <c r="B35" s="166" t="n">
        <v>26</v>
      </c>
      <c r="C35" s="167" t="s">
        <v>1960</v>
      </c>
      <c r="D35" s="168" t="s">
        <v>5316</v>
      </c>
      <c r="E35" s="186" t="s">
        <v>5317</v>
      </c>
      <c r="F35" s="187" t="s">
        <v>5318</v>
      </c>
      <c r="G35" s="188" t="s">
        <v>5319</v>
      </c>
      <c r="H35" s="172" t="s">
        <v>1759</v>
      </c>
      <c r="I35" s="173"/>
    </row>
    <row r="38" customFormat="false" ht="17.35" hidden="false" customHeight="false" outlineLevel="0" collapsed="false">
      <c r="A38" s="71" t="s">
        <v>5320</v>
      </c>
    </row>
    <row r="40" customFormat="false" ht="15" hidden="false" customHeight="false" outlineLevel="0" collapsed="false">
      <c r="A40" s="72" t="s">
        <v>5321</v>
      </c>
    </row>
    <row r="41" customFormat="false" ht="15" hidden="false" customHeight="false" outlineLevel="0" collapsed="false">
      <c r="A41" s="3" t="s">
        <v>638</v>
      </c>
      <c r="B41" s="3" t="s">
        <v>1838</v>
      </c>
      <c r="C41" s="3" t="s">
        <v>434</v>
      </c>
      <c r="D41" s="3" t="s">
        <v>1839</v>
      </c>
      <c r="E41" s="3" t="s">
        <v>1754</v>
      </c>
      <c r="F41" s="3" t="s">
        <v>4975</v>
      </c>
      <c r="G41" s="3" t="s">
        <v>4974</v>
      </c>
    </row>
    <row r="42" customFormat="false" ht="23.85" hidden="false" customHeight="false" outlineLevel="0" collapsed="false">
      <c r="A42" s="73" t="s">
        <v>490</v>
      </c>
      <c r="B42" s="73" t="s">
        <v>5322</v>
      </c>
      <c r="C42" s="73" t="s">
        <v>5323</v>
      </c>
      <c r="D42" s="73" t="s">
        <v>5324</v>
      </c>
      <c r="E42" s="73" t="s">
        <v>5325</v>
      </c>
      <c r="F42" s="73" t="s">
        <v>5326</v>
      </c>
      <c r="G42" s="73" t="s">
        <v>498</v>
      </c>
    </row>
    <row r="43" customFormat="false" ht="23.85" hidden="false" customHeight="false" outlineLevel="0" collapsed="false">
      <c r="A43" s="75" t="s">
        <v>496</v>
      </c>
      <c r="B43" s="75" t="s">
        <v>5327</v>
      </c>
      <c r="C43" s="75" t="s">
        <v>443</v>
      </c>
      <c r="D43" s="75" t="s">
        <v>5328</v>
      </c>
      <c r="E43" s="75" t="s">
        <v>5329</v>
      </c>
      <c r="F43" s="75" t="s">
        <v>5330</v>
      </c>
      <c r="G43" s="75" t="s">
        <v>5042</v>
      </c>
    </row>
    <row r="44" customFormat="false" ht="23.85" hidden="false" customHeight="false" outlineLevel="0" collapsed="false">
      <c r="A44" s="73" t="s">
        <v>502</v>
      </c>
      <c r="B44" s="73" t="s">
        <v>5331</v>
      </c>
      <c r="C44" s="73" t="s">
        <v>5332</v>
      </c>
      <c r="D44" s="73" t="s">
        <v>5333</v>
      </c>
      <c r="E44" s="73" t="s">
        <v>5334</v>
      </c>
      <c r="F44" s="73" t="s">
        <v>5335</v>
      </c>
      <c r="G44" s="73" t="s">
        <v>5094</v>
      </c>
    </row>
    <row r="45" customFormat="false" ht="23.85" hidden="false" customHeight="false" outlineLevel="0" collapsed="false">
      <c r="A45" s="75" t="s">
        <v>507</v>
      </c>
      <c r="B45" s="75" t="s">
        <v>5336</v>
      </c>
      <c r="C45" s="75" t="s">
        <v>606</v>
      </c>
      <c r="D45" s="75" t="s">
        <v>5337</v>
      </c>
      <c r="E45" s="75" t="s">
        <v>5338</v>
      </c>
      <c r="F45" s="75" t="s">
        <v>5339</v>
      </c>
      <c r="G45" s="75" t="s">
        <v>5340</v>
      </c>
    </row>
    <row r="46" customFormat="false" ht="23.85" hidden="false" customHeight="false" outlineLevel="0" collapsed="false">
      <c r="A46" s="73" t="s">
        <v>511</v>
      </c>
      <c r="B46" s="73" t="s">
        <v>5341</v>
      </c>
      <c r="C46" s="73" t="s">
        <v>5342</v>
      </c>
      <c r="D46" s="73" t="s">
        <v>5343</v>
      </c>
      <c r="E46" s="73" t="s">
        <v>5344</v>
      </c>
      <c r="F46" s="73" t="s">
        <v>5345</v>
      </c>
      <c r="G46" s="73" t="s">
        <v>498</v>
      </c>
    </row>
    <row r="47" customFormat="false" ht="23.85" hidden="false" customHeight="false" outlineLevel="0" collapsed="false">
      <c r="A47" s="75" t="s">
        <v>516</v>
      </c>
      <c r="B47" s="75" t="s">
        <v>5346</v>
      </c>
      <c r="C47" s="75" t="s">
        <v>458</v>
      </c>
      <c r="D47" s="75" t="s">
        <v>5347</v>
      </c>
      <c r="E47" s="75" t="s">
        <v>5348</v>
      </c>
      <c r="F47" s="75" t="s">
        <v>5349</v>
      </c>
      <c r="G47" s="75" t="s">
        <v>498</v>
      </c>
    </row>
    <row r="48" customFormat="false" ht="23.85" hidden="false" customHeight="false" outlineLevel="0" collapsed="false">
      <c r="A48" s="73" t="s">
        <v>519</v>
      </c>
      <c r="B48" s="73" t="s">
        <v>5350</v>
      </c>
      <c r="C48" s="73" t="s">
        <v>697</v>
      </c>
      <c r="D48" s="73" t="s">
        <v>5351</v>
      </c>
      <c r="E48" s="73" t="s">
        <v>5352</v>
      </c>
      <c r="F48" s="73" t="s">
        <v>5353</v>
      </c>
      <c r="G48" s="73" t="s">
        <v>5340</v>
      </c>
    </row>
    <row r="49" customFormat="false" ht="23.85" hidden="false" customHeight="false" outlineLevel="0" collapsed="false">
      <c r="A49" s="75" t="s">
        <v>523</v>
      </c>
      <c r="B49" s="75" t="s">
        <v>5354</v>
      </c>
      <c r="C49" s="75" t="s">
        <v>875</v>
      </c>
      <c r="D49" s="75" t="s">
        <v>5355</v>
      </c>
      <c r="E49" s="75" t="s">
        <v>5356</v>
      </c>
      <c r="F49" s="75" t="s">
        <v>5357</v>
      </c>
      <c r="G49" s="75" t="s">
        <v>5004</v>
      </c>
    </row>
    <row r="51" customFormat="false" ht="15" hidden="false" customHeight="false" outlineLevel="0" collapsed="false">
      <c r="A51" s="72" t="s">
        <v>5358</v>
      </c>
    </row>
    <row r="52" customFormat="false" ht="15" hidden="false" customHeight="false" outlineLevel="0" collapsed="false">
      <c r="A52" s="3" t="s">
        <v>638</v>
      </c>
      <c r="B52" s="3" t="s">
        <v>1838</v>
      </c>
      <c r="C52" s="3" t="s">
        <v>434</v>
      </c>
      <c r="D52" s="3" t="s">
        <v>1839</v>
      </c>
      <c r="E52" s="3" t="s">
        <v>1754</v>
      </c>
      <c r="F52" s="3" t="s">
        <v>4975</v>
      </c>
      <c r="G52" s="3" t="s">
        <v>4974</v>
      </c>
    </row>
    <row r="53" customFormat="false" ht="23.85" hidden="false" customHeight="false" outlineLevel="0" collapsed="false">
      <c r="A53" s="73" t="s">
        <v>530</v>
      </c>
      <c r="B53" s="73" t="s">
        <v>5359</v>
      </c>
      <c r="C53" s="73" t="s">
        <v>866</v>
      </c>
      <c r="D53" s="73" t="s">
        <v>5360</v>
      </c>
      <c r="E53" s="73" t="s">
        <v>5361</v>
      </c>
      <c r="F53" s="73" t="s">
        <v>5362</v>
      </c>
      <c r="G53" s="73" t="s">
        <v>5047</v>
      </c>
    </row>
    <row r="54" customFormat="false" ht="23.85" hidden="false" customHeight="false" outlineLevel="0" collapsed="false">
      <c r="A54" s="75" t="s">
        <v>535</v>
      </c>
      <c r="B54" s="75" t="s">
        <v>5363</v>
      </c>
      <c r="C54" s="75" t="s">
        <v>606</v>
      </c>
      <c r="D54" s="75" t="s">
        <v>5364</v>
      </c>
      <c r="E54" s="75" t="s">
        <v>5365</v>
      </c>
      <c r="F54" s="75" t="s">
        <v>5366</v>
      </c>
      <c r="G54" s="75" t="s">
        <v>5019</v>
      </c>
    </row>
    <row r="55" customFormat="false" ht="23.85" hidden="false" customHeight="false" outlineLevel="0" collapsed="false">
      <c r="A55" s="73" t="s">
        <v>542</v>
      </c>
      <c r="B55" s="73" t="s">
        <v>5346</v>
      </c>
      <c r="C55" s="73" t="s">
        <v>4991</v>
      </c>
      <c r="D55" s="73" t="s">
        <v>5367</v>
      </c>
      <c r="E55" s="73" t="s">
        <v>5368</v>
      </c>
      <c r="F55" s="73" t="s">
        <v>5369</v>
      </c>
      <c r="G55" s="73" t="s">
        <v>4994</v>
      </c>
    </row>
    <row r="56" customFormat="false" ht="23.85" hidden="false" customHeight="false" outlineLevel="0" collapsed="false">
      <c r="A56" s="75" t="s">
        <v>546</v>
      </c>
      <c r="B56" s="75" t="s">
        <v>5350</v>
      </c>
      <c r="C56" s="75" t="s">
        <v>1150</v>
      </c>
      <c r="D56" s="75" t="s">
        <v>5370</v>
      </c>
      <c r="E56" s="75" t="s">
        <v>5371</v>
      </c>
      <c r="F56" s="75" t="s">
        <v>5372</v>
      </c>
      <c r="G56" s="75" t="s">
        <v>4787</v>
      </c>
    </row>
    <row r="57" customFormat="false" ht="23.85" hidden="false" customHeight="false" outlineLevel="0" collapsed="false">
      <c r="A57" s="73" t="s">
        <v>551</v>
      </c>
      <c r="B57" s="73" t="s">
        <v>5112</v>
      </c>
      <c r="C57" s="73" t="s">
        <v>5373</v>
      </c>
      <c r="D57" s="73" t="s">
        <v>5374</v>
      </c>
      <c r="E57" s="73" t="s">
        <v>5375</v>
      </c>
      <c r="F57" s="73" t="s">
        <v>5376</v>
      </c>
      <c r="G57" s="73" t="s">
        <v>5377</v>
      </c>
    </row>
    <row r="59" customFormat="false" ht="15" hidden="false" customHeight="false" outlineLevel="0" collapsed="false">
      <c r="A59" s="72" t="s">
        <v>5378</v>
      </c>
    </row>
    <row r="60" customFormat="false" ht="15" hidden="false" customHeight="false" outlineLevel="0" collapsed="false">
      <c r="A60" s="3" t="s">
        <v>638</v>
      </c>
      <c r="B60" s="3" t="s">
        <v>1838</v>
      </c>
      <c r="C60" s="3" t="s">
        <v>434</v>
      </c>
      <c r="D60" s="3" t="s">
        <v>1839</v>
      </c>
      <c r="E60" s="3" t="s">
        <v>1754</v>
      </c>
      <c r="F60" s="3" t="s">
        <v>4975</v>
      </c>
      <c r="G60" s="3" t="s">
        <v>4974</v>
      </c>
    </row>
    <row r="61" customFormat="false" ht="23.85" hidden="false" customHeight="false" outlineLevel="0" collapsed="false">
      <c r="A61" s="73" t="s">
        <v>556</v>
      </c>
      <c r="B61" s="73" t="s">
        <v>5379</v>
      </c>
      <c r="C61" s="73" t="s">
        <v>447</v>
      </c>
      <c r="D61" s="73" t="s">
        <v>5380</v>
      </c>
      <c r="E61" s="73" t="s">
        <v>5381</v>
      </c>
      <c r="F61" s="73" t="s">
        <v>5089</v>
      </c>
      <c r="G61" s="73" t="s">
        <v>5042</v>
      </c>
    </row>
    <row r="62" customFormat="false" ht="15" hidden="false" customHeight="false" outlineLevel="0" collapsed="false">
      <c r="A62" s="75" t="s">
        <v>666</v>
      </c>
      <c r="B62" s="75" t="s">
        <v>5382</v>
      </c>
      <c r="C62" s="75" t="s">
        <v>619</v>
      </c>
      <c r="D62" s="75" t="s">
        <v>5383</v>
      </c>
      <c r="E62" s="75" t="s">
        <v>5384</v>
      </c>
      <c r="F62" s="75" t="s">
        <v>5385</v>
      </c>
      <c r="G62" s="75" t="s">
        <v>5386</v>
      </c>
    </row>
    <row r="63" customFormat="false" ht="23.85" hidden="false" customHeight="false" outlineLevel="0" collapsed="false">
      <c r="A63" s="73" t="s">
        <v>668</v>
      </c>
      <c r="B63" s="73" t="s">
        <v>5336</v>
      </c>
      <c r="C63" s="73" t="s">
        <v>904</v>
      </c>
      <c r="D63" s="73" t="s">
        <v>5387</v>
      </c>
      <c r="E63" s="73" t="s">
        <v>5388</v>
      </c>
      <c r="F63" s="73" t="s">
        <v>5389</v>
      </c>
      <c r="G63" s="73" t="s">
        <v>5042</v>
      </c>
    </row>
    <row r="64" customFormat="false" ht="23.85" hidden="false" customHeight="false" outlineLevel="0" collapsed="false">
      <c r="A64" s="75" t="s">
        <v>670</v>
      </c>
      <c r="B64" s="75" t="s">
        <v>5346</v>
      </c>
      <c r="C64" s="75" t="s">
        <v>458</v>
      </c>
      <c r="D64" s="75" t="s">
        <v>5390</v>
      </c>
      <c r="E64" s="75" t="s">
        <v>5391</v>
      </c>
      <c r="F64" s="75" t="s">
        <v>5392</v>
      </c>
      <c r="G64" s="75" t="s">
        <v>498</v>
      </c>
    </row>
    <row r="65" customFormat="false" ht="23.85" hidden="false" customHeight="false" outlineLevel="0" collapsed="false">
      <c r="A65" s="73" t="s">
        <v>673</v>
      </c>
      <c r="B65" s="73" t="s">
        <v>5350</v>
      </c>
      <c r="C65" s="73" t="s">
        <v>836</v>
      </c>
      <c r="D65" s="73" t="s">
        <v>5393</v>
      </c>
      <c r="E65" s="73" t="s">
        <v>5394</v>
      </c>
      <c r="F65" s="73" t="s">
        <v>5395</v>
      </c>
      <c r="G65" s="73" t="s">
        <v>5047</v>
      </c>
    </row>
    <row r="66" customFormat="false" ht="23.85" hidden="false" customHeight="false" outlineLevel="0" collapsed="false">
      <c r="A66" s="75" t="s">
        <v>676</v>
      </c>
      <c r="B66" s="75" t="s">
        <v>5354</v>
      </c>
      <c r="C66" s="75" t="s">
        <v>5342</v>
      </c>
      <c r="D66" s="75" t="s">
        <v>5396</v>
      </c>
      <c r="E66" s="75" t="s">
        <v>5397</v>
      </c>
      <c r="F66" s="75" t="s">
        <v>5070</v>
      </c>
      <c r="G66" s="75" t="s">
        <v>5398</v>
      </c>
    </row>
    <row r="68" customFormat="false" ht="15" hidden="false" customHeight="false" outlineLevel="0" collapsed="false">
      <c r="A68" s="72" t="s">
        <v>5399</v>
      </c>
    </row>
    <row r="69" customFormat="false" ht="15" hidden="false" customHeight="false" outlineLevel="0" collapsed="false">
      <c r="A69" s="3" t="s">
        <v>638</v>
      </c>
      <c r="B69" s="3" t="s">
        <v>1838</v>
      </c>
      <c r="C69" s="3" t="s">
        <v>434</v>
      </c>
      <c r="D69" s="3" t="s">
        <v>1839</v>
      </c>
      <c r="E69" s="3" t="s">
        <v>1754</v>
      </c>
      <c r="F69" s="3" t="s">
        <v>4975</v>
      </c>
      <c r="G69" s="3" t="s">
        <v>4974</v>
      </c>
    </row>
    <row r="70" customFormat="false" ht="23.85" hidden="false" customHeight="false" outlineLevel="0" collapsed="false">
      <c r="A70" s="73" t="s">
        <v>679</v>
      </c>
      <c r="B70" s="73" t="s">
        <v>5359</v>
      </c>
      <c r="C70" s="73" t="s">
        <v>606</v>
      </c>
      <c r="D70" s="73" t="s">
        <v>5400</v>
      </c>
      <c r="E70" s="73" t="s">
        <v>5401</v>
      </c>
      <c r="F70" s="73" t="s">
        <v>5402</v>
      </c>
      <c r="G70" s="73" t="s">
        <v>5004</v>
      </c>
    </row>
    <row r="71" customFormat="false" ht="23.85" hidden="false" customHeight="false" outlineLevel="0" collapsed="false">
      <c r="A71" s="75" t="s">
        <v>682</v>
      </c>
      <c r="B71" s="75" t="s">
        <v>5336</v>
      </c>
      <c r="C71" s="75" t="s">
        <v>875</v>
      </c>
      <c r="D71" s="75" t="s">
        <v>5403</v>
      </c>
      <c r="E71" s="75" t="s">
        <v>5404</v>
      </c>
      <c r="F71" s="75" t="s">
        <v>5405</v>
      </c>
      <c r="G71" s="75" t="s">
        <v>5004</v>
      </c>
    </row>
    <row r="72" customFormat="false" ht="23.85" hidden="false" customHeight="false" outlineLevel="0" collapsed="false">
      <c r="A72" s="73" t="s">
        <v>685</v>
      </c>
      <c r="B72" s="73" t="s">
        <v>5346</v>
      </c>
      <c r="C72" s="73" t="s">
        <v>845</v>
      </c>
      <c r="D72" s="73" t="s">
        <v>5406</v>
      </c>
      <c r="E72" s="73" t="s">
        <v>5407</v>
      </c>
      <c r="F72" s="73" t="s">
        <v>5408</v>
      </c>
      <c r="G72" s="73" t="s">
        <v>5019</v>
      </c>
    </row>
    <row r="73" customFormat="false" ht="23.85" hidden="false" customHeight="false" outlineLevel="0" collapsed="false">
      <c r="A73" s="75" t="s">
        <v>687</v>
      </c>
      <c r="B73" s="75" t="s">
        <v>5350</v>
      </c>
      <c r="C73" s="75" t="s">
        <v>5409</v>
      </c>
      <c r="D73" s="75" t="s">
        <v>5410</v>
      </c>
      <c r="E73" s="75" t="s">
        <v>5411</v>
      </c>
      <c r="F73" s="75" t="s">
        <v>5412</v>
      </c>
      <c r="G73" s="75" t="s">
        <v>5013</v>
      </c>
    </row>
    <row r="74" customFormat="false" ht="15" hidden="false" customHeight="false" outlineLevel="0" collapsed="false">
      <c r="A74" s="73" t="s">
        <v>689</v>
      </c>
      <c r="B74" s="73" t="s">
        <v>5112</v>
      </c>
      <c r="C74" s="73" t="s">
        <v>5373</v>
      </c>
      <c r="D74" s="73" t="s">
        <v>5413</v>
      </c>
      <c r="E74" s="73" t="s">
        <v>5414</v>
      </c>
      <c r="F74" s="73" t="s">
        <v>5376</v>
      </c>
      <c r="G74" s="73" t="s">
        <v>5377</v>
      </c>
    </row>
    <row r="76" customFormat="false" ht="15" hidden="false" customHeight="false" outlineLevel="0" collapsed="false">
      <c r="A76" s="72" t="s">
        <v>5415</v>
      </c>
    </row>
    <row r="77" customFormat="false" ht="15" hidden="false" customHeight="false" outlineLevel="0" collapsed="false">
      <c r="A77" s="3" t="s">
        <v>638</v>
      </c>
      <c r="B77" s="3" t="s">
        <v>1838</v>
      </c>
      <c r="C77" s="3" t="s">
        <v>434</v>
      </c>
      <c r="D77" s="3" t="s">
        <v>1839</v>
      </c>
      <c r="E77" s="3" t="s">
        <v>1754</v>
      </c>
      <c r="F77" s="3" t="s">
        <v>4975</v>
      </c>
      <c r="G77" s="3" t="s">
        <v>4974</v>
      </c>
    </row>
    <row r="78" customFormat="false" ht="23.85" hidden="false" customHeight="false" outlineLevel="0" collapsed="false">
      <c r="A78" s="73" t="s">
        <v>692</v>
      </c>
      <c r="B78" s="73" t="s">
        <v>5379</v>
      </c>
      <c r="C78" s="73" t="s">
        <v>5416</v>
      </c>
      <c r="D78" s="73" t="s">
        <v>5417</v>
      </c>
      <c r="E78" s="73" t="s">
        <v>5418</v>
      </c>
      <c r="F78" s="73" t="s">
        <v>5419</v>
      </c>
      <c r="G78" s="73" t="s">
        <v>5042</v>
      </c>
    </row>
    <row r="79" customFormat="false" ht="23.85" hidden="false" customHeight="false" outlineLevel="0" collapsed="false">
      <c r="A79" s="75" t="s">
        <v>695</v>
      </c>
      <c r="B79" s="75" t="s">
        <v>5382</v>
      </c>
      <c r="C79" s="75" t="s">
        <v>5033</v>
      </c>
      <c r="D79" s="75" t="s">
        <v>5420</v>
      </c>
      <c r="E79" s="75" t="s">
        <v>5421</v>
      </c>
      <c r="F79" s="75" t="s">
        <v>5422</v>
      </c>
      <c r="G79" s="75" t="s">
        <v>4994</v>
      </c>
    </row>
    <row r="80" customFormat="false" ht="23.85" hidden="false" customHeight="false" outlineLevel="0" collapsed="false">
      <c r="A80" s="73" t="s">
        <v>698</v>
      </c>
      <c r="B80" s="73" t="s">
        <v>5336</v>
      </c>
      <c r="C80" s="73" t="s">
        <v>458</v>
      </c>
      <c r="D80" s="73" t="s">
        <v>5423</v>
      </c>
      <c r="E80" s="73" t="s">
        <v>5424</v>
      </c>
      <c r="F80" s="73" t="s">
        <v>5425</v>
      </c>
      <c r="G80" s="73" t="s">
        <v>498</v>
      </c>
    </row>
    <row r="81" customFormat="false" ht="23.85" hidden="false" customHeight="false" outlineLevel="0" collapsed="false">
      <c r="A81" s="75" t="s">
        <v>700</v>
      </c>
      <c r="B81" s="75" t="s">
        <v>5346</v>
      </c>
      <c r="C81" s="75" t="s">
        <v>1150</v>
      </c>
      <c r="D81" s="75" t="s">
        <v>5426</v>
      </c>
      <c r="E81" s="75" t="s">
        <v>5427</v>
      </c>
      <c r="F81" s="75" t="s">
        <v>5372</v>
      </c>
      <c r="G81" s="75" t="s">
        <v>4787</v>
      </c>
    </row>
    <row r="82" customFormat="false" ht="23.85" hidden="false" customHeight="false" outlineLevel="0" collapsed="false">
      <c r="A82" s="73" t="s">
        <v>704</v>
      </c>
      <c r="B82" s="73" t="s">
        <v>5428</v>
      </c>
      <c r="C82" s="73" t="s">
        <v>606</v>
      </c>
      <c r="D82" s="73" t="s">
        <v>5429</v>
      </c>
      <c r="E82" s="73" t="s">
        <v>5430</v>
      </c>
      <c r="F82" s="73" t="s">
        <v>5431</v>
      </c>
      <c r="G82" s="73" t="s">
        <v>5063</v>
      </c>
    </row>
    <row r="84" customFormat="false" ht="15" hidden="false" customHeight="false" outlineLevel="0" collapsed="false">
      <c r="A84" s="72" t="s">
        <v>5432</v>
      </c>
    </row>
    <row r="85" customFormat="false" ht="15" hidden="false" customHeight="false" outlineLevel="0" collapsed="false">
      <c r="A85" s="3" t="s">
        <v>638</v>
      </c>
      <c r="B85" s="3" t="s">
        <v>1838</v>
      </c>
      <c r="C85" s="3" t="s">
        <v>434</v>
      </c>
      <c r="D85" s="3" t="s">
        <v>1839</v>
      </c>
      <c r="E85" s="3" t="s">
        <v>1754</v>
      </c>
      <c r="F85" s="3" t="s">
        <v>4975</v>
      </c>
      <c r="G85" s="3" t="s">
        <v>4974</v>
      </c>
    </row>
    <row r="86" customFormat="false" ht="15" hidden="false" customHeight="false" outlineLevel="0" collapsed="false">
      <c r="A86" s="73" t="s">
        <v>707</v>
      </c>
      <c r="B86" s="73" t="s">
        <v>5433</v>
      </c>
      <c r="C86" s="73" t="s">
        <v>697</v>
      </c>
      <c r="D86" s="73" t="s">
        <v>5434</v>
      </c>
      <c r="E86" s="73" t="s">
        <v>5435</v>
      </c>
      <c r="F86" s="73" t="s">
        <v>5436</v>
      </c>
      <c r="G86" s="73" t="s">
        <v>5004</v>
      </c>
    </row>
    <row r="87" customFormat="false" ht="23.85" hidden="false" customHeight="false" outlineLevel="0" collapsed="false">
      <c r="A87" s="75" t="s">
        <v>710</v>
      </c>
      <c r="B87" s="75" t="s">
        <v>5437</v>
      </c>
      <c r="C87" s="75" t="s">
        <v>5438</v>
      </c>
      <c r="D87" s="75" t="s">
        <v>5439</v>
      </c>
      <c r="E87" s="75" t="s">
        <v>5440</v>
      </c>
      <c r="F87" s="75" t="s">
        <v>5441</v>
      </c>
      <c r="G87" s="75" t="s">
        <v>5442</v>
      </c>
    </row>
    <row r="88" customFormat="false" ht="23.85" hidden="false" customHeight="false" outlineLevel="0" collapsed="false">
      <c r="A88" s="73" t="s">
        <v>5443</v>
      </c>
      <c r="B88" s="73" t="s">
        <v>5336</v>
      </c>
      <c r="C88" s="73" t="s">
        <v>5444</v>
      </c>
      <c r="D88" s="73" t="s">
        <v>5445</v>
      </c>
      <c r="E88" s="73" t="s">
        <v>5446</v>
      </c>
      <c r="F88" s="73" t="s">
        <v>5447</v>
      </c>
      <c r="G88" s="73" t="s">
        <v>4994</v>
      </c>
    </row>
    <row r="89" customFormat="false" ht="15" hidden="false" customHeight="false" outlineLevel="0" collapsed="false">
      <c r="A89" s="75" t="s">
        <v>5448</v>
      </c>
      <c r="B89" s="75" t="s">
        <v>5346</v>
      </c>
      <c r="C89" s="75" t="s">
        <v>845</v>
      </c>
      <c r="D89" s="75" t="s">
        <v>5449</v>
      </c>
      <c r="E89" s="75" t="s">
        <v>5450</v>
      </c>
      <c r="F89" s="75" t="s">
        <v>5451</v>
      </c>
      <c r="G89" s="75" t="s">
        <v>5019</v>
      </c>
    </row>
    <row r="90" customFormat="false" ht="15" hidden="false" customHeight="false" outlineLevel="0" collapsed="false">
      <c r="A90" s="73" t="s">
        <v>5452</v>
      </c>
      <c r="B90" s="73" t="s">
        <v>5350</v>
      </c>
      <c r="C90" s="73" t="s">
        <v>5039</v>
      </c>
      <c r="D90" s="73" t="s">
        <v>5453</v>
      </c>
      <c r="E90" s="73" t="s">
        <v>5454</v>
      </c>
      <c r="F90" s="73" t="s">
        <v>5455</v>
      </c>
      <c r="G90" s="73" t="s">
        <v>5042</v>
      </c>
    </row>
    <row r="92" customFormat="false" ht="15" hidden="false" customHeight="false" outlineLevel="0" collapsed="false">
      <c r="A92" s="72" t="s">
        <v>5456</v>
      </c>
    </row>
    <row r="93" customFormat="false" ht="15" hidden="false" customHeight="false" outlineLevel="0" collapsed="false">
      <c r="A93" s="3" t="s">
        <v>638</v>
      </c>
      <c r="B93" s="3" t="s">
        <v>1838</v>
      </c>
      <c r="C93" s="3" t="s">
        <v>434</v>
      </c>
      <c r="D93" s="3" t="s">
        <v>1839</v>
      </c>
      <c r="E93" s="3" t="s">
        <v>1754</v>
      </c>
      <c r="F93" s="3" t="s">
        <v>4975</v>
      </c>
      <c r="G93" s="3" t="s">
        <v>4974</v>
      </c>
    </row>
    <row r="94" customFormat="false" ht="15" hidden="false" customHeight="false" outlineLevel="0" collapsed="false">
      <c r="A94" s="73" t="s">
        <v>5457</v>
      </c>
      <c r="B94" s="73" t="s">
        <v>5382</v>
      </c>
      <c r="C94" s="73" t="s">
        <v>697</v>
      </c>
      <c r="D94" s="73" t="s">
        <v>5458</v>
      </c>
      <c r="E94" s="73" t="s">
        <v>5459</v>
      </c>
      <c r="F94" s="73" t="s">
        <v>5436</v>
      </c>
      <c r="G94" s="73" t="s">
        <v>5004</v>
      </c>
    </row>
    <row r="95" customFormat="false" ht="15" hidden="false" customHeight="false" outlineLevel="0" collapsed="false">
      <c r="A95" s="75" t="s">
        <v>5460</v>
      </c>
      <c r="B95" s="75" t="s">
        <v>5336</v>
      </c>
      <c r="C95" s="75" t="s">
        <v>4979</v>
      </c>
      <c r="D95" s="75" t="s">
        <v>5461</v>
      </c>
      <c r="E95" s="75" t="s">
        <v>5462</v>
      </c>
      <c r="F95" s="75" t="s">
        <v>5463</v>
      </c>
      <c r="G95" s="75" t="s">
        <v>498</v>
      </c>
    </row>
    <row r="96" customFormat="false" ht="23.85" hidden="false" customHeight="false" outlineLevel="0" collapsed="false">
      <c r="A96" s="73" t="s">
        <v>5464</v>
      </c>
      <c r="B96" s="73" t="s">
        <v>5465</v>
      </c>
      <c r="C96" s="73" t="s">
        <v>5466</v>
      </c>
      <c r="D96" s="73" t="s">
        <v>5467</v>
      </c>
      <c r="E96" s="73" t="s">
        <v>5468</v>
      </c>
      <c r="F96" s="73" t="s">
        <v>5469</v>
      </c>
      <c r="G96" s="73" t="s">
        <v>498</v>
      </c>
    </row>
    <row r="97" customFormat="false" ht="23.85" hidden="false" customHeight="false" outlineLevel="0" collapsed="false">
      <c r="A97" s="75" t="s">
        <v>5470</v>
      </c>
      <c r="B97" s="75" t="s">
        <v>5354</v>
      </c>
      <c r="C97" s="75" t="s">
        <v>875</v>
      </c>
      <c r="D97" s="75" t="s">
        <v>5471</v>
      </c>
      <c r="E97" s="75" t="s">
        <v>5472</v>
      </c>
      <c r="F97" s="75" t="s">
        <v>5473</v>
      </c>
      <c r="G97" s="75" t="s">
        <v>5004</v>
      </c>
    </row>
  </sheetData>
  <mergeCells count="8">
    <mergeCell ref="B1:I1"/>
    <mergeCell ref="B2:I2"/>
    <mergeCell ref="B4:I4"/>
    <mergeCell ref="B10:I10"/>
    <mergeCell ref="B16:I16"/>
    <mergeCell ref="B20:I20"/>
    <mergeCell ref="B26:I26"/>
    <mergeCell ref="B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5"/>
    <col collapsed="false" customWidth="true" hidden="false" outlineLevel="0" max="3" min="3" style="1" width="65"/>
    <col collapsed="false" customWidth="true" hidden="false" outlineLevel="0" max="4" min="4" style="1" width="38"/>
    <col collapsed="false" customWidth="true" hidden="false" outlineLevel="0" max="5" min="5" style="1" width="30"/>
    <col collapsed="false" customWidth="true" hidden="false" outlineLevel="0" max="6" min="6" style="1" width="14"/>
    <col collapsed="false" customWidth="true" hidden="false" outlineLevel="0" max="8" min="7" style="1" width="10"/>
    <col collapsed="false" customWidth="true" hidden="false" outlineLevel="0" max="9" min="9" style="1" width="3"/>
  </cols>
  <sheetData>
    <row r="1" customFormat="false" ht="36" hidden="false" customHeight="true" outlineLevel="0" collapsed="false">
      <c r="B1" s="144" t="s">
        <v>5474</v>
      </c>
      <c r="C1" s="144"/>
      <c r="D1" s="144"/>
      <c r="E1" s="144"/>
      <c r="F1" s="144"/>
      <c r="G1" s="144"/>
      <c r="H1" s="144"/>
      <c r="I1" s="144"/>
    </row>
    <row r="3" customFormat="false" ht="21.75" hidden="false" customHeight="true" outlineLevel="0" collapsed="false">
      <c r="B3" s="146" t="s">
        <v>638</v>
      </c>
      <c r="C3" s="146" t="s">
        <v>5475</v>
      </c>
      <c r="D3" s="146" t="s">
        <v>1839</v>
      </c>
      <c r="E3" s="146" t="s">
        <v>5476</v>
      </c>
      <c r="F3" s="146" t="s">
        <v>5477</v>
      </c>
      <c r="G3" s="146" t="s">
        <v>5231</v>
      </c>
      <c r="H3" s="146" t="s">
        <v>5478</v>
      </c>
      <c r="I3" s="146" t="s">
        <v>4531</v>
      </c>
    </row>
    <row r="4" customFormat="false" ht="27.75" hidden="false" customHeight="true" outlineLevel="0" collapsed="false">
      <c r="B4" s="191" t="s">
        <v>5479</v>
      </c>
      <c r="C4" s="191"/>
      <c r="D4" s="191"/>
      <c r="E4" s="191"/>
      <c r="F4" s="191"/>
      <c r="G4" s="191"/>
      <c r="H4" s="191"/>
      <c r="I4" s="191"/>
    </row>
    <row r="5" customFormat="false" ht="19.5" hidden="false" customHeight="true" outlineLevel="0" collapsed="false">
      <c r="B5" s="192" t="s">
        <v>5480</v>
      </c>
      <c r="C5" s="192"/>
      <c r="D5" s="192"/>
      <c r="E5" s="192"/>
      <c r="F5" s="192"/>
      <c r="G5" s="192"/>
      <c r="H5" s="192"/>
      <c r="I5" s="192"/>
    </row>
    <row r="6" customFormat="false" ht="27.75" hidden="false" customHeight="true" outlineLevel="0" collapsed="false">
      <c r="B6" s="174" t="n">
        <v>1</v>
      </c>
      <c r="C6" s="175" t="s">
        <v>575</v>
      </c>
      <c r="D6" s="22" t="s">
        <v>5481</v>
      </c>
      <c r="E6" s="183" t="s">
        <v>5482</v>
      </c>
      <c r="F6" s="184" t="s">
        <v>5483</v>
      </c>
      <c r="G6" s="193" t="s">
        <v>5484</v>
      </c>
      <c r="H6" s="178" t="s">
        <v>1759</v>
      </c>
      <c r="I6" s="29"/>
    </row>
    <row r="7" customFormat="false" ht="27.75" hidden="false" customHeight="true" outlineLevel="0" collapsed="false">
      <c r="B7" s="166" t="n">
        <v>2</v>
      </c>
      <c r="C7" s="167" t="s">
        <v>538</v>
      </c>
      <c r="D7" s="168" t="s">
        <v>5485</v>
      </c>
      <c r="E7" s="186" t="s">
        <v>5486</v>
      </c>
      <c r="F7" s="187" t="s">
        <v>5487</v>
      </c>
      <c r="G7" s="194" t="s">
        <v>5488</v>
      </c>
      <c r="H7" s="172" t="s">
        <v>1759</v>
      </c>
      <c r="I7" s="173"/>
    </row>
    <row r="8" customFormat="false" ht="27.75" hidden="false" customHeight="true" outlineLevel="0" collapsed="false">
      <c r="B8" s="174" t="n">
        <v>3</v>
      </c>
      <c r="C8" s="175" t="s">
        <v>538</v>
      </c>
      <c r="D8" s="22" t="s">
        <v>5489</v>
      </c>
      <c r="E8" s="183" t="s">
        <v>5490</v>
      </c>
      <c r="F8" s="184" t="s">
        <v>5491</v>
      </c>
      <c r="G8" s="193" t="s">
        <v>5488</v>
      </c>
      <c r="H8" s="178" t="s">
        <v>1759</v>
      </c>
      <c r="I8" s="29"/>
    </row>
    <row r="9" customFormat="false" ht="27.75" hidden="false" customHeight="true" outlineLevel="0" collapsed="false">
      <c r="B9" s="166" t="n">
        <v>4</v>
      </c>
      <c r="C9" s="167" t="s">
        <v>538</v>
      </c>
      <c r="D9" s="168" t="s">
        <v>5492</v>
      </c>
      <c r="E9" s="186" t="s">
        <v>5493</v>
      </c>
      <c r="F9" s="187" t="s">
        <v>5494</v>
      </c>
      <c r="G9" s="194" t="s">
        <v>5495</v>
      </c>
      <c r="H9" s="172" t="s">
        <v>1759</v>
      </c>
      <c r="I9" s="173"/>
    </row>
    <row r="10" customFormat="false" ht="27.75" hidden="false" customHeight="true" outlineLevel="0" collapsed="false">
      <c r="B10" s="174" t="n">
        <v>5</v>
      </c>
      <c r="C10" s="175" t="s">
        <v>5276</v>
      </c>
      <c r="D10" s="22" t="s">
        <v>5496</v>
      </c>
      <c r="E10" s="183" t="s">
        <v>5497</v>
      </c>
      <c r="F10" s="184" t="s">
        <v>5282</v>
      </c>
      <c r="G10" s="193" t="s">
        <v>5495</v>
      </c>
      <c r="H10" s="178" t="s">
        <v>1759</v>
      </c>
      <c r="I10" s="29"/>
    </row>
    <row r="11" customFormat="false" ht="27.75" hidden="false" customHeight="true" outlineLevel="0" collapsed="false">
      <c r="B11" s="166" t="n">
        <v>6</v>
      </c>
      <c r="C11" s="167" t="s">
        <v>1724</v>
      </c>
      <c r="D11" s="168" t="s">
        <v>5498</v>
      </c>
      <c r="E11" s="186" t="s">
        <v>5499</v>
      </c>
      <c r="F11" s="187" t="s">
        <v>5500</v>
      </c>
      <c r="G11" s="194" t="s">
        <v>5501</v>
      </c>
      <c r="H11" s="172" t="s">
        <v>1759</v>
      </c>
      <c r="I11" s="173"/>
    </row>
    <row r="12" customFormat="false" ht="27.75" hidden="false" customHeight="true" outlineLevel="0" collapsed="false">
      <c r="B12" s="174" t="n">
        <v>7</v>
      </c>
      <c r="C12" s="175" t="s">
        <v>575</v>
      </c>
      <c r="D12" s="22" t="s">
        <v>5502</v>
      </c>
      <c r="E12" s="183" t="s">
        <v>5503</v>
      </c>
      <c r="F12" s="184" t="s">
        <v>5504</v>
      </c>
      <c r="G12" s="193" t="s">
        <v>5495</v>
      </c>
      <c r="H12" s="178" t="s">
        <v>1759</v>
      </c>
      <c r="I12" s="29"/>
    </row>
    <row r="13" customFormat="false" ht="27.75" hidden="false" customHeight="true" outlineLevel="0" collapsed="false">
      <c r="B13" s="166" t="n">
        <v>8</v>
      </c>
      <c r="C13" s="167" t="s">
        <v>538</v>
      </c>
      <c r="D13" s="168" t="s">
        <v>5505</v>
      </c>
      <c r="E13" s="186" t="s">
        <v>5506</v>
      </c>
      <c r="F13" s="187" t="s">
        <v>5507</v>
      </c>
      <c r="G13" s="194" t="s">
        <v>5508</v>
      </c>
      <c r="H13" s="172" t="s">
        <v>1759</v>
      </c>
      <c r="I13" s="173"/>
    </row>
    <row r="14" customFormat="false" ht="27.75" hidden="false" customHeight="true" outlineLevel="0" collapsed="false">
      <c r="B14" s="174" t="n">
        <v>9</v>
      </c>
      <c r="C14" s="175" t="s">
        <v>575</v>
      </c>
      <c r="D14" s="22" t="s">
        <v>5509</v>
      </c>
      <c r="E14" s="183" t="s">
        <v>5510</v>
      </c>
      <c r="F14" s="184" t="s">
        <v>5511</v>
      </c>
      <c r="G14" s="193" t="s">
        <v>5508</v>
      </c>
      <c r="H14" s="178" t="s">
        <v>1759</v>
      </c>
      <c r="I14" s="29"/>
    </row>
    <row r="16" customFormat="false" ht="27.75" hidden="false" customHeight="true" outlineLevel="0" collapsed="false">
      <c r="B16" s="195" t="s">
        <v>5512</v>
      </c>
      <c r="C16" s="195"/>
      <c r="D16" s="195"/>
      <c r="E16" s="195"/>
      <c r="F16" s="195"/>
      <c r="G16" s="195"/>
      <c r="H16" s="195"/>
      <c r="I16" s="195"/>
    </row>
    <row r="17" customFormat="false" ht="19.5" hidden="false" customHeight="true" outlineLevel="0" collapsed="false">
      <c r="B17" s="196" t="s">
        <v>5513</v>
      </c>
      <c r="C17" s="196"/>
      <c r="D17" s="196"/>
      <c r="E17" s="196"/>
      <c r="F17" s="196"/>
      <c r="G17" s="196"/>
      <c r="H17" s="196"/>
      <c r="I17" s="196"/>
    </row>
    <row r="18" customFormat="false" ht="27.75" hidden="false" customHeight="true" outlineLevel="0" collapsed="false">
      <c r="B18" s="174" t="n">
        <v>1</v>
      </c>
      <c r="C18" s="184" t="s">
        <v>538</v>
      </c>
      <c r="D18" s="22" t="s">
        <v>5514</v>
      </c>
      <c r="E18" s="183" t="s">
        <v>5515</v>
      </c>
      <c r="F18" s="184" t="s">
        <v>5516</v>
      </c>
      <c r="G18" s="193" t="s">
        <v>5517</v>
      </c>
      <c r="H18" s="178" t="s">
        <v>1759</v>
      </c>
      <c r="I18" s="29"/>
    </row>
    <row r="19" customFormat="false" ht="27.75" hidden="false" customHeight="true" outlineLevel="0" collapsed="false">
      <c r="B19" s="166" t="n">
        <v>2</v>
      </c>
      <c r="C19" s="187" t="s">
        <v>538</v>
      </c>
      <c r="D19" s="168" t="s">
        <v>5518</v>
      </c>
      <c r="E19" s="186" t="s">
        <v>5519</v>
      </c>
      <c r="F19" s="187" t="s">
        <v>5520</v>
      </c>
      <c r="G19" s="194" t="s">
        <v>5521</v>
      </c>
      <c r="H19" s="172" t="s">
        <v>1759</v>
      </c>
      <c r="I19" s="173"/>
    </row>
    <row r="20" customFormat="false" ht="27.75" hidden="false" customHeight="true" outlineLevel="0" collapsed="false">
      <c r="B20" s="174" t="n">
        <v>3</v>
      </c>
      <c r="C20" s="184" t="s">
        <v>538</v>
      </c>
      <c r="D20" s="22" t="s">
        <v>5522</v>
      </c>
      <c r="E20" s="183" t="s">
        <v>5523</v>
      </c>
      <c r="F20" s="184" t="s">
        <v>5524</v>
      </c>
      <c r="G20" s="193" t="s">
        <v>5525</v>
      </c>
      <c r="H20" s="178" t="s">
        <v>1759</v>
      </c>
      <c r="I20" s="29"/>
    </row>
    <row r="21" customFormat="false" ht="27.75" hidden="false" customHeight="true" outlineLevel="0" collapsed="false">
      <c r="B21" s="166" t="n">
        <v>4</v>
      </c>
      <c r="C21" s="187" t="s">
        <v>538</v>
      </c>
      <c r="D21" s="168" t="s">
        <v>5526</v>
      </c>
      <c r="E21" s="186" t="s">
        <v>5527</v>
      </c>
      <c r="F21" s="187" t="s">
        <v>5528</v>
      </c>
      <c r="G21" s="194" t="s">
        <v>5529</v>
      </c>
      <c r="H21" s="172" t="s">
        <v>1759</v>
      </c>
      <c r="I21" s="173"/>
    </row>
    <row r="22" customFormat="false" ht="27.75" hidden="false" customHeight="true" outlineLevel="0" collapsed="false">
      <c r="B22" s="174" t="n">
        <v>5</v>
      </c>
      <c r="C22" s="184" t="s">
        <v>5276</v>
      </c>
      <c r="D22" s="22" t="s">
        <v>5530</v>
      </c>
      <c r="E22" s="183" t="s">
        <v>5531</v>
      </c>
      <c r="F22" s="184" t="s">
        <v>5532</v>
      </c>
      <c r="G22" s="193" t="s">
        <v>5533</v>
      </c>
      <c r="H22" s="178" t="s">
        <v>1759</v>
      </c>
      <c r="I22" s="29"/>
    </row>
    <row r="23" customFormat="false" ht="27.75" hidden="false" customHeight="true" outlineLevel="0" collapsed="false">
      <c r="B23" s="166" t="n">
        <v>6</v>
      </c>
      <c r="C23" s="187" t="s">
        <v>1724</v>
      </c>
      <c r="D23" s="168" t="s">
        <v>5534</v>
      </c>
      <c r="E23" s="186" t="s">
        <v>5535</v>
      </c>
      <c r="F23" s="187" t="s">
        <v>5536</v>
      </c>
      <c r="G23" s="194" t="s">
        <v>5537</v>
      </c>
      <c r="H23" s="172" t="s">
        <v>1759</v>
      </c>
      <c r="I23" s="173"/>
    </row>
    <row r="24" customFormat="false" ht="27.75" hidden="false" customHeight="true" outlineLevel="0" collapsed="false">
      <c r="B24" s="174" t="n">
        <v>7</v>
      </c>
      <c r="C24" s="184" t="s">
        <v>538</v>
      </c>
      <c r="D24" s="22" t="s">
        <v>5538</v>
      </c>
      <c r="E24" s="183" t="s">
        <v>5539</v>
      </c>
      <c r="F24" s="184" t="s">
        <v>5540</v>
      </c>
      <c r="G24" s="193" t="s">
        <v>5541</v>
      </c>
      <c r="H24" s="178" t="s">
        <v>1759</v>
      </c>
      <c r="I24" s="29"/>
    </row>
    <row r="25" customFormat="false" ht="27.75" hidden="false" customHeight="true" outlineLevel="0" collapsed="false">
      <c r="B25" s="166" t="n">
        <v>8</v>
      </c>
      <c r="C25" s="187" t="s">
        <v>575</v>
      </c>
      <c r="D25" s="168" t="s">
        <v>5542</v>
      </c>
      <c r="E25" s="186" t="s">
        <v>5543</v>
      </c>
      <c r="F25" s="187" t="s">
        <v>255</v>
      </c>
      <c r="G25" s="194" t="s">
        <v>5541</v>
      </c>
      <c r="H25" s="172" t="s">
        <v>1759</v>
      </c>
      <c r="I25" s="173"/>
    </row>
    <row r="26" customFormat="false" ht="27.75" hidden="false" customHeight="true" outlineLevel="0" collapsed="false">
      <c r="B26" s="174" t="n">
        <v>9</v>
      </c>
      <c r="C26" s="184" t="s">
        <v>575</v>
      </c>
      <c r="D26" s="22" t="s">
        <v>5544</v>
      </c>
      <c r="E26" s="183" t="s">
        <v>5545</v>
      </c>
      <c r="F26" s="184" t="s">
        <v>5511</v>
      </c>
      <c r="G26" s="193" t="s">
        <v>5546</v>
      </c>
      <c r="H26" s="178" t="s">
        <v>1759</v>
      </c>
      <c r="I26" s="29"/>
    </row>
    <row r="28" customFormat="false" ht="27.75" hidden="false" customHeight="true" outlineLevel="0" collapsed="false">
      <c r="B28" s="197" t="s">
        <v>5547</v>
      </c>
      <c r="C28" s="197"/>
      <c r="D28" s="197"/>
      <c r="E28" s="197"/>
      <c r="F28" s="197"/>
      <c r="G28" s="197"/>
      <c r="H28" s="197"/>
      <c r="I28" s="197"/>
    </row>
    <row r="29" customFormat="false" ht="19.5" hidden="false" customHeight="true" outlineLevel="0" collapsed="false">
      <c r="B29" s="198" t="s">
        <v>5548</v>
      </c>
      <c r="C29" s="198"/>
      <c r="D29" s="198"/>
      <c r="E29" s="198"/>
      <c r="F29" s="198"/>
      <c r="G29" s="198"/>
      <c r="H29" s="198"/>
      <c r="I29" s="198"/>
    </row>
    <row r="30" customFormat="false" ht="27.75" hidden="false" customHeight="true" outlineLevel="0" collapsed="false">
      <c r="B30" s="174" t="n">
        <v>1</v>
      </c>
      <c r="C30" s="199" t="s">
        <v>538</v>
      </c>
      <c r="D30" s="22" t="s">
        <v>5549</v>
      </c>
      <c r="E30" s="183" t="s">
        <v>5550</v>
      </c>
      <c r="F30" s="184" t="s">
        <v>5504</v>
      </c>
      <c r="G30" s="193" t="s">
        <v>5551</v>
      </c>
      <c r="H30" s="178" t="s">
        <v>1759</v>
      </c>
      <c r="I30" s="29"/>
    </row>
    <row r="31" customFormat="false" ht="27.75" hidden="false" customHeight="true" outlineLevel="0" collapsed="false">
      <c r="B31" s="166" t="n">
        <v>2</v>
      </c>
      <c r="C31" s="200" t="s">
        <v>538</v>
      </c>
      <c r="D31" s="168" t="s">
        <v>5552</v>
      </c>
      <c r="E31" s="186" t="s">
        <v>5553</v>
      </c>
      <c r="F31" s="187" t="s">
        <v>5554</v>
      </c>
      <c r="G31" s="194" t="s">
        <v>5555</v>
      </c>
      <c r="H31" s="172" t="s">
        <v>1759</v>
      </c>
      <c r="I31" s="173"/>
    </row>
    <row r="32" customFormat="false" ht="27.75" hidden="false" customHeight="true" outlineLevel="0" collapsed="false">
      <c r="B32" s="174" t="n">
        <v>3</v>
      </c>
      <c r="C32" s="199" t="s">
        <v>538</v>
      </c>
      <c r="D32" s="22" t="s">
        <v>5556</v>
      </c>
      <c r="E32" s="183" t="s">
        <v>5557</v>
      </c>
      <c r="F32" s="184" t="s">
        <v>5558</v>
      </c>
      <c r="G32" s="193" t="s">
        <v>5555</v>
      </c>
      <c r="H32" s="178" t="s">
        <v>1759</v>
      </c>
      <c r="I32" s="29"/>
    </row>
    <row r="33" customFormat="false" ht="27.75" hidden="false" customHeight="true" outlineLevel="0" collapsed="false">
      <c r="B33" s="166" t="n">
        <v>4</v>
      </c>
      <c r="C33" s="200" t="s">
        <v>538</v>
      </c>
      <c r="D33" s="168" t="s">
        <v>5559</v>
      </c>
      <c r="E33" s="186" t="s">
        <v>5560</v>
      </c>
      <c r="F33" s="187" t="s">
        <v>5494</v>
      </c>
      <c r="G33" s="194" t="s">
        <v>5561</v>
      </c>
      <c r="H33" s="172" t="s">
        <v>1759</v>
      </c>
      <c r="I33" s="173"/>
    </row>
    <row r="34" customFormat="false" ht="27.75" hidden="false" customHeight="true" outlineLevel="0" collapsed="false">
      <c r="B34" s="174" t="n">
        <v>5</v>
      </c>
      <c r="C34" s="199" t="s">
        <v>5276</v>
      </c>
      <c r="D34" s="22" t="s">
        <v>5562</v>
      </c>
      <c r="E34" s="183" t="s">
        <v>5563</v>
      </c>
      <c r="F34" s="184" t="s">
        <v>5564</v>
      </c>
      <c r="G34" s="193" t="s">
        <v>5565</v>
      </c>
      <c r="H34" s="178" t="s">
        <v>1759</v>
      </c>
      <c r="I34" s="29"/>
    </row>
    <row r="35" customFormat="false" ht="27.75" hidden="false" customHeight="true" outlineLevel="0" collapsed="false">
      <c r="B35" s="166" t="n">
        <v>6</v>
      </c>
      <c r="C35" s="200" t="s">
        <v>1724</v>
      </c>
      <c r="D35" s="168" t="s">
        <v>5566</v>
      </c>
      <c r="E35" s="186" t="s">
        <v>5567</v>
      </c>
      <c r="F35" s="187" t="s">
        <v>5568</v>
      </c>
      <c r="G35" s="194" t="s">
        <v>5569</v>
      </c>
      <c r="H35" s="172" t="s">
        <v>1759</v>
      </c>
      <c r="I35" s="173"/>
    </row>
    <row r="36" customFormat="false" ht="27.75" hidden="false" customHeight="true" outlineLevel="0" collapsed="false">
      <c r="B36" s="174" t="n">
        <v>7</v>
      </c>
      <c r="C36" s="199" t="s">
        <v>538</v>
      </c>
      <c r="D36" s="22" t="s">
        <v>5570</v>
      </c>
      <c r="E36" s="183" t="s">
        <v>5571</v>
      </c>
      <c r="F36" s="184" t="s">
        <v>5572</v>
      </c>
      <c r="G36" s="193" t="s">
        <v>5573</v>
      </c>
      <c r="H36" s="178" t="s">
        <v>1759</v>
      </c>
      <c r="I36" s="29"/>
    </row>
    <row r="37" customFormat="false" ht="27.75" hidden="false" customHeight="true" outlineLevel="0" collapsed="false">
      <c r="B37" s="166" t="n">
        <v>8</v>
      </c>
      <c r="C37" s="200" t="s">
        <v>575</v>
      </c>
      <c r="D37" s="168" t="s">
        <v>5574</v>
      </c>
      <c r="E37" s="186" t="s">
        <v>5575</v>
      </c>
      <c r="F37" s="187" t="s">
        <v>5576</v>
      </c>
      <c r="G37" s="194" t="s">
        <v>5577</v>
      </c>
      <c r="H37" s="172" t="s">
        <v>1759</v>
      </c>
      <c r="I37" s="173"/>
    </row>
    <row r="38" customFormat="false" ht="27.75" hidden="false" customHeight="true" outlineLevel="0" collapsed="false">
      <c r="B38" s="174" t="n">
        <v>9</v>
      </c>
      <c r="C38" s="199" t="s">
        <v>575</v>
      </c>
      <c r="D38" s="22" t="s">
        <v>5578</v>
      </c>
      <c r="E38" s="183" t="s">
        <v>5579</v>
      </c>
      <c r="F38" s="184" t="s">
        <v>5511</v>
      </c>
      <c r="G38" s="193" t="s">
        <v>5580</v>
      </c>
      <c r="H38" s="178" t="s">
        <v>1759</v>
      </c>
      <c r="I38" s="29"/>
    </row>
    <row r="40" customFormat="false" ht="27.75" hidden="false" customHeight="true" outlineLevel="0" collapsed="false">
      <c r="B40" s="201" t="s">
        <v>5581</v>
      </c>
      <c r="C40" s="201"/>
      <c r="D40" s="201"/>
      <c r="E40" s="201"/>
      <c r="F40" s="201"/>
      <c r="G40" s="201"/>
      <c r="H40" s="201"/>
      <c r="I40" s="201"/>
    </row>
    <row r="41" customFormat="false" ht="19.5" hidden="false" customHeight="true" outlineLevel="0" collapsed="false">
      <c r="B41" s="202" t="s">
        <v>5582</v>
      </c>
      <c r="C41" s="202"/>
      <c r="D41" s="202"/>
      <c r="E41" s="202"/>
      <c r="F41" s="202"/>
      <c r="G41" s="202"/>
      <c r="H41" s="202"/>
      <c r="I41" s="202"/>
    </row>
    <row r="42" customFormat="false" ht="27.75" hidden="false" customHeight="true" outlineLevel="0" collapsed="false">
      <c r="B42" s="174" t="n">
        <v>1</v>
      </c>
      <c r="C42" s="203" t="s">
        <v>538</v>
      </c>
      <c r="D42" s="22" t="s">
        <v>5583</v>
      </c>
      <c r="E42" s="183" t="s">
        <v>5584</v>
      </c>
      <c r="F42" s="184" t="s">
        <v>5585</v>
      </c>
      <c r="G42" s="193" t="s">
        <v>5586</v>
      </c>
      <c r="H42" s="178" t="s">
        <v>1759</v>
      </c>
      <c r="I42" s="29"/>
    </row>
    <row r="43" customFormat="false" ht="27.75" hidden="false" customHeight="true" outlineLevel="0" collapsed="false">
      <c r="B43" s="166" t="n">
        <v>2</v>
      </c>
      <c r="C43" s="204" t="s">
        <v>538</v>
      </c>
      <c r="D43" s="168" t="s">
        <v>5587</v>
      </c>
      <c r="E43" s="186" t="s">
        <v>5588</v>
      </c>
      <c r="F43" s="187" t="s">
        <v>5554</v>
      </c>
      <c r="G43" s="194" t="s">
        <v>5589</v>
      </c>
      <c r="H43" s="172" t="s">
        <v>1759</v>
      </c>
      <c r="I43" s="173"/>
    </row>
    <row r="44" customFormat="false" ht="27.75" hidden="false" customHeight="true" outlineLevel="0" collapsed="false">
      <c r="B44" s="174" t="n">
        <v>3</v>
      </c>
      <c r="C44" s="203" t="s">
        <v>5276</v>
      </c>
      <c r="D44" s="22" t="s">
        <v>5590</v>
      </c>
      <c r="E44" s="183" t="s">
        <v>5591</v>
      </c>
      <c r="F44" s="184" t="s">
        <v>3629</v>
      </c>
      <c r="G44" s="193" t="s">
        <v>5592</v>
      </c>
      <c r="H44" s="178" t="s">
        <v>1759</v>
      </c>
      <c r="I44" s="29"/>
    </row>
    <row r="45" customFormat="false" ht="27.75" hidden="false" customHeight="true" outlineLevel="0" collapsed="false">
      <c r="B45" s="166" t="n">
        <v>4</v>
      </c>
      <c r="C45" s="204" t="s">
        <v>538</v>
      </c>
      <c r="D45" s="168" t="s">
        <v>5593</v>
      </c>
      <c r="E45" s="186" t="s">
        <v>5594</v>
      </c>
      <c r="F45" s="187" t="s">
        <v>5595</v>
      </c>
      <c r="G45" s="194" t="s">
        <v>5586</v>
      </c>
      <c r="H45" s="172" t="s">
        <v>1759</v>
      </c>
      <c r="I45" s="173"/>
    </row>
    <row r="46" customFormat="false" ht="27.75" hidden="false" customHeight="true" outlineLevel="0" collapsed="false">
      <c r="B46" s="174" t="n">
        <v>5</v>
      </c>
      <c r="C46" s="203" t="s">
        <v>1724</v>
      </c>
      <c r="D46" s="22" t="s">
        <v>5596</v>
      </c>
      <c r="E46" s="183" t="s">
        <v>5597</v>
      </c>
      <c r="F46" s="184" t="s">
        <v>5524</v>
      </c>
      <c r="G46" s="193" t="s">
        <v>5598</v>
      </c>
      <c r="H46" s="178" t="s">
        <v>1759</v>
      </c>
      <c r="I46" s="29"/>
    </row>
    <row r="47" customFormat="false" ht="27.75" hidden="false" customHeight="true" outlineLevel="0" collapsed="false">
      <c r="B47" s="166" t="n">
        <v>6</v>
      </c>
      <c r="C47" s="204" t="s">
        <v>5276</v>
      </c>
      <c r="D47" s="168" t="s">
        <v>5599</v>
      </c>
      <c r="E47" s="186" t="s">
        <v>5600</v>
      </c>
      <c r="F47" s="187" t="s">
        <v>5601</v>
      </c>
      <c r="G47" s="194" t="s">
        <v>5586</v>
      </c>
      <c r="H47" s="172" t="s">
        <v>1759</v>
      </c>
      <c r="I47" s="173"/>
    </row>
    <row r="48" customFormat="false" ht="27.75" hidden="false" customHeight="true" outlineLevel="0" collapsed="false">
      <c r="B48" s="174" t="n">
        <v>7</v>
      </c>
      <c r="C48" s="203" t="s">
        <v>575</v>
      </c>
      <c r="D48" s="22" t="s">
        <v>5602</v>
      </c>
      <c r="E48" s="183" t="s">
        <v>5603</v>
      </c>
      <c r="F48" s="184" t="s">
        <v>255</v>
      </c>
      <c r="G48" s="193" t="s">
        <v>5604</v>
      </c>
      <c r="H48" s="178" t="s">
        <v>1759</v>
      </c>
      <c r="I48" s="29"/>
    </row>
    <row r="49" customFormat="false" ht="27.75" hidden="false" customHeight="true" outlineLevel="0" collapsed="false">
      <c r="B49" s="166" t="n">
        <v>8</v>
      </c>
      <c r="C49" s="204" t="s">
        <v>575</v>
      </c>
      <c r="D49" s="168" t="s">
        <v>5605</v>
      </c>
      <c r="E49" s="186" t="s">
        <v>5606</v>
      </c>
      <c r="F49" s="187" t="s">
        <v>5511</v>
      </c>
      <c r="G49" s="194" t="s">
        <v>5607</v>
      </c>
      <c r="H49" s="172" t="s">
        <v>1759</v>
      </c>
      <c r="I49" s="173"/>
    </row>
    <row r="51" customFormat="false" ht="27.75" hidden="false" customHeight="true" outlineLevel="0" collapsed="false">
      <c r="B51" s="205" t="s">
        <v>5608</v>
      </c>
      <c r="C51" s="205"/>
      <c r="D51" s="205"/>
      <c r="E51" s="205"/>
      <c r="F51" s="205"/>
      <c r="G51" s="205"/>
      <c r="H51" s="205"/>
      <c r="I51" s="205"/>
    </row>
    <row r="52" customFormat="false" ht="19.5" hidden="false" customHeight="true" outlineLevel="0" collapsed="false">
      <c r="B52" s="206" t="s">
        <v>5609</v>
      </c>
      <c r="C52" s="206"/>
      <c r="D52" s="206"/>
      <c r="E52" s="206"/>
      <c r="F52" s="206"/>
      <c r="G52" s="206"/>
      <c r="H52" s="206"/>
      <c r="I52" s="206"/>
    </row>
    <row r="53" customFormat="false" ht="27.75" hidden="false" customHeight="true" outlineLevel="0" collapsed="false">
      <c r="B53" s="174" t="n">
        <v>1</v>
      </c>
      <c r="C53" s="207" t="s">
        <v>538</v>
      </c>
      <c r="D53" s="22" t="s">
        <v>5610</v>
      </c>
      <c r="E53" s="183" t="s">
        <v>5611</v>
      </c>
      <c r="F53" s="184" t="s">
        <v>3629</v>
      </c>
      <c r="G53" s="193" t="s">
        <v>5612</v>
      </c>
      <c r="H53" s="178" t="s">
        <v>1759</v>
      </c>
      <c r="I53" s="29"/>
    </row>
    <row r="54" customFormat="false" ht="27.75" hidden="false" customHeight="true" outlineLevel="0" collapsed="false">
      <c r="B54" s="166" t="n">
        <v>2</v>
      </c>
      <c r="C54" s="208" t="s">
        <v>538</v>
      </c>
      <c r="D54" s="168" t="s">
        <v>5613</v>
      </c>
      <c r="E54" s="186" t="s">
        <v>5614</v>
      </c>
      <c r="F54" s="187" t="s">
        <v>5615</v>
      </c>
      <c r="G54" s="194" t="s">
        <v>5616</v>
      </c>
      <c r="H54" s="172" t="s">
        <v>1759</v>
      </c>
      <c r="I54" s="173"/>
    </row>
    <row r="55" customFormat="false" ht="27.75" hidden="false" customHeight="true" outlineLevel="0" collapsed="false">
      <c r="B55" s="174" t="n">
        <v>3</v>
      </c>
      <c r="C55" s="207" t="s">
        <v>538</v>
      </c>
      <c r="D55" s="22" t="s">
        <v>5617</v>
      </c>
      <c r="E55" s="183" t="s">
        <v>5618</v>
      </c>
      <c r="F55" s="184" t="s">
        <v>5619</v>
      </c>
      <c r="G55" s="193" t="s">
        <v>5612</v>
      </c>
      <c r="H55" s="178" t="s">
        <v>1759</v>
      </c>
      <c r="I55" s="29"/>
    </row>
    <row r="56" customFormat="false" ht="27.75" hidden="false" customHeight="true" outlineLevel="0" collapsed="false">
      <c r="B56" s="166" t="n">
        <v>4</v>
      </c>
      <c r="C56" s="208" t="s">
        <v>5276</v>
      </c>
      <c r="D56" s="168" t="s">
        <v>5620</v>
      </c>
      <c r="E56" s="186" t="s">
        <v>5621</v>
      </c>
      <c r="F56" s="187" t="s">
        <v>3293</v>
      </c>
      <c r="G56" s="194" t="s">
        <v>5622</v>
      </c>
      <c r="H56" s="172" t="s">
        <v>1759</v>
      </c>
      <c r="I56" s="173"/>
    </row>
    <row r="57" customFormat="false" ht="27.75" hidden="false" customHeight="true" outlineLevel="0" collapsed="false">
      <c r="B57" s="174" t="n">
        <v>5</v>
      </c>
      <c r="C57" s="207" t="s">
        <v>1724</v>
      </c>
      <c r="D57" s="22" t="s">
        <v>5623</v>
      </c>
      <c r="E57" s="183" t="s">
        <v>5624</v>
      </c>
      <c r="F57" s="184" t="s">
        <v>5625</v>
      </c>
      <c r="G57" s="193" t="s">
        <v>5612</v>
      </c>
      <c r="H57" s="178" t="s">
        <v>1759</v>
      </c>
      <c r="I57" s="29"/>
    </row>
    <row r="58" customFormat="false" ht="27.75" hidden="false" customHeight="true" outlineLevel="0" collapsed="false">
      <c r="B58" s="166" t="n">
        <v>6</v>
      </c>
      <c r="C58" s="208" t="s">
        <v>575</v>
      </c>
      <c r="D58" s="168" t="s">
        <v>5626</v>
      </c>
      <c r="E58" s="186" t="s">
        <v>5627</v>
      </c>
      <c r="F58" s="187" t="s">
        <v>5628</v>
      </c>
      <c r="G58" s="194" t="s">
        <v>5629</v>
      </c>
      <c r="H58" s="172" t="s">
        <v>1759</v>
      </c>
      <c r="I58" s="173"/>
    </row>
    <row r="59" customFormat="false" ht="27.75" hidden="false" customHeight="true" outlineLevel="0" collapsed="false">
      <c r="B59" s="174" t="n">
        <v>7</v>
      </c>
      <c r="C59" s="207" t="s">
        <v>575</v>
      </c>
      <c r="D59" s="22" t="s">
        <v>5630</v>
      </c>
      <c r="E59" s="183" t="s">
        <v>5631</v>
      </c>
      <c r="F59" s="184" t="s">
        <v>5511</v>
      </c>
      <c r="G59" s="193" t="s">
        <v>5632</v>
      </c>
      <c r="H59" s="178" t="s">
        <v>1759</v>
      </c>
      <c r="I59" s="29"/>
    </row>
    <row r="61" customFormat="false" ht="27.75" hidden="false" customHeight="true" outlineLevel="0" collapsed="false">
      <c r="B61" s="209" t="s">
        <v>5633</v>
      </c>
      <c r="C61" s="209"/>
      <c r="D61" s="209"/>
      <c r="E61" s="209"/>
      <c r="F61" s="209"/>
      <c r="G61" s="209"/>
      <c r="H61" s="209"/>
      <c r="I61" s="209"/>
    </row>
    <row r="62" customFormat="false" ht="19.5" hidden="false" customHeight="true" outlineLevel="0" collapsed="false">
      <c r="B62" s="210" t="s">
        <v>5634</v>
      </c>
      <c r="C62" s="210"/>
      <c r="D62" s="210"/>
      <c r="E62" s="210"/>
      <c r="F62" s="210"/>
      <c r="G62" s="210"/>
      <c r="H62" s="210"/>
      <c r="I62" s="210"/>
    </row>
    <row r="63" customFormat="false" ht="27.75" hidden="false" customHeight="true" outlineLevel="0" collapsed="false">
      <c r="B63" s="174" t="n">
        <v>1</v>
      </c>
      <c r="C63" s="211" t="s">
        <v>538</v>
      </c>
      <c r="D63" s="22" t="s">
        <v>5635</v>
      </c>
      <c r="E63" s="183" t="s">
        <v>5636</v>
      </c>
      <c r="F63" s="184" t="s">
        <v>5637</v>
      </c>
      <c r="G63" s="193" t="s">
        <v>5638</v>
      </c>
      <c r="H63" s="178" t="s">
        <v>1759</v>
      </c>
      <c r="I63" s="29"/>
    </row>
    <row r="64" customFormat="false" ht="27.75" hidden="false" customHeight="true" outlineLevel="0" collapsed="false">
      <c r="B64" s="166" t="n">
        <v>2</v>
      </c>
      <c r="C64" s="212" t="s">
        <v>538</v>
      </c>
      <c r="D64" s="168" t="s">
        <v>5639</v>
      </c>
      <c r="E64" s="186" t="s">
        <v>5640</v>
      </c>
      <c r="F64" s="187" t="s">
        <v>5641</v>
      </c>
      <c r="G64" s="194" t="s">
        <v>5638</v>
      </c>
      <c r="H64" s="172" t="s">
        <v>1759</v>
      </c>
      <c r="I64" s="173"/>
    </row>
    <row r="65" customFormat="false" ht="27.75" hidden="false" customHeight="true" outlineLevel="0" collapsed="false">
      <c r="B65" s="174" t="n">
        <v>3</v>
      </c>
      <c r="C65" s="211" t="s">
        <v>5276</v>
      </c>
      <c r="D65" s="22" t="s">
        <v>5642</v>
      </c>
      <c r="E65" s="183" t="s">
        <v>5643</v>
      </c>
      <c r="F65" s="184" t="s">
        <v>3629</v>
      </c>
      <c r="G65" s="193" t="s">
        <v>5644</v>
      </c>
      <c r="H65" s="178" t="s">
        <v>1759</v>
      </c>
      <c r="I65" s="29"/>
    </row>
    <row r="66" customFormat="false" ht="27.75" hidden="false" customHeight="true" outlineLevel="0" collapsed="false">
      <c r="B66" s="166" t="n">
        <v>4</v>
      </c>
      <c r="C66" s="212" t="s">
        <v>1724</v>
      </c>
      <c r="D66" s="168" t="s">
        <v>5645</v>
      </c>
      <c r="E66" s="186" t="s">
        <v>5646</v>
      </c>
      <c r="F66" s="187" t="s">
        <v>5647</v>
      </c>
      <c r="G66" s="194" t="s">
        <v>5638</v>
      </c>
      <c r="H66" s="172" t="s">
        <v>1759</v>
      </c>
      <c r="I66" s="173"/>
    </row>
    <row r="67" customFormat="false" ht="27.75" hidden="false" customHeight="true" outlineLevel="0" collapsed="false">
      <c r="B67" s="174" t="n">
        <v>5</v>
      </c>
      <c r="C67" s="211" t="s">
        <v>575</v>
      </c>
      <c r="D67" s="22" t="s">
        <v>5648</v>
      </c>
      <c r="E67" s="183" t="s">
        <v>5649</v>
      </c>
      <c r="F67" s="184" t="s">
        <v>5650</v>
      </c>
      <c r="G67" s="193" t="s">
        <v>5651</v>
      </c>
      <c r="H67" s="178" t="s">
        <v>1759</v>
      </c>
      <c r="I67" s="29"/>
    </row>
    <row r="68" customFormat="false" ht="27.75" hidden="false" customHeight="true" outlineLevel="0" collapsed="false">
      <c r="B68" s="166" t="n">
        <v>6</v>
      </c>
      <c r="C68" s="212" t="s">
        <v>575</v>
      </c>
      <c r="D68" s="168" t="s">
        <v>5652</v>
      </c>
      <c r="E68" s="186" t="s">
        <v>5653</v>
      </c>
      <c r="F68" s="187" t="s">
        <v>5654</v>
      </c>
      <c r="G68" s="194" t="s">
        <v>5655</v>
      </c>
      <c r="H68" s="172" t="s">
        <v>1759</v>
      </c>
      <c r="I68" s="173"/>
    </row>
    <row r="71" customFormat="false" ht="17.35" hidden="false" customHeight="false" outlineLevel="0" collapsed="false">
      <c r="A71" s="71" t="s">
        <v>5656</v>
      </c>
    </row>
    <row r="73" customFormat="false" ht="15" hidden="false" customHeight="false" outlineLevel="0" collapsed="false">
      <c r="A73" s="72" t="s">
        <v>5657</v>
      </c>
    </row>
    <row r="74" customFormat="false" ht="15" hidden="false" customHeight="false" outlineLevel="0" collapsed="false">
      <c r="A74" s="3" t="s">
        <v>1838</v>
      </c>
      <c r="B74" s="3" t="s">
        <v>5658</v>
      </c>
      <c r="C74" s="3" t="s">
        <v>5659</v>
      </c>
      <c r="D74" s="3" t="s">
        <v>4974</v>
      </c>
      <c r="E74" s="3" t="s">
        <v>5660</v>
      </c>
      <c r="F74" s="3" t="s">
        <v>4977</v>
      </c>
    </row>
    <row r="75" customFormat="false" ht="23.85" hidden="false" customHeight="false" outlineLevel="0" collapsed="false">
      <c r="A75" s="73" t="s">
        <v>5661</v>
      </c>
      <c r="B75" s="73" t="s">
        <v>5662</v>
      </c>
      <c r="C75" s="73" t="s">
        <v>5663</v>
      </c>
      <c r="D75" s="73" t="s">
        <v>5664</v>
      </c>
      <c r="E75" s="73" t="s">
        <v>5665</v>
      </c>
      <c r="F75" s="73" t="s">
        <v>4984</v>
      </c>
    </row>
    <row r="76" customFormat="false" ht="23.85" hidden="false" customHeight="false" outlineLevel="0" collapsed="false">
      <c r="A76" s="75" t="s">
        <v>1790</v>
      </c>
      <c r="B76" s="75" t="s">
        <v>5666</v>
      </c>
      <c r="C76" s="75" t="s">
        <v>5667</v>
      </c>
      <c r="D76" s="75" t="s">
        <v>5063</v>
      </c>
      <c r="E76" s="75" t="s">
        <v>5668</v>
      </c>
      <c r="F76" s="75" t="s">
        <v>4984</v>
      </c>
    </row>
    <row r="77" customFormat="false" ht="23.85" hidden="false" customHeight="false" outlineLevel="0" collapsed="false">
      <c r="A77" s="73" t="s">
        <v>5669</v>
      </c>
      <c r="B77" s="73" t="s">
        <v>5670</v>
      </c>
      <c r="C77" s="73" t="s">
        <v>5671</v>
      </c>
      <c r="D77" s="73" t="s">
        <v>5672</v>
      </c>
      <c r="E77" s="73" t="s">
        <v>5673</v>
      </c>
      <c r="F77" s="73" t="s">
        <v>4984</v>
      </c>
    </row>
    <row r="78" customFormat="false" ht="23.85" hidden="false" customHeight="false" outlineLevel="0" collapsed="false">
      <c r="A78" s="75" t="s">
        <v>1780</v>
      </c>
      <c r="B78" s="75" t="s">
        <v>5674</v>
      </c>
      <c r="C78" s="75" t="s">
        <v>5675</v>
      </c>
      <c r="D78" s="75" t="s">
        <v>5042</v>
      </c>
      <c r="E78" s="75" t="s">
        <v>5676</v>
      </c>
      <c r="F78" s="75" t="s">
        <v>4984</v>
      </c>
    </row>
    <row r="79" customFormat="false" ht="15" hidden="false" customHeight="false" outlineLevel="0" collapsed="false">
      <c r="A79" s="73" t="s">
        <v>1780</v>
      </c>
      <c r="B79" s="73" t="s">
        <v>5677</v>
      </c>
      <c r="C79" s="73" t="s">
        <v>5678</v>
      </c>
      <c r="D79" s="73" t="s">
        <v>5063</v>
      </c>
      <c r="E79" s="73" t="s">
        <v>5679</v>
      </c>
      <c r="F79" s="73" t="s">
        <v>4984</v>
      </c>
    </row>
    <row r="80" customFormat="false" ht="15" hidden="false" customHeight="false" outlineLevel="0" collapsed="false">
      <c r="A80" s="75" t="s">
        <v>5680</v>
      </c>
      <c r="B80" s="75" t="s">
        <v>5681</v>
      </c>
      <c r="C80" s="75" t="s">
        <v>5682</v>
      </c>
      <c r="D80" s="75" t="s">
        <v>5442</v>
      </c>
      <c r="E80" s="75" t="s">
        <v>5683</v>
      </c>
      <c r="F80" s="75" t="s">
        <v>4984</v>
      </c>
    </row>
    <row r="81" customFormat="false" ht="15" hidden="false" customHeight="false" outlineLevel="0" collapsed="false">
      <c r="A81" s="73" t="s">
        <v>5684</v>
      </c>
      <c r="B81" s="73" t="s">
        <v>5685</v>
      </c>
      <c r="C81" s="73" t="s">
        <v>5686</v>
      </c>
      <c r="D81" s="73" t="s">
        <v>5687</v>
      </c>
      <c r="E81" s="73" t="s">
        <v>5688</v>
      </c>
      <c r="F81" s="73" t="s">
        <v>5016</v>
      </c>
    </row>
    <row r="82" customFormat="false" ht="23.85" hidden="false" customHeight="false" outlineLevel="0" collapsed="false">
      <c r="A82" s="75" t="s">
        <v>5689</v>
      </c>
      <c r="B82" s="75" t="s">
        <v>5690</v>
      </c>
      <c r="C82" s="75" t="s">
        <v>5691</v>
      </c>
      <c r="D82" s="75" t="s">
        <v>5442</v>
      </c>
      <c r="E82" s="75" t="s">
        <v>5692</v>
      </c>
      <c r="F82" s="75" t="s">
        <v>4984</v>
      </c>
    </row>
    <row r="83" customFormat="false" ht="23.85" hidden="false" customHeight="false" outlineLevel="0" collapsed="false">
      <c r="A83" s="73" t="s">
        <v>5693</v>
      </c>
      <c r="B83" s="73" t="s">
        <v>5694</v>
      </c>
      <c r="C83" s="73" t="s">
        <v>5695</v>
      </c>
      <c r="D83" s="73" t="s">
        <v>5696</v>
      </c>
      <c r="E83" s="73" t="s">
        <v>5697</v>
      </c>
      <c r="F83" s="73" t="s">
        <v>4984</v>
      </c>
    </row>
    <row r="84" customFormat="false" ht="23.85" hidden="false" customHeight="false" outlineLevel="0" collapsed="false">
      <c r="A84" s="75" t="s">
        <v>5698</v>
      </c>
      <c r="B84" s="75" t="s">
        <v>5699</v>
      </c>
      <c r="C84" s="75" t="s">
        <v>5700</v>
      </c>
      <c r="D84" s="75" t="s">
        <v>498</v>
      </c>
      <c r="E84" s="75" t="s">
        <v>5701</v>
      </c>
      <c r="F84" s="75" t="s">
        <v>4984</v>
      </c>
    </row>
    <row r="86" customFormat="false" ht="15" hidden="false" customHeight="false" outlineLevel="0" collapsed="false">
      <c r="A86" s="72" t="s">
        <v>5702</v>
      </c>
    </row>
    <row r="87" customFormat="false" ht="15" hidden="false" customHeight="false" outlineLevel="0" collapsed="false">
      <c r="A87" s="3" t="s">
        <v>1838</v>
      </c>
      <c r="B87" s="3" t="s">
        <v>5658</v>
      </c>
      <c r="C87" s="3" t="s">
        <v>5659</v>
      </c>
      <c r="D87" s="3" t="s">
        <v>4974</v>
      </c>
      <c r="E87" s="3" t="s">
        <v>5660</v>
      </c>
      <c r="F87" s="3" t="s">
        <v>4977</v>
      </c>
    </row>
    <row r="88" customFormat="false" ht="23.85" hidden="false" customHeight="false" outlineLevel="0" collapsed="false">
      <c r="A88" s="73" t="s">
        <v>5703</v>
      </c>
      <c r="B88" s="73" t="s">
        <v>5704</v>
      </c>
      <c r="C88" s="73" t="s">
        <v>5705</v>
      </c>
      <c r="D88" s="73" t="s">
        <v>5706</v>
      </c>
      <c r="E88" s="73" t="s">
        <v>5707</v>
      </c>
      <c r="F88" s="73" t="s">
        <v>4984</v>
      </c>
    </row>
    <row r="89" customFormat="false" ht="23.85" hidden="false" customHeight="false" outlineLevel="0" collapsed="false">
      <c r="A89" s="75" t="s">
        <v>1790</v>
      </c>
      <c r="B89" s="75" t="s">
        <v>5708</v>
      </c>
      <c r="C89" s="75" t="s">
        <v>5709</v>
      </c>
      <c r="D89" s="75" t="s">
        <v>5047</v>
      </c>
      <c r="E89" s="75" t="s">
        <v>5710</v>
      </c>
      <c r="F89" s="75" t="s">
        <v>4984</v>
      </c>
    </row>
    <row r="90" customFormat="false" ht="23.85" hidden="false" customHeight="false" outlineLevel="0" collapsed="false">
      <c r="A90" s="73" t="s">
        <v>5711</v>
      </c>
      <c r="B90" s="73" t="s">
        <v>5712</v>
      </c>
      <c r="C90" s="73" t="s">
        <v>5713</v>
      </c>
      <c r="D90" s="73" t="s">
        <v>5042</v>
      </c>
      <c r="E90" s="73" t="s">
        <v>5714</v>
      </c>
      <c r="F90" s="73" t="s">
        <v>4984</v>
      </c>
    </row>
    <row r="91" customFormat="false" ht="15" hidden="false" customHeight="false" outlineLevel="0" collapsed="false">
      <c r="A91" s="75" t="s">
        <v>1780</v>
      </c>
      <c r="B91" s="75" t="s">
        <v>5715</v>
      </c>
      <c r="C91" s="75" t="s">
        <v>5716</v>
      </c>
      <c r="D91" s="75" t="s">
        <v>5687</v>
      </c>
      <c r="E91" s="75" t="s">
        <v>5717</v>
      </c>
      <c r="F91" s="75" t="s">
        <v>5016</v>
      </c>
    </row>
    <row r="92" customFormat="false" ht="23.85" hidden="false" customHeight="false" outlineLevel="0" collapsed="false">
      <c r="A92" s="73" t="s">
        <v>5718</v>
      </c>
      <c r="B92" s="73" t="s">
        <v>5719</v>
      </c>
      <c r="C92" s="73" t="s">
        <v>5720</v>
      </c>
      <c r="D92" s="73" t="s">
        <v>5696</v>
      </c>
      <c r="E92" s="73" t="s">
        <v>5721</v>
      </c>
      <c r="F92" s="73" t="s">
        <v>4984</v>
      </c>
    </row>
    <row r="93" customFormat="false" ht="15" hidden="false" customHeight="false" outlineLevel="0" collapsed="false">
      <c r="A93" s="75" t="s">
        <v>5684</v>
      </c>
      <c r="B93" s="75" t="s">
        <v>5722</v>
      </c>
      <c r="C93" s="75" t="s">
        <v>5723</v>
      </c>
      <c r="D93" s="75" t="s">
        <v>498</v>
      </c>
      <c r="E93" s="75" t="s">
        <v>5724</v>
      </c>
      <c r="F93" s="75" t="s">
        <v>5016</v>
      </c>
    </row>
    <row r="94" customFormat="false" ht="23.85" hidden="false" customHeight="false" outlineLevel="0" collapsed="false">
      <c r="A94" s="73" t="s">
        <v>5725</v>
      </c>
      <c r="B94" s="73" t="s">
        <v>5726</v>
      </c>
      <c r="C94" s="73" t="s">
        <v>5727</v>
      </c>
      <c r="D94" s="73" t="s">
        <v>498</v>
      </c>
      <c r="E94" s="73" t="s">
        <v>5728</v>
      </c>
      <c r="F94" s="73" t="s">
        <v>5016</v>
      </c>
    </row>
    <row r="95" customFormat="false" ht="23.85" hidden="false" customHeight="false" outlineLevel="0" collapsed="false">
      <c r="A95" s="75" t="s">
        <v>5693</v>
      </c>
      <c r="B95" s="75" t="s">
        <v>5729</v>
      </c>
      <c r="C95" s="75" t="s">
        <v>5730</v>
      </c>
      <c r="D95" s="75" t="s">
        <v>4994</v>
      </c>
      <c r="E95" s="75" t="s">
        <v>5731</v>
      </c>
      <c r="F95" s="75" t="s">
        <v>5016</v>
      </c>
    </row>
    <row r="96" customFormat="false" ht="23.85" hidden="false" customHeight="false" outlineLevel="0" collapsed="false">
      <c r="A96" s="73" t="s">
        <v>5698</v>
      </c>
      <c r="B96" s="73" t="s">
        <v>5732</v>
      </c>
      <c r="C96" s="73" t="s">
        <v>5733</v>
      </c>
      <c r="D96" s="73" t="s">
        <v>498</v>
      </c>
      <c r="E96" s="73" t="s">
        <v>5734</v>
      </c>
      <c r="F96" s="73" t="s">
        <v>4984</v>
      </c>
    </row>
    <row r="98" customFormat="false" ht="15" hidden="false" customHeight="false" outlineLevel="0" collapsed="false">
      <c r="A98" s="72" t="s">
        <v>5735</v>
      </c>
    </row>
    <row r="99" customFormat="false" ht="15" hidden="false" customHeight="false" outlineLevel="0" collapsed="false">
      <c r="A99" s="3" t="s">
        <v>1838</v>
      </c>
      <c r="B99" s="3" t="s">
        <v>5658</v>
      </c>
      <c r="C99" s="3" t="s">
        <v>5659</v>
      </c>
      <c r="D99" s="3" t="s">
        <v>4974</v>
      </c>
      <c r="E99" s="3" t="s">
        <v>5660</v>
      </c>
      <c r="F99" s="3" t="s">
        <v>4977</v>
      </c>
    </row>
    <row r="100" customFormat="false" ht="23.85" hidden="false" customHeight="false" outlineLevel="0" collapsed="false">
      <c r="A100" s="73" t="s">
        <v>5736</v>
      </c>
      <c r="B100" s="73" t="s">
        <v>5737</v>
      </c>
      <c r="C100" s="73" t="s">
        <v>5738</v>
      </c>
      <c r="D100" s="73" t="s">
        <v>5442</v>
      </c>
      <c r="E100" s="73" t="s">
        <v>5739</v>
      </c>
      <c r="F100" s="73" t="s">
        <v>4984</v>
      </c>
    </row>
    <row r="101" customFormat="false" ht="23.85" hidden="false" customHeight="false" outlineLevel="0" collapsed="false">
      <c r="A101" s="75" t="s">
        <v>1790</v>
      </c>
      <c r="B101" s="75" t="s">
        <v>5740</v>
      </c>
      <c r="C101" s="75" t="s">
        <v>5741</v>
      </c>
      <c r="D101" s="75" t="s">
        <v>5019</v>
      </c>
      <c r="E101" s="75" t="s">
        <v>5742</v>
      </c>
      <c r="F101" s="75" t="s">
        <v>4984</v>
      </c>
    </row>
    <row r="102" customFormat="false" ht="23.85" hidden="false" customHeight="false" outlineLevel="0" collapsed="false">
      <c r="A102" s="73" t="s">
        <v>5743</v>
      </c>
      <c r="B102" s="73" t="s">
        <v>5744</v>
      </c>
      <c r="C102" s="73" t="s">
        <v>5745</v>
      </c>
      <c r="D102" s="73" t="s">
        <v>5746</v>
      </c>
      <c r="E102" s="73" t="s">
        <v>5747</v>
      </c>
      <c r="F102" s="73" t="s">
        <v>4984</v>
      </c>
    </row>
    <row r="103" customFormat="false" ht="15" hidden="false" customHeight="false" outlineLevel="0" collapsed="false">
      <c r="A103" s="75" t="s">
        <v>1780</v>
      </c>
      <c r="B103" s="75" t="s">
        <v>3450</v>
      </c>
      <c r="C103" s="75" t="s">
        <v>5748</v>
      </c>
      <c r="D103" s="75" t="s">
        <v>498</v>
      </c>
      <c r="E103" s="75" t="s">
        <v>5749</v>
      </c>
      <c r="F103" s="75" t="s">
        <v>4984</v>
      </c>
    </row>
    <row r="104" customFormat="false" ht="23.85" hidden="false" customHeight="false" outlineLevel="0" collapsed="false">
      <c r="A104" s="73" t="s">
        <v>5750</v>
      </c>
      <c r="B104" s="73" t="s">
        <v>5751</v>
      </c>
      <c r="C104" s="73" t="s">
        <v>5752</v>
      </c>
      <c r="D104" s="73" t="s">
        <v>5042</v>
      </c>
      <c r="E104" s="73" t="s">
        <v>5753</v>
      </c>
      <c r="F104" s="73" t="s">
        <v>4984</v>
      </c>
    </row>
    <row r="105" customFormat="false" ht="15" hidden="false" customHeight="false" outlineLevel="0" collapsed="false">
      <c r="A105" s="75" t="s">
        <v>5684</v>
      </c>
      <c r="B105" s="75" t="s">
        <v>5754</v>
      </c>
      <c r="C105" s="75" t="s">
        <v>5755</v>
      </c>
      <c r="D105" s="75" t="s">
        <v>5047</v>
      </c>
      <c r="E105" s="75" t="s">
        <v>5756</v>
      </c>
      <c r="F105" s="75" t="s">
        <v>5016</v>
      </c>
    </row>
    <row r="106" customFormat="false" ht="15" hidden="false" customHeight="false" outlineLevel="0" collapsed="false">
      <c r="A106" s="73" t="s">
        <v>5757</v>
      </c>
      <c r="B106" s="73" t="s">
        <v>5758</v>
      </c>
      <c r="C106" s="73" t="s">
        <v>5759</v>
      </c>
      <c r="D106" s="73" t="s">
        <v>498</v>
      </c>
      <c r="E106" s="73" t="s">
        <v>5760</v>
      </c>
      <c r="F106" s="73" t="s">
        <v>4984</v>
      </c>
    </row>
    <row r="107" customFormat="false" ht="15" hidden="false" customHeight="false" outlineLevel="0" collapsed="false">
      <c r="A107" s="75" t="s">
        <v>5693</v>
      </c>
      <c r="B107" s="75" t="s">
        <v>5761</v>
      </c>
      <c r="C107" s="75" t="s">
        <v>5762</v>
      </c>
      <c r="D107" s="75" t="s">
        <v>5696</v>
      </c>
      <c r="E107" s="75" t="s">
        <v>5763</v>
      </c>
      <c r="F107" s="75" t="s">
        <v>4984</v>
      </c>
    </row>
    <row r="108" customFormat="false" ht="23.85" hidden="false" customHeight="false" outlineLevel="0" collapsed="false">
      <c r="A108" s="73" t="s">
        <v>5698</v>
      </c>
      <c r="B108" s="73" t="s">
        <v>5764</v>
      </c>
      <c r="C108" s="73" t="s">
        <v>5765</v>
      </c>
      <c r="D108" s="73" t="s">
        <v>498</v>
      </c>
      <c r="E108" s="73" t="s">
        <v>5734</v>
      </c>
      <c r="F108" s="73" t="s">
        <v>4984</v>
      </c>
    </row>
    <row r="110" customFormat="false" ht="15" hidden="false" customHeight="false" outlineLevel="0" collapsed="false">
      <c r="A110" s="72" t="s">
        <v>5766</v>
      </c>
    </row>
    <row r="111" customFormat="false" ht="15" hidden="false" customHeight="false" outlineLevel="0" collapsed="false">
      <c r="A111" s="3" t="s">
        <v>1838</v>
      </c>
      <c r="B111" s="3" t="s">
        <v>5658</v>
      </c>
      <c r="C111" s="3" t="s">
        <v>5659</v>
      </c>
      <c r="D111" s="3" t="s">
        <v>4974</v>
      </c>
      <c r="E111" s="3" t="s">
        <v>5660</v>
      </c>
      <c r="F111" s="3" t="s">
        <v>4977</v>
      </c>
    </row>
    <row r="112" customFormat="false" ht="23.85" hidden="false" customHeight="false" outlineLevel="0" collapsed="false">
      <c r="A112" s="73" t="s">
        <v>5767</v>
      </c>
      <c r="B112" s="73" t="s">
        <v>5768</v>
      </c>
      <c r="C112" s="73" t="s">
        <v>5769</v>
      </c>
      <c r="D112" s="73" t="s">
        <v>5442</v>
      </c>
      <c r="E112" s="73" t="s">
        <v>5770</v>
      </c>
      <c r="F112" s="73" t="s">
        <v>4984</v>
      </c>
    </row>
    <row r="113" customFormat="false" ht="23.85" hidden="false" customHeight="false" outlineLevel="0" collapsed="false">
      <c r="A113" s="75" t="s">
        <v>1790</v>
      </c>
      <c r="B113" s="75" t="s">
        <v>5771</v>
      </c>
      <c r="C113" s="75" t="s">
        <v>5772</v>
      </c>
      <c r="D113" s="75" t="s">
        <v>498</v>
      </c>
      <c r="E113" s="75" t="s">
        <v>5773</v>
      </c>
      <c r="F113" s="75" t="s">
        <v>4984</v>
      </c>
    </row>
    <row r="114" customFormat="false" ht="23.85" hidden="false" customHeight="false" outlineLevel="0" collapsed="false">
      <c r="A114" s="73" t="s">
        <v>5774</v>
      </c>
      <c r="B114" s="73" t="s">
        <v>5775</v>
      </c>
      <c r="C114" s="73" t="s">
        <v>5776</v>
      </c>
      <c r="D114" s="73" t="s">
        <v>4931</v>
      </c>
      <c r="E114" s="73" t="s">
        <v>5777</v>
      </c>
      <c r="F114" s="73" t="s">
        <v>4984</v>
      </c>
    </row>
    <row r="115" customFormat="false" ht="15" hidden="false" customHeight="false" outlineLevel="0" collapsed="false">
      <c r="A115" s="75" t="s">
        <v>1780</v>
      </c>
      <c r="B115" s="75" t="s">
        <v>5778</v>
      </c>
      <c r="C115" s="75" t="s">
        <v>5779</v>
      </c>
      <c r="D115" s="75" t="s">
        <v>5047</v>
      </c>
      <c r="E115" s="75" t="s">
        <v>5780</v>
      </c>
      <c r="F115" s="75" t="s">
        <v>4984</v>
      </c>
    </row>
    <row r="116" customFormat="false" ht="23.85" hidden="false" customHeight="false" outlineLevel="0" collapsed="false">
      <c r="A116" s="73" t="s">
        <v>5781</v>
      </c>
      <c r="B116" s="73" t="s">
        <v>5782</v>
      </c>
      <c r="C116" s="73" t="s">
        <v>5783</v>
      </c>
      <c r="D116" s="73" t="s">
        <v>5696</v>
      </c>
      <c r="E116" s="73" t="s">
        <v>5784</v>
      </c>
      <c r="F116" s="73" t="s">
        <v>4984</v>
      </c>
    </row>
    <row r="117" customFormat="false" ht="23.85" hidden="false" customHeight="false" outlineLevel="0" collapsed="false">
      <c r="A117" s="75" t="s">
        <v>5684</v>
      </c>
      <c r="B117" s="75" t="s">
        <v>5785</v>
      </c>
      <c r="C117" s="75" t="s">
        <v>5786</v>
      </c>
      <c r="D117" s="75" t="s">
        <v>498</v>
      </c>
      <c r="E117" s="75" t="s">
        <v>5787</v>
      </c>
      <c r="F117" s="75" t="s">
        <v>5016</v>
      </c>
    </row>
    <row r="118" customFormat="false" ht="23.85" hidden="false" customHeight="false" outlineLevel="0" collapsed="false">
      <c r="A118" s="73" t="s">
        <v>5788</v>
      </c>
      <c r="B118" s="73" t="s">
        <v>5789</v>
      </c>
      <c r="C118" s="73" t="s">
        <v>5790</v>
      </c>
      <c r="D118" s="73" t="s">
        <v>5791</v>
      </c>
      <c r="E118" s="73" t="s">
        <v>5792</v>
      </c>
      <c r="F118" s="73" t="s">
        <v>4984</v>
      </c>
    </row>
    <row r="119" customFormat="false" ht="23.85" hidden="false" customHeight="false" outlineLevel="0" collapsed="false">
      <c r="A119" s="75" t="s">
        <v>5698</v>
      </c>
      <c r="B119" s="75" t="s">
        <v>5793</v>
      </c>
      <c r="C119" s="75" t="s">
        <v>5794</v>
      </c>
      <c r="D119" s="75" t="s">
        <v>498</v>
      </c>
      <c r="E119" s="75" t="s">
        <v>5734</v>
      </c>
      <c r="F119" s="75" t="s">
        <v>4984</v>
      </c>
    </row>
    <row r="121" customFormat="false" ht="15" hidden="false" customHeight="false" outlineLevel="0" collapsed="false">
      <c r="A121" s="72" t="s">
        <v>5795</v>
      </c>
    </row>
    <row r="122" customFormat="false" ht="15" hidden="false" customHeight="false" outlineLevel="0" collapsed="false">
      <c r="A122" s="3" t="s">
        <v>1838</v>
      </c>
      <c r="B122" s="3" t="s">
        <v>5658</v>
      </c>
      <c r="C122" s="3" t="s">
        <v>5659</v>
      </c>
      <c r="D122" s="3" t="s">
        <v>4974</v>
      </c>
      <c r="E122" s="3" t="s">
        <v>5660</v>
      </c>
      <c r="F122" s="3" t="s">
        <v>4977</v>
      </c>
    </row>
    <row r="123" customFormat="false" ht="23.85" hidden="false" customHeight="false" outlineLevel="0" collapsed="false">
      <c r="A123" s="73" t="s">
        <v>5796</v>
      </c>
      <c r="B123" s="73" t="s">
        <v>5797</v>
      </c>
      <c r="C123" s="73" t="s">
        <v>5798</v>
      </c>
      <c r="D123" s="73" t="s">
        <v>5442</v>
      </c>
      <c r="E123" s="73" t="s">
        <v>5799</v>
      </c>
      <c r="F123" s="73" t="s">
        <v>4984</v>
      </c>
    </row>
    <row r="124" customFormat="false" ht="23.85" hidden="false" customHeight="false" outlineLevel="0" collapsed="false">
      <c r="A124" s="75" t="s">
        <v>1790</v>
      </c>
      <c r="B124" s="75" t="s">
        <v>5800</v>
      </c>
      <c r="C124" s="75" t="s">
        <v>5801</v>
      </c>
      <c r="D124" s="75" t="s">
        <v>5063</v>
      </c>
      <c r="E124" s="75" t="s">
        <v>5802</v>
      </c>
      <c r="F124" s="75" t="s">
        <v>5016</v>
      </c>
    </row>
    <row r="125" customFormat="false" ht="23.85" hidden="false" customHeight="false" outlineLevel="0" collapsed="false">
      <c r="A125" s="73" t="s">
        <v>5803</v>
      </c>
      <c r="B125" s="73" t="s">
        <v>5804</v>
      </c>
      <c r="C125" s="73" t="s">
        <v>5805</v>
      </c>
      <c r="D125" s="73" t="s">
        <v>5696</v>
      </c>
      <c r="E125" s="73" t="s">
        <v>5806</v>
      </c>
      <c r="F125" s="73" t="s">
        <v>4984</v>
      </c>
    </row>
    <row r="126" customFormat="false" ht="23.85" hidden="false" customHeight="false" outlineLevel="0" collapsed="false">
      <c r="A126" s="75" t="s">
        <v>5807</v>
      </c>
      <c r="B126" s="75" t="s">
        <v>5808</v>
      </c>
      <c r="C126" s="75" t="s">
        <v>5809</v>
      </c>
      <c r="D126" s="75" t="s">
        <v>4931</v>
      </c>
      <c r="E126" s="75" t="s">
        <v>5810</v>
      </c>
      <c r="F126" s="75" t="s">
        <v>4984</v>
      </c>
    </row>
    <row r="127" customFormat="false" ht="15" hidden="false" customHeight="false" outlineLevel="0" collapsed="false">
      <c r="A127" s="73" t="s">
        <v>5811</v>
      </c>
      <c r="B127" s="73" t="s">
        <v>5812</v>
      </c>
      <c r="C127" s="73" t="s">
        <v>5813</v>
      </c>
      <c r="D127" s="73" t="s">
        <v>5042</v>
      </c>
      <c r="E127" s="73" t="s">
        <v>5814</v>
      </c>
      <c r="F127" s="73" t="s">
        <v>5016</v>
      </c>
    </row>
    <row r="128" customFormat="false" ht="23.85" hidden="false" customHeight="false" outlineLevel="0" collapsed="false">
      <c r="A128" s="75" t="s">
        <v>5693</v>
      </c>
      <c r="B128" s="75" t="s">
        <v>5815</v>
      </c>
      <c r="C128" s="75" t="s">
        <v>5816</v>
      </c>
      <c r="D128" s="75" t="s">
        <v>5817</v>
      </c>
      <c r="E128" s="75" t="s">
        <v>5818</v>
      </c>
      <c r="F128" s="75" t="s">
        <v>5016</v>
      </c>
    </row>
    <row r="129" customFormat="false" ht="23.85" hidden="false" customHeight="false" outlineLevel="0" collapsed="false">
      <c r="A129" s="73" t="s">
        <v>5698</v>
      </c>
      <c r="B129" s="73" t="s">
        <v>5819</v>
      </c>
      <c r="C129" s="73" t="s">
        <v>5820</v>
      </c>
      <c r="D129" s="73" t="s">
        <v>498</v>
      </c>
      <c r="E129" s="73" t="s">
        <v>5734</v>
      </c>
      <c r="F129" s="73" t="s">
        <v>4984</v>
      </c>
    </row>
    <row r="131" customFormat="false" ht="15" hidden="false" customHeight="false" outlineLevel="0" collapsed="false">
      <c r="A131" s="72" t="s">
        <v>5821</v>
      </c>
    </row>
    <row r="132" customFormat="false" ht="15" hidden="false" customHeight="false" outlineLevel="0" collapsed="false">
      <c r="A132" s="3" t="s">
        <v>1838</v>
      </c>
      <c r="B132" s="3" t="s">
        <v>5658</v>
      </c>
      <c r="C132" s="3" t="s">
        <v>5659</v>
      </c>
      <c r="D132" s="3" t="s">
        <v>4974</v>
      </c>
      <c r="E132" s="3" t="s">
        <v>5660</v>
      </c>
      <c r="F132" s="3" t="s">
        <v>4977</v>
      </c>
    </row>
    <row r="133" customFormat="false" ht="23.85" hidden="false" customHeight="false" outlineLevel="0" collapsed="false">
      <c r="A133" s="73" t="s">
        <v>5822</v>
      </c>
      <c r="B133" s="73" t="s">
        <v>5823</v>
      </c>
      <c r="C133" s="73" t="s">
        <v>5824</v>
      </c>
      <c r="D133" s="73" t="s">
        <v>4931</v>
      </c>
      <c r="E133" s="73" t="s">
        <v>5825</v>
      </c>
      <c r="F133" s="73" t="s">
        <v>4984</v>
      </c>
    </row>
    <row r="134" customFormat="false" ht="23.85" hidden="false" customHeight="false" outlineLevel="0" collapsed="false">
      <c r="A134" s="75" t="s">
        <v>1790</v>
      </c>
      <c r="B134" s="75" t="s">
        <v>5826</v>
      </c>
      <c r="C134" s="75" t="s">
        <v>5827</v>
      </c>
      <c r="D134" s="75" t="s">
        <v>5828</v>
      </c>
      <c r="E134" s="75" t="s">
        <v>5829</v>
      </c>
      <c r="F134" s="75" t="s">
        <v>4984</v>
      </c>
    </row>
    <row r="135" customFormat="false" ht="23.85" hidden="false" customHeight="false" outlineLevel="0" collapsed="false">
      <c r="A135" s="73" t="s">
        <v>5830</v>
      </c>
      <c r="B135" s="73" t="s">
        <v>5831</v>
      </c>
      <c r="C135" s="73" t="s">
        <v>5832</v>
      </c>
      <c r="D135" s="73" t="s">
        <v>5442</v>
      </c>
      <c r="E135" s="73" t="s">
        <v>5833</v>
      </c>
      <c r="F135" s="73" t="s">
        <v>4984</v>
      </c>
    </row>
    <row r="136" customFormat="false" ht="15" hidden="false" customHeight="false" outlineLevel="0" collapsed="false">
      <c r="A136" s="75" t="s">
        <v>1780</v>
      </c>
      <c r="B136" s="75" t="s">
        <v>5834</v>
      </c>
      <c r="C136" s="75" t="s">
        <v>5835</v>
      </c>
      <c r="D136" s="75" t="s">
        <v>498</v>
      </c>
      <c r="E136" s="75" t="s">
        <v>5836</v>
      </c>
      <c r="F136" s="75" t="s">
        <v>5016</v>
      </c>
    </row>
    <row r="137" customFormat="false" ht="15" hidden="false" customHeight="false" outlineLevel="0" collapsed="false">
      <c r="A137" s="73" t="s">
        <v>5837</v>
      </c>
      <c r="B137" s="73" t="s">
        <v>5838</v>
      </c>
      <c r="C137" s="73" t="s">
        <v>5839</v>
      </c>
      <c r="D137" s="73" t="s">
        <v>5042</v>
      </c>
      <c r="E137" s="73" t="s">
        <v>5840</v>
      </c>
      <c r="F137" s="73" t="s">
        <v>5016</v>
      </c>
    </row>
    <row r="138" customFormat="false" ht="23.85" hidden="false" customHeight="false" outlineLevel="0" collapsed="false">
      <c r="A138" s="75" t="s">
        <v>5684</v>
      </c>
      <c r="B138" s="75" t="s">
        <v>5841</v>
      </c>
      <c r="C138" s="75" t="s">
        <v>5842</v>
      </c>
      <c r="D138" s="75" t="s">
        <v>498</v>
      </c>
      <c r="E138" s="75" t="s">
        <v>5843</v>
      </c>
      <c r="F138" s="75" t="s">
        <v>4984</v>
      </c>
    </row>
    <row r="139" customFormat="false" ht="15" hidden="false" customHeight="false" outlineLevel="0" collapsed="false">
      <c r="A139" s="73" t="s">
        <v>5844</v>
      </c>
      <c r="B139" s="73" t="s">
        <v>5845</v>
      </c>
      <c r="C139" s="73" t="s">
        <v>5846</v>
      </c>
      <c r="D139" s="73" t="s">
        <v>5672</v>
      </c>
      <c r="E139" s="73" t="s">
        <v>5847</v>
      </c>
      <c r="F139" s="73" t="s">
        <v>5016</v>
      </c>
    </row>
    <row r="140" customFormat="false" ht="23.85" hidden="false" customHeight="false" outlineLevel="0" collapsed="false">
      <c r="A140" s="75" t="s">
        <v>5693</v>
      </c>
      <c r="B140" s="75" t="s">
        <v>5848</v>
      </c>
      <c r="C140" s="75" t="s">
        <v>5849</v>
      </c>
      <c r="D140" s="75" t="s">
        <v>498</v>
      </c>
      <c r="E140" s="75" t="s">
        <v>5850</v>
      </c>
      <c r="F140" s="75" t="s">
        <v>5016</v>
      </c>
    </row>
    <row r="141" customFormat="false" ht="23.85" hidden="false" customHeight="false" outlineLevel="0" collapsed="false">
      <c r="A141" s="73" t="s">
        <v>5698</v>
      </c>
      <c r="B141" s="73" t="s">
        <v>5851</v>
      </c>
      <c r="C141" s="73" t="s">
        <v>5852</v>
      </c>
      <c r="D141" s="73" t="s">
        <v>498</v>
      </c>
      <c r="E141" s="73" t="s">
        <v>5853</v>
      </c>
      <c r="F141" s="73" t="s">
        <v>4984</v>
      </c>
    </row>
  </sheetData>
  <mergeCells count="13">
    <mergeCell ref="B1:I1"/>
    <mergeCell ref="B4:I4"/>
    <mergeCell ref="B5:I5"/>
    <mergeCell ref="B16:I16"/>
    <mergeCell ref="B17:I17"/>
    <mergeCell ref="B28:I28"/>
    <mergeCell ref="B29:I29"/>
    <mergeCell ref="B40:I40"/>
    <mergeCell ref="B41:I41"/>
    <mergeCell ref="B51:I51"/>
    <mergeCell ref="B52:I52"/>
    <mergeCell ref="B61:I61"/>
    <mergeCell ref="B62:I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4" min="3" style="1" width="8"/>
    <col collapsed="false" customWidth="true" hidden="false" outlineLevel="0" max="15" min="5" style="1" width="10"/>
    <col collapsed="false" customWidth="true" hidden="false" outlineLevel="0" max="16" min="16" style="1" width="3"/>
  </cols>
  <sheetData>
    <row r="1" customFormat="false" ht="36" hidden="false" customHeight="true" outlineLevel="0" collapsed="false">
      <c r="B1" s="213" t="s">
        <v>5854</v>
      </c>
      <c r="C1" s="213"/>
      <c r="D1" s="213"/>
      <c r="E1" s="213"/>
      <c r="F1" s="213"/>
      <c r="G1" s="213"/>
      <c r="H1" s="213"/>
      <c r="I1" s="213"/>
      <c r="J1" s="213"/>
      <c r="K1" s="213"/>
      <c r="L1" s="213"/>
      <c r="M1" s="213"/>
      <c r="N1" s="213"/>
      <c r="O1" s="213"/>
      <c r="P1" s="213"/>
    </row>
    <row r="2" customFormat="false" ht="27.75" hidden="false" customHeight="true" outlineLevel="0" collapsed="false">
      <c r="B2" s="145" t="s">
        <v>5855</v>
      </c>
      <c r="C2" s="145"/>
      <c r="D2" s="145"/>
      <c r="E2" s="145"/>
      <c r="F2" s="145"/>
      <c r="G2" s="145"/>
      <c r="H2" s="145"/>
      <c r="I2" s="145"/>
      <c r="J2" s="145"/>
      <c r="K2" s="145"/>
      <c r="L2" s="145"/>
      <c r="M2" s="145"/>
      <c r="N2" s="145"/>
      <c r="O2" s="145"/>
      <c r="P2" s="145"/>
    </row>
    <row r="3" customFormat="false" ht="21.75" hidden="false" customHeight="true" outlineLevel="0" collapsed="false">
      <c r="B3" s="146" t="s">
        <v>2042</v>
      </c>
      <c r="C3" s="146" t="s">
        <v>434</v>
      </c>
      <c r="D3" s="146" t="s">
        <v>1724</v>
      </c>
      <c r="E3" s="146" t="s">
        <v>5856</v>
      </c>
      <c r="F3" s="146" t="s">
        <v>4842</v>
      </c>
      <c r="G3" s="146" t="s">
        <v>4843</v>
      </c>
      <c r="H3" s="146" t="s">
        <v>5857</v>
      </c>
      <c r="I3" s="146" t="s">
        <v>5858</v>
      </c>
      <c r="J3" s="146" t="s">
        <v>5859</v>
      </c>
      <c r="K3" s="146" t="s">
        <v>5860</v>
      </c>
      <c r="L3" s="146" t="s">
        <v>5861</v>
      </c>
      <c r="M3" s="146" t="s">
        <v>5862</v>
      </c>
      <c r="N3" s="146" t="s">
        <v>5863</v>
      </c>
      <c r="O3" s="146" t="s">
        <v>5864</v>
      </c>
      <c r="P3" s="146" t="s">
        <v>4531</v>
      </c>
    </row>
    <row r="4" customFormat="false" ht="19.5" hidden="false" customHeight="true" outlineLevel="0" collapsed="false">
      <c r="B4" s="54" t="s">
        <v>1590</v>
      </c>
      <c r="C4" s="68" t="s">
        <v>1148</v>
      </c>
      <c r="D4" s="55" t="s">
        <v>5865</v>
      </c>
      <c r="E4" s="149" t="n">
        <v>0</v>
      </c>
      <c r="F4" s="149" t="n">
        <v>0</v>
      </c>
      <c r="G4" s="149" t="n">
        <v>0</v>
      </c>
      <c r="H4" s="214" t="n">
        <f aca="false">IF(F4&gt;0,G4/F4,0)</f>
        <v>0</v>
      </c>
      <c r="I4" s="149" t="n">
        <v>0</v>
      </c>
      <c r="J4" s="149" t="n">
        <v>0</v>
      </c>
      <c r="K4" s="56" t="n">
        <f aca="false">IF(I4&gt;0,E4/I4,0)</f>
        <v>0</v>
      </c>
      <c r="L4" s="214" t="n">
        <f aca="false">IF(I4&gt;0,J4/I4,0)</f>
        <v>0</v>
      </c>
      <c r="M4" s="149" t="n">
        <v>0</v>
      </c>
      <c r="N4" s="56" t="n">
        <f aca="false">IF(M4&gt;0,E4/M4,0)</f>
        <v>0</v>
      </c>
      <c r="O4" s="149" t="n">
        <v>0</v>
      </c>
      <c r="P4" s="215" t="s">
        <v>5866</v>
      </c>
    </row>
    <row r="5" customFormat="false" ht="19.5" hidden="false" customHeight="true" outlineLevel="0" collapsed="false">
      <c r="B5" s="54" t="s">
        <v>5867</v>
      </c>
      <c r="C5" s="68" t="s">
        <v>1148</v>
      </c>
      <c r="D5" s="55" t="s">
        <v>5868</v>
      </c>
      <c r="E5" s="149" t="n">
        <v>0</v>
      </c>
      <c r="F5" s="149" t="n">
        <v>0</v>
      </c>
      <c r="G5" s="149" t="n">
        <v>0</v>
      </c>
      <c r="H5" s="214" t="n">
        <f aca="false">IF(F5&gt;0,G5/F5,0)</f>
        <v>0</v>
      </c>
      <c r="I5" s="149" t="n">
        <v>0</v>
      </c>
      <c r="J5" s="149" t="n">
        <v>0</v>
      </c>
      <c r="K5" s="56" t="n">
        <f aca="false">IF(I5&gt;0,E5/I5,0)</f>
        <v>0</v>
      </c>
      <c r="L5" s="214" t="n">
        <f aca="false">IF(I5&gt;0,J5/I5,0)</f>
        <v>0</v>
      </c>
      <c r="M5" s="149" t="n">
        <v>0</v>
      </c>
      <c r="N5" s="56" t="n">
        <f aca="false">IF(M5&gt;0,E5/M5,0)</f>
        <v>0</v>
      </c>
      <c r="O5" s="149" t="n">
        <v>0</v>
      </c>
      <c r="P5" s="215" t="s">
        <v>5866</v>
      </c>
    </row>
    <row r="6" customFormat="false" ht="19.5" hidden="false" customHeight="true" outlineLevel="0" collapsed="false">
      <c r="B6" s="54" t="s">
        <v>1594</v>
      </c>
      <c r="C6" s="68" t="s">
        <v>1148</v>
      </c>
      <c r="D6" s="55" t="s">
        <v>5868</v>
      </c>
      <c r="E6" s="149" t="n">
        <v>0</v>
      </c>
      <c r="F6" s="149" t="n">
        <v>0</v>
      </c>
      <c r="G6" s="149" t="n">
        <v>0</v>
      </c>
      <c r="H6" s="214" t="n">
        <f aca="false">IF(F6&gt;0,G6/F6,0)</f>
        <v>0</v>
      </c>
      <c r="I6" s="149" t="n">
        <v>0</v>
      </c>
      <c r="J6" s="149" t="n">
        <v>0</v>
      </c>
      <c r="K6" s="56" t="n">
        <f aca="false">IF(I6&gt;0,E6/I6,0)</f>
        <v>0</v>
      </c>
      <c r="L6" s="214" t="n">
        <f aca="false">IF(I6&gt;0,J6/I6,0)</f>
        <v>0</v>
      </c>
      <c r="M6" s="149" t="n">
        <v>0</v>
      </c>
      <c r="N6" s="56" t="n">
        <f aca="false">IF(M6&gt;0,E6/M6,0)</f>
        <v>0</v>
      </c>
      <c r="O6" s="149" t="n">
        <v>0</v>
      </c>
      <c r="P6" s="215" t="s">
        <v>5866</v>
      </c>
    </row>
    <row r="7" customFormat="false" ht="19.5" hidden="false" customHeight="true" outlineLevel="0" collapsed="false">
      <c r="B7" s="54" t="s">
        <v>1598</v>
      </c>
      <c r="C7" s="68" t="s">
        <v>1148</v>
      </c>
      <c r="D7" s="55" t="s">
        <v>5868</v>
      </c>
      <c r="E7" s="149" t="n">
        <v>0</v>
      </c>
      <c r="F7" s="149" t="n">
        <v>0</v>
      </c>
      <c r="G7" s="149" t="n">
        <v>0</v>
      </c>
      <c r="H7" s="214" t="n">
        <f aca="false">IF(F7&gt;0,G7/F7,0)</f>
        <v>0</v>
      </c>
      <c r="I7" s="149" t="n">
        <v>0</v>
      </c>
      <c r="J7" s="149" t="n">
        <v>0</v>
      </c>
      <c r="K7" s="56" t="n">
        <f aca="false">IF(I7&gt;0,E7/I7,0)</f>
        <v>0</v>
      </c>
      <c r="L7" s="214" t="n">
        <f aca="false">IF(I7&gt;0,J7/I7,0)</f>
        <v>0</v>
      </c>
      <c r="M7" s="149" t="n">
        <v>0</v>
      </c>
      <c r="N7" s="56" t="n">
        <f aca="false">IF(M7&gt;0,E7/M7,0)</f>
        <v>0</v>
      </c>
      <c r="O7" s="149" t="n">
        <v>0</v>
      </c>
      <c r="P7" s="215" t="s">
        <v>5866</v>
      </c>
    </row>
    <row r="8" customFormat="false" ht="19.5" hidden="false" customHeight="true" outlineLevel="0" collapsed="false">
      <c r="B8" s="54" t="s">
        <v>1604</v>
      </c>
      <c r="C8" s="68" t="s">
        <v>1148</v>
      </c>
      <c r="D8" s="55" t="s">
        <v>5869</v>
      </c>
      <c r="E8" s="149" t="n">
        <v>0</v>
      </c>
      <c r="F8" s="149" t="n">
        <v>0</v>
      </c>
      <c r="G8" s="149" t="n">
        <v>0</v>
      </c>
      <c r="H8" s="214" t="n">
        <f aca="false">IF(F8&gt;0,G8/F8,0)</f>
        <v>0</v>
      </c>
      <c r="I8" s="149" t="n">
        <v>0</v>
      </c>
      <c r="J8" s="149" t="n">
        <v>0</v>
      </c>
      <c r="K8" s="56" t="n">
        <f aca="false">IF(I8&gt;0,E8/I8,0)</f>
        <v>0</v>
      </c>
      <c r="L8" s="214" t="n">
        <f aca="false">IF(I8&gt;0,J8/I8,0)</f>
        <v>0</v>
      </c>
      <c r="M8" s="149" t="n">
        <v>0</v>
      </c>
      <c r="N8" s="56" t="n">
        <f aca="false">IF(M8&gt;0,E8/M8,0)</f>
        <v>0</v>
      </c>
      <c r="O8" s="149" t="n">
        <v>0</v>
      </c>
      <c r="P8" s="215" t="s">
        <v>5866</v>
      </c>
    </row>
    <row r="9" customFormat="false" ht="19.5" hidden="false" customHeight="true" outlineLevel="0" collapsed="false">
      <c r="B9" s="54" t="s">
        <v>1677</v>
      </c>
      <c r="C9" s="68" t="s">
        <v>1148</v>
      </c>
      <c r="D9" s="55" t="s">
        <v>5869</v>
      </c>
      <c r="E9" s="149" t="n">
        <v>0</v>
      </c>
      <c r="F9" s="149" t="n">
        <v>0</v>
      </c>
      <c r="G9" s="149" t="n">
        <v>0</v>
      </c>
      <c r="H9" s="214" t="n">
        <f aca="false">IF(F9&gt;0,G9/F9,0)</f>
        <v>0</v>
      </c>
      <c r="I9" s="149" t="n">
        <v>0</v>
      </c>
      <c r="J9" s="149" t="n">
        <v>0</v>
      </c>
      <c r="K9" s="56" t="n">
        <f aca="false">IF(I9&gt;0,E9/I9,0)</f>
        <v>0</v>
      </c>
      <c r="L9" s="214" t="n">
        <f aca="false">IF(I9&gt;0,J9/I9,0)</f>
        <v>0</v>
      </c>
      <c r="M9" s="149" t="n">
        <v>0</v>
      </c>
      <c r="N9" s="56" t="n">
        <f aca="false">IF(M9&gt;0,E9/M9,0)</f>
        <v>0</v>
      </c>
      <c r="O9" s="149" t="n">
        <v>0</v>
      </c>
      <c r="P9" s="215" t="s">
        <v>5866</v>
      </c>
    </row>
    <row r="10" customFormat="false" ht="19.5" hidden="false" customHeight="true" outlineLevel="0" collapsed="false">
      <c r="B10" s="54" t="s">
        <v>1607</v>
      </c>
      <c r="C10" s="68" t="s">
        <v>1148</v>
      </c>
      <c r="D10" s="55" t="s">
        <v>5870</v>
      </c>
      <c r="E10" s="149" t="n">
        <v>0</v>
      </c>
      <c r="F10" s="149" t="n">
        <v>0</v>
      </c>
      <c r="G10" s="149" t="n">
        <v>0</v>
      </c>
      <c r="H10" s="214" t="n">
        <f aca="false">IF(F10&gt;0,G10/F10,0)</f>
        <v>0</v>
      </c>
      <c r="I10" s="149" t="n">
        <v>0</v>
      </c>
      <c r="J10" s="149" t="n">
        <v>0</v>
      </c>
      <c r="K10" s="56" t="n">
        <f aca="false">IF(I10&gt;0,E10/I10,0)</f>
        <v>0</v>
      </c>
      <c r="L10" s="214" t="n">
        <f aca="false">IF(I10&gt;0,J10/I10,0)</f>
        <v>0</v>
      </c>
      <c r="M10" s="149" t="n">
        <v>0</v>
      </c>
      <c r="N10" s="56" t="n">
        <f aca="false">IF(M10&gt;0,E10/M10,0)</f>
        <v>0</v>
      </c>
      <c r="O10" s="149" t="n">
        <v>0</v>
      </c>
      <c r="P10" s="215" t="s">
        <v>5866</v>
      </c>
    </row>
    <row r="11" customFormat="false" ht="19.5" hidden="false" customHeight="true" outlineLevel="0" collapsed="false">
      <c r="B11" s="54" t="s">
        <v>5871</v>
      </c>
      <c r="C11" s="68" t="s">
        <v>1148</v>
      </c>
      <c r="D11" s="55" t="s">
        <v>5870</v>
      </c>
      <c r="E11" s="149" t="n">
        <v>0</v>
      </c>
      <c r="F11" s="149" t="n">
        <v>0</v>
      </c>
      <c r="G11" s="149" t="n">
        <v>0</v>
      </c>
      <c r="H11" s="214" t="n">
        <f aca="false">IF(F11&gt;0,G11/F11,0)</f>
        <v>0</v>
      </c>
      <c r="I11" s="149" t="n">
        <v>0</v>
      </c>
      <c r="J11" s="149" t="n">
        <v>0</v>
      </c>
      <c r="K11" s="56" t="n">
        <f aca="false">IF(I11&gt;0,E11/I11,0)</f>
        <v>0</v>
      </c>
      <c r="L11" s="214" t="n">
        <f aca="false">IF(I11&gt;0,J11/I11,0)</f>
        <v>0</v>
      </c>
      <c r="M11" s="149" t="n">
        <v>0</v>
      </c>
      <c r="N11" s="56" t="n">
        <f aca="false">IF(M11&gt;0,E11/M11,0)</f>
        <v>0</v>
      </c>
      <c r="O11" s="149" t="n">
        <v>0</v>
      </c>
      <c r="P11" s="215" t="s">
        <v>5866</v>
      </c>
    </row>
    <row r="12" customFormat="false" ht="19.5" hidden="false" customHeight="true" outlineLevel="0" collapsed="false">
      <c r="B12" s="54" t="s">
        <v>1613</v>
      </c>
      <c r="C12" s="68" t="s">
        <v>1148</v>
      </c>
      <c r="D12" s="55" t="s">
        <v>5872</v>
      </c>
      <c r="E12" s="149" t="n">
        <v>0</v>
      </c>
      <c r="F12" s="149" t="n">
        <v>0</v>
      </c>
      <c r="G12" s="149" t="n">
        <v>0</v>
      </c>
      <c r="H12" s="214" t="n">
        <f aca="false">IF(F12&gt;0,G12/F12,0)</f>
        <v>0</v>
      </c>
      <c r="I12" s="149" t="n">
        <v>0</v>
      </c>
      <c r="J12" s="149" t="n">
        <v>0</v>
      </c>
      <c r="K12" s="56" t="n">
        <f aca="false">IF(I12&gt;0,E12/I12,0)</f>
        <v>0</v>
      </c>
      <c r="L12" s="214" t="n">
        <f aca="false">IF(I12&gt;0,J12/I12,0)</f>
        <v>0</v>
      </c>
      <c r="M12" s="149" t="n">
        <v>0</v>
      </c>
      <c r="N12" s="56" t="n">
        <f aca="false">IF(M12&gt;0,E12/M12,0)</f>
        <v>0</v>
      </c>
      <c r="O12" s="149" t="n">
        <v>0</v>
      </c>
      <c r="P12" s="215" t="s">
        <v>5866</v>
      </c>
    </row>
    <row r="13" customFormat="false" ht="19.5" hidden="false" customHeight="true" outlineLevel="0" collapsed="false">
      <c r="B13" s="54" t="s">
        <v>1616</v>
      </c>
      <c r="C13" s="68" t="s">
        <v>1148</v>
      </c>
      <c r="D13" s="55" t="s">
        <v>5872</v>
      </c>
      <c r="E13" s="149" t="n">
        <v>0</v>
      </c>
      <c r="F13" s="149" t="n">
        <v>0</v>
      </c>
      <c r="G13" s="149" t="n">
        <v>0</v>
      </c>
      <c r="H13" s="214" t="n">
        <f aca="false">IF(F13&gt;0,G13/F13,0)</f>
        <v>0</v>
      </c>
      <c r="I13" s="149" t="n">
        <v>0</v>
      </c>
      <c r="J13" s="149" t="n">
        <v>0</v>
      </c>
      <c r="K13" s="56" t="n">
        <f aca="false">IF(I13&gt;0,E13/I13,0)</f>
        <v>0</v>
      </c>
      <c r="L13" s="214" t="n">
        <f aca="false">IF(I13&gt;0,J13/I13,0)</f>
        <v>0</v>
      </c>
      <c r="M13" s="149" t="n">
        <v>0</v>
      </c>
      <c r="N13" s="56" t="n">
        <f aca="false">IF(M13&gt;0,E13/M13,0)</f>
        <v>0</v>
      </c>
      <c r="O13" s="149" t="n">
        <v>0</v>
      </c>
      <c r="P13" s="215" t="s">
        <v>5866</v>
      </c>
    </row>
    <row r="14" customFormat="false" ht="19.5" hidden="false" customHeight="true" outlineLevel="0" collapsed="false">
      <c r="B14" s="54" t="s">
        <v>5873</v>
      </c>
      <c r="C14" s="68" t="s">
        <v>1148</v>
      </c>
      <c r="D14" s="55" t="s">
        <v>5872</v>
      </c>
      <c r="E14" s="149" t="n">
        <v>0</v>
      </c>
      <c r="F14" s="149" t="n">
        <v>0</v>
      </c>
      <c r="G14" s="149" t="n">
        <v>0</v>
      </c>
      <c r="H14" s="214" t="n">
        <f aca="false">IF(F14&gt;0,G14/F14,0)</f>
        <v>0</v>
      </c>
      <c r="I14" s="149" t="n">
        <v>0</v>
      </c>
      <c r="J14" s="149" t="n">
        <v>0</v>
      </c>
      <c r="K14" s="56" t="n">
        <f aca="false">IF(I14&gt;0,E14/I14,0)</f>
        <v>0</v>
      </c>
      <c r="L14" s="214" t="n">
        <f aca="false">IF(I14&gt;0,J14/I14,0)</f>
        <v>0</v>
      </c>
      <c r="M14" s="149" t="n">
        <v>0</v>
      </c>
      <c r="N14" s="56" t="n">
        <f aca="false">IF(M14&gt;0,E14/M14,0)</f>
        <v>0</v>
      </c>
      <c r="O14" s="149" t="n">
        <v>0</v>
      </c>
      <c r="P14" s="215" t="s">
        <v>5866</v>
      </c>
    </row>
    <row r="15" customFormat="false" ht="19.5" hidden="false" customHeight="true" outlineLevel="0" collapsed="false">
      <c r="B15" s="54" t="s">
        <v>1619</v>
      </c>
      <c r="C15" s="68" t="s">
        <v>1148</v>
      </c>
      <c r="D15" s="55" t="s">
        <v>5874</v>
      </c>
      <c r="E15" s="149" t="n">
        <v>0</v>
      </c>
      <c r="F15" s="149" t="n">
        <v>0</v>
      </c>
      <c r="G15" s="149" t="n">
        <v>0</v>
      </c>
      <c r="H15" s="214" t="n">
        <f aca="false">IF(F15&gt;0,G15/F15,0)</f>
        <v>0</v>
      </c>
      <c r="I15" s="149" t="n">
        <v>0</v>
      </c>
      <c r="J15" s="149" t="n">
        <v>0</v>
      </c>
      <c r="K15" s="56" t="n">
        <f aca="false">IF(I15&gt;0,E15/I15,0)</f>
        <v>0</v>
      </c>
      <c r="L15" s="214" t="n">
        <f aca="false">IF(I15&gt;0,J15/I15,0)</f>
        <v>0</v>
      </c>
      <c r="M15" s="149" t="n">
        <v>0</v>
      </c>
      <c r="N15" s="56" t="n">
        <f aca="false">IF(M15&gt;0,E15/M15,0)</f>
        <v>0</v>
      </c>
      <c r="O15" s="149" t="n">
        <v>0</v>
      </c>
      <c r="P15" s="215" t="s">
        <v>5866</v>
      </c>
    </row>
    <row r="16" customFormat="false" ht="19.5" hidden="false" customHeight="true" outlineLevel="0" collapsed="false">
      <c r="B16" s="54" t="s">
        <v>1622</v>
      </c>
      <c r="C16" s="68" t="s">
        <v>1148</v>
      </c>
      <c r="D16" s="55" t="s">
        <v>5874</v>
      </c>
      <c r="E16" s="149" t="n">
        <v>0</v>
      </c>
      <c r="F16" s="149" t="n">
        <v>0</v>
      </c>
      <c r="G16" s="149" t="n">
        <v>0</v>
      </c>
      <c r="H16" s="214" t="n">
        <f aca="false">IF(F16&gt;0,G16/F16,0)</f>
        <v>0</v>
      </c>
      <c r="I16" s="149" t="n">
        <v>0</v>
      </c>
      <c r="J16" s="149" t="n">
        <v>0</v>
      </c>
      <c r="K16" s="56" t="n">
        <f aca="false">IF(I16&gt;0,E16/I16,0)</f>
        <v>0</v>
      </c>
      <c r="L16" s="214" t="n">
        <f aca="false">IF(I16&gt;0,J16/I16,0)</f>
        <v>0</v>
      </c>
      <c r="M16" s="149" t="n">
        <v>0</v>
      </c>
      <c r="N16" s="56" t="n">
        <f aca="false">IF(M16&gt;0,E16/M16,0)</f>
        <v>0</v>
      </c>
      <c r="O16" s="149" t="n">
        <v>0</v>
      </c>
      <c r="P16" s="215" t="s">
        <v>5866</v>
      </c>
    </row>
    <row r="17" customFormat="false" ht="19.5" hidden="false" customHeight="true" outlineLevel="0" collapsed="false">
      <c r="B17" s="54" t="s">
        <v>1625</v>
      </c>
      <c r="C17" s="68" t="s">
        <v>1148</v>
      </c>
      <c r="D17" s="55" t="s">
        <v>5874</v>
      </c>
      <c r="E17" s="149" t="n">
        <v>0</v>
      </c>
      <c r="F17" s="149" t="n">
        <v>0</v>
      </c>
      <c r="G17" s="149" t="n">
        <v>0</v>
      </c>
      <c r="H17" s="214" t="n">
        <f aca="false">IF(F17&gt;0,G17/F17,0)</f>
        <v>0</v>
      </c>
      <c r="I17" s="149" t="n">
        <v>0</v>
      </c>
      <c r="J17" s="149" t="n">
        <v>0</v>
      </c>
      <c r="K17" s="56" t="n">
        <f aca="false">IF(I17&gt;0,E17/I17,0)</f>
        <v>0</v>
      </c>
      <c r="L17" s="214" t="n">
        <f aca="false">IF(I17&gt;0,J17/I17,0)</f>
        <v>0</v>
      </c>
      <c r="M17" s="149" t="n">
        <v>0</v>
      </c>
      <c r="N17" s="56" t="n">
        <f aca="false">IF(M17&gt;0,E17/M17,0)</f>
        <v>0</v>
      </c>
      <c r="O17" s="149" t="n">
        <v>0</v>
      </c>
      <c r="P17" s="215" t="s">
        <v>5866</v>
      </c>
    </row>
    <row r="18" customFormat="false" ht="19.5" hidden="false" customHeight="true" outlineLevel="0" collapsed="false">
      <c r="B18" s="54" t="s">
        <v>5875</v>
      </c>
      <c r="C18" s="68" t="s">
        <v>1148</v>
      </c>
      <c r="D18" s="55" t="s">
        <v>5874</v>
      </c>
      <c r="E18" s="149" t="n">
        <v>0</v>
      </c>
      <c r="F18" s="149" t="n">
        <v>0</v>
      </c>
      <c r="G18" s="149" t="n">
        <v>0</v>
      </c>
      <c r="H18" s="214" t="n">
        <f aca="false">IF(F18&gt;0,G18/F18,0)</f>
        <v>0</v>
      </c>
      <c r="I18" s="149" t="n">
        <v>0</v>
      </c>
      <c r="J18" s="149" t="n">
        <v>0</v>
      </c>
      <c r="K18" s="56" t="n">
        <f aca="false">IF(I18&gt;0,E18/I18,0)</f>
        <v>0</v>
      </c>
      <c r="L18" s="214" t="n">
        <f aca="false">IF(I18&gt;0,J18/I18,0)</f>
        <v>0</v>
      </c>
      <c r="M18" s="149" t="n">
        <v>0</v>
      </c>
      <c r="N18" s="56" t="n">
        <f aca="false">IF(M18&gt;0,E18/M18,0)</f>
        <v>0</v>
      </c>
      <c r="O18" s="149" t="n">
        <v>0</v>
      </c>
      <c r="P18" s="215" t="s">
        <v>5866</v>
      </c>
    </row>
    <row r="19" customFormat="false" ht="19.5" hidden="false" customHeight="true" outlineLevel="0" collapsed="false">
      <c r="B19" s="216" t="s">
        <v>1637</v>
      </c>
      <c r="C19" s="217" t="s">
        <v>1149</v>
      </c>
      <c r="D19" s="218" t="s">
        <v>1960</v>
      </c>
      <c r="E19" s="149" t="n">
        <v>0</v>
      </c>
      <c r="F19" s="149" t="n">
        <v>0</v>
      </c>
      <c r="G19" s="149" t="n">
        <v>0</v>
      </c>
      <c r="H19" s="214" t="n">
        <f aca="false">IF(F19&gt;0,G19/F19,0)</f>
        <v>0</v>
      </c>
      <c r="I19" s="149" t="n">
        <v>0</v>
      </c>
      <c r="J19" s="149" t="n">
        <v>0</v>
      </c>
      <c r="K19" s="56" t="n">
        <f aca="false">IF(I19&gt;0,E19/I19,0)</f>
        <v>0</v>
      </c>
      <c r="L19" s="214" t="n">
        <f aca="false">IF(I19&gt;0,J19/I19,0)</f>
        <v>0</v>
      </c>
      <c r="M19" s="149" t="n">
        <v>0</v>
      </c>
      <c r="N19" s="56" t="n">
        <f aca="false">IF(M19&gt;0,E19/M19,0)</f>
        <v>0</v>
      </c>
      <c r="O19" s="149" t="n">
        <v>0</v>
      </c>
      <c r="P19" s="215" t="s">
        <v>5866</v>
      </c>
    </row>
    <row r="20" customFormat="false" ht="19.5" hidden="false" customHeight="true" outlineLevel="0" collapsed="false">
      <c r="B20" s="216" t="s">
        <v>5876</v>
      </c>
      <c r="C20" s="217" t="s">
        <v>1149</v>
      </c>
      <c r="D20" s="218" t="s">
        <v>1960</v>
      </c>
      <c r="E20" s="149" t="n">
        <v>0</v>
      </c>
      <c r="F20" s="149" t="n">
        <v>0</v>
      </c>
      <c r="G20" s="149" t="n">
        <v>0</v>
      </c>
      <c r="H20" s="214" t="n">
        <f aca="false">IF(F20&gt;0,G20/F20,0)</f>
        <v>0</v>
      </c>
      <c r="I20" s="149" t="n">
        <v>0</v>
      </c>
      <c r="J20" s="149" t="n">
        <v>0</v>
      </c>
      <c r="K20" s="56" t="n">
        <f aca="false">IF(I20&gt;0,E20/I20,0)</f>
        <v>0</v>
      </c>
      <c r="L20" s="214" t="n">
        <f aca="false">IF(I20&gt;0,J20/I20,0)</f>
        <v>0</v>
      </c>
      <c r="M20" s="149" t="n">
        <v>0</v>
      </c>
      <c r="N20" s="56" t="n">
        <f aca="false">IF(M20&gt;0,E20/M20,0)</f>
        <v>0</v>
      </c>
      <c r="O20" s="149" t="n">
        <v>0</v>
      </c>
      <c r="P20" s="215" t="s">
        <v>5866</v>
      </c>
    </row>
    <row r="21" customFormat="false" ht="19.5" hidden="false" customHeight="true" outlineLevel="0" collapsed="false">
      <c r="B21" s="216" t="s">
        <v>5877</v>
      </c>
      <c r="C21" s="217" t="s">
        <v>5878</v>
      </c>
      <c r="D21" s="218" t="s">
        <v>1960</v>
      </c>
      <c r="E21" s="149" t="n">
        <v>0</v>
      </c>
      <c r="F21" s="149" t="n">
        <v>0</v>
      </c>
      <c r="G21" s="149" t="n">
        <v>0</v>
      </c>
      <c r="H21" s="214" t="n">
        <f aca="false">IF(F21&gt;0,G21/F21,0)</f>
        <v>0</v>
      </c>
      <c r="I21" s="149" t="n">
        <v>0</v>
      </c>
      <c r="J21" s="149" t="n">
        <v>0</v>
      </c>
      <c r="K21" s="56" t="n">
        <f aca="false">IF(I21&gt;0,E21/I21,0)</f>
        <v>0</v>
      </c>
      <c r="L21" s="214" t="n">
        <f aca="false">IF(I21&gt;0,J21/I21,0)</f>
        <v>0</v>
      </c>
      <c r="M21" s="149" t="n">
        <v>0</v>
      </c>
      <c r="N21" s="56" t="n">
        <f aca="false">IF(M21&gt;0,E21/M21,0)</f>
        <v>0</v>
      </c>
      <c r="O21" s="149" t="n">
        <v>0</v>
      </c>
      <c r="P21" s="215" t="s">
        <v>5866</v>
      </c>
    </row>
    <row r="22" customFormat="false" ht="19.5" hidden="false" customHeight="true" outlineLevel="0" collapsed="false">
      <c r="B22" s="58" t="s">
        <v>5879</v>
      </c>
      <c r="C22" s="219" t="s">
        <v>5880</v>
      </c>
      <c r="D22" s="59" t="s">
        <v>5874</v>
      </c>
      <c r="E22" s="149" t="n">
        <v>0</v>
      </c>
      <c r="F22" s="149" t="n">
        <v>0</v>
      </c>
      <c r="G22" s="149" t="n">
        <v>0</v>
      </c>
      <c r="H22" s="214" t="n">
        <f aca="false">IF(F22&gt;0,G22/F22,0)</f>
        <v>0</v>
      </c>
      <c r="I22" s="149" t="n">
        <v>0</v>
      </c>
      <c r="J22" s="149" t="n">
        <v>0</v>
      </c>
      <c r="K22" s="56" t="n">
        <f aca="false">IF(I22&gt;0,E22/I22,0)</f>
        <v>0</v>
      </c>
      <c r="L22" s="214" t="n">
        <f aca="false">IF(I22&gt;0,J22/I22,0)</f>
        <v>0</v>
      </c>
      <c r="M22" s="149" t="n">
        <v>0</v>
      </c>
      <c r="N22" s="56" t="n">
        <f aca="false">IF(M22&gt;0,E22/M22,0)</f>
        <v>0</v>
      </c>
      <c r="O22" s="149" t="n">
        <v>0</v>
      </c>
      <c r="P22" s="215" t="s">
        <v>5866</v>
      </c>
    </row>
    <row r="23" customFormat="false" ht="19.5" hidden="false" customHeight="true" outlineLevel="0" collapsed="false">
      <c r="B23" s="14" t="s">
        <v>2395</v>
      </c>
      <c r="C23" s="220" t="s">
        <v>1147</v>
      </c>
      <c r="D23" s="51" t="s">
        <v>5868</v>
      </c>
      <c r="E23" s="149" t="n">
        <v>0</v>
      </c>
      <c r="F23" s="149" t="n">
        <v>0</v>
      </c>
      <c r="G23" s="149" t="n">
        <v>0</v>
      </c>
      <c r="H23" s="214" t="n">
        <f aca="false">IF(F23&gt;0,G23/F23,0)</f>
        <v>0</v>
      </c>
      <c r="I23" s="149" t="n">
        <v>0</v>
      </c>
      <c r="J23" s="149" t="n">
        <v>0</v>
      </c>
      <c r="K23" s="56" t="n">
        <f aca="false">IF(I23&gt;0,E23/I23,0)</f>
        <v>0</v>
      </c>
      <c r="L23" s="214" t="n">
        <f aca="false">IF(I23&gt;0,J23/I23,0)</f>
        <v>0</v>
      </c>
      <c r="M23" s="149" t="n">
        <v>0</v>
      </c>
      <c r="N23" s="56" t="n">
        <f aca="false">IF(M23&gt;0,E23/M23,0)</f>
        <v>0</v>
      </c>
      <c r="O23" s="149" t="n">
        <v>0</v>
      </c>
      <c r="P23" s="215" t="s">
        <v>5866</v>
      </c>
    </row>
    <row r="24" customFormat="false" ht="19.5" hidden="false" customHeight="true" outlineLevel="0" collapsed="false">
      <c r="B24" s="14" t="s">
        <v>5881</v>
      </c>
      <c r="C24" s="220" t="s">
        <v>1147</v>
      </c>
      <c r="D24" s="51" t="s">
        <v>5882</v>
      </c>
      <c r="E24" s="149" t="n">
        <v>0</v>
      </c>
      <c r="F24" s="149" t="n">
        <v>0</v>
      </c>
      <c r="G24" s="149" t="n">
        <v>0</v>
      </c>
      <c r="H24" s="214" t="n">
        <f aca="false">IF(F24&gt;0,G24/F24,0)</f>
        <v>0</v>
      </c>
      <c r="I24" s="149" t="n">
        <v>0</v>
      </c>
      <c r="J24" s="149" t="n">
        <v>0</v>
      </c>
      <c r="K24" s="56" t="n">
        <f aca="false">IF(I24&gt;0,E24/I24,0)</f>
        <v>0</v>
      </c>
      <c r="L24" s="214" t="n">
        <f aca="false">IF(I24&gt;0,J24/I24,0)</f>
        <v>0</v>
      </c>
      <c r="M24" s="149" t="n">
        <v>0</v>
      </c>
      <c r="N24" s="56" t="n">
        <f aca="false">IF(M24&gt;0,E24/M24,0)</f>
        <v>0</v>
      </c>
      <c r="O24" s="149" t="n">
        <v>0</v>
      </c>
      <c r="P24" s="215" t="s">
        <v>5866</v>
      </c>
    </row>
    <row r="25" customFormat="false" ht="19.5" hidden="false" customHeight="true" outlineLevel="0" collapsed="false">
      <c r="B25" s="14" t="s">
        <v>5883</v>
      </c>
      <c r="C25" s="220" t="s">
        <v>1147</v>
      </c>
      <c r="D25" s="51" t="s">
        <v>5884</v>
      </c>
      <c r="E25" s="149" t="n">
        <v>0</v>
      </c>
      <c r="F25" s="149" t="n">
        <v>0</v>
      </c>
      <c r="G25" s="149" t="n">
        <v>0</v>
      </c>
      <c r="H25" s="214" t="n">
        <f aca="false">IF(F25&gt;0,G25/F25,0)</f>
        <v>0</v>
      </c>
      <c r="I25" s="149" t="n">
        <v>0</v>
      </c>
      <c r="J25" s="149" t="n">
        <v>0</v>
      </c>
      <c r="K25" s="56" t="n">
        <f aca="false">IF(I25&gt;0,E25/I25,0)</f>
        <v>0</v>
      </c>
      <c r="L25" s="214" t="n">
        <f aca="false">IF(I25&gt;0,J25/I25,0)</f>
        <v>0</v>
      </c>
      <c r="M25" s="149" t="n">
        <v>0</v>
      </c>
      <c r="N25" s="56" t="n">
        <f aca="false">IF(M25&gt;0,E25/M25,0)</f>
        <v>0</v>
      </c>
      <c r="O25" s="149" t="n">
        <v>0</v>
      </c>
      <c r="P25" s="215" t="s">
        <v>5866</v>
      </c>
    </row>
    <row r="26" customFormat="false" ht="19.5" hidden="false" customHeight="true" outlineLevel="0" collapsed="false">
      <c r="B26" s="14" t="s">
        <v>5885</v>
      </c>
      <c r="C26" s="220" t="s">
        <v>1147</v>
      </c>
      <c r="D26" s="51" t="s">
        <v>5886</v>
      </c>
      <c r="E26" s="149" t="n">
        <v>0</v>
      </c>
      <c r="F26" s="149" t="n">
        <v>0</v>
      </c>
      <c r="G26" s="149" t="n">
        <v>0</v>
      </c>
      <c r="H26" s="214" t="n">
        <f aca="false">IF(F26&gt;0,G26/F26,0)</f>
        <v>0</v>
      </c>
      <c r="I26" s="149" t="n">
        <v>0</v>
      </c>
      <c r="J26" s="149" t="n">
        <v>0</v>
      </c>
      <c r="K26" s="56" t="n">
        <f aca="false">IF(I26&gt;0,E26/I26,0)</f>
        <v>0</v>
      </c>
      <c r="L26" s="214" t="n">
        <f aca="false">IF(I26&gt;0,J26/I26,0)</f>
        <v>0</v>
      </c>
      <c r="M26" s="149" t="n">
        <v>0</v>
      </c>
      <c r="N26" s="56" t="n">
        <f aca="false">IF(M26&gt;0,E26/M26,0)</f>
        <v>0</v>
      </c>
      <c r="O26" s="149" t="n">
        <v>0</v>
      </c>
      <c r="P26" s="215" t="s">
        <v>5866</v>
      </c>
    </row>
    <row r="27" customFormat="false" ht="19.5" hidden="false" customHeight="true" outlineLevel="0" collapsed="false">
      <c r="B27" s="14" t="s">
        <v>2405</v>
      </c>
      <c r="C27" s="220" t="s">
        <v>1147</v>
      </c>
      <c r="D27" s="51" t="s">
        <v>5869</v>
      </c>
      <c r="E27" s="149" t="n">
        <v>0</v>
      </c>
      <c r="F27" s="149" t="n">
        <v>0</v>
      </c>
      <c r="G27" s="149" t="n">
        <v>0</v>
      </c>
      <c r="H27" s="214" t="n">
        <f aca="false">IF(F27&gt;0,G27/F27,0)</f>
        <v>0</v>
      </c>
      <c r="I27" s="149" t="n">
        <v>0</v>
      </c>
      <c r="J27" s="149" t="n">
        <v>0</v>
      </c>
      <c r="K27" s="56" t="n">
        <f aca="false">IF(I27&gt;0,E27/I27,0)</f>
        <v>0</v>
      </c>
      <c r="L27" s="214" t="n">
        <f aca="false">IF(I27&gt;0,J27/I27,0)</f>
        <v>0</v>
      </c>
      <c r="M27" s="149" t="n">
        <v>0</v>
      </c>
      <c r="N27" s="56" t="n">
        <f aca="false">IF(M27&gt;0,E27/M27,0)</f>
        <v>0</v>
      </c>
      <c r="O27" s="149" t="n">
        <v>0</v>
      </c>
      <c r="P27" s="215" t="s">
        <v>5866</v>
      </c>
    </row>
    <row r="28" customFormat="false" ht="19.5" hidden="false" customHeight="true" outlineLevel="0" collapsed="false">
      <c r="B28" s="14" t="s">
        <v>2409</v>
      </c>
      <c r="C28" s="220" t="s">
        <v>1147</v>
      </c>
      <c r="D28" s="51" t="s">
        <v>5870</v>
      </c>
      <c r="E28" s="149" t="n">
        <v>0</v>
      </c>
      <c r="F28" s="149" t="n">
        <v>0</v>
      </c>
      <c r="G28" s="149" t="n">
        <v>0</v>
      </c>
      <c r="H28" s="214" t="n">
        <f aca="false">IF(F28&gt;0,G28/F28,0)</f>
        <v>0</v>
      </c>
      <c r="I28" s="149" t="n">
        <v>0</v>
      </c>
      <c r="J28" s="149" t="n">
        <v>0</v>
      </c>
      <c r="K28" s="56" t="n">
        <f aca="false">IF(I28&gt;0,E28/I28,0)</f>
        <v>0</v>
      </c>
      <c r="L28" s="214" t="n">
        <f aca="false">IF(I28&gt;0,J28/I28,0)</f>
        <v>0</v>
      </c>
      <c r="M28" s="149" t="n">
        <v>0</v>
      </c>
      <c r="N28" s="56" t="n">
        <f aca="false">IF(M28&gt;0,E28/M28,0)</f>
        <v>0</v>
      </c>
      <c r="O28" s="149" t="n">
        <v>0</v>
      </c>
      <c r="P28" s="215" t="s">
        <v>5866</v>
      </c>
    </row>
    <row r="29" customFormat="false" ht="19.5" hidden="false" customHeight="true" outlineLevel="0" collapsed="false">
      <c r="B29" s="14" t="s">
        <v>2504</v>
      </c>
      <c r="C29" s="220" t="s">
        <v>1147</v>
      </c>
      <c r="D29" s="51" t="s">
        <v>5872</v>
      </c>
      <c r="E29" s="149" t="n">
        <v>0</v>
      </c>
      <c r="F29" s="149" t="n">
        <v>0</v>
      </c>
      <c r="G29" s="149" t="n">
        <v>0</v>
      </c>
      <c r="H29" s="214" t="n">
        <f aca="false">IF(F29&gt;0,G29/F29,0)</f>
        <v>0</v>
      </c>
      <c r="I29" s="149" t="n">
        <v>0</v>
      </c>
      <c r="J29" s="149" t="n">
        <v>0</v>
      </c>
      <c r="K29" s="56" t="n">
        <f aca="false">IF(I29&gt;0,E29/I29,0)</f>
        <v>0</v>
      </c>
      <c r="L29" s="214" t="n">
        <f aca="false">IF(I29&gt;0,J29/I29,0)</f>
        <v>0</v>
      </c>
      <c r="M29" s="149" t="n">
        <v>0</v>
      </c>
      <c r="N29" s="56" t="n">
        <f aca="false">IF(M29&gt;0,E29/M29,0)</f>
        <v>0</v>
      </c>
      <c r="O29" s="149" t="n">
        <v>0</v>
      </c>
      <c r="P29" s="215" t="s">
        <v>5866</v>
      </c>
    </row>
    <row r="30" customFormat="false" ht="19.5" hidden="false" customHeight="true" outlineLevel="0" collapsed="false">
      <c r="B30" s="14" t="s">
        <v>2511</v>
      </c>
      <c r="C30" s="220" t="s">
        <v>1147</v>
      </c>
      <c r="D30" s="51" t="s">
        <v>5874</v>
      </c>
      <c r="E30" s="149" t="n">
        <v>0</v>
      </c>
      <c r="F30" s="149" t="n">
        <v>0</v>
      </c>
      <c r="G30" s="149" t="n">
        <v>0</v>
      </c>
      <c r="H30" s="214" t="n">
        <f aca="false">IF(F30&gt;0,G30/F30,0)</f>
        <v>0</v>
      </c>
      <c r="I30" s="149" t="n">
        <v>0</v>
      </c>
      <c r="J30" s="149" t="n">
        <v>0</v>
      </c>
      <c r="K30" s="56" t="n">
        <f aca="false">IF(I30&gt;0,E30/I30,0)</f>
        <v>0</v>
      </c>
      <c r="L30" s="214" t="n">
        <f aca="false">IF(I30&gt;0,J30/I30,0)</f>
        <v>0</v>
      </c>
      <c r="M30" s="149" t="n">
        <v>0</v>
      </c>
      <c r="N30" s="56" t="n">
        <f aca="false">IF(M30&gt;0,E30/M30,0)</f>
        <v>0</v>
      </c>
      <c r="O30" s="149" t="n">
        <v>0</v>
      </c>
      <c r="P30" s="215" t="s">
        <v>5866</v>
      </c>
    </row>
    <row r="31" customFormat="false" ht="19.5" hidden="false" customHeight="true" outlineLevel="0" collapsed="false">
      <c r="B31" s="14" t="s">
        <v>5887</v>
      </c>
      <c r="C31" s="220" t="s">
        <v>1147</v>
      </c>
      <c r="D31" s="51" t="s">
        <v>5874</v>
      </c>
      <c r="E31" s="149" t="n">
        <v>0</v>
      </c>
      <c r="F31" s="149" t="n">
        <v>0</v>
      </c>
      <c r="G31" s="149" t="n">
        <v>0</v>
      </c>
      <c r="H31" s="214" t="n">
        <f aca="false">IF(F31&gt;0,G31/F31,0)</f>
        <v>0</v>
      </c>
      <c r="I31" s="149" t="n">
        <v>0</v>
      </c>
      <c r="J31" s="149" t="n">
        <v>0</v>
      </c>
      <c r="K31" s="56" t="n">
        <f aca="false">IF(I31&gt;0,E31/I31,0)</f>
        <v>0</v>
      </c>
      <c r="L31" s="214" t="n">
        <f aca="false">IF(I31&gt;0,J31/I31,0)</f>
        <v>0</v>
      </c>
      <c r="M31" s="149" t="n">
        <v>0</v>
      </c>
      <c r="N31" s="56" t="n">
        <f aca="false">IF(M31&gt;0,E31/M31,0)</f>
        <v>0</v>
      </c>
      <c r="O31" s="149" t="n">
        <v>0</v>
      </c>
      <c r="P31" s="215" t="s">
        <v>5866</v>
      </c>
    </row>
    <row r="32" customFormat="false" ht="19.5" hidden="false" customHeight="true" outlineLevel="0" collapsed="false">
      <c r="B32" s="14" t="s">
        <v>5888</v>
      </c>
      <c r="C32" s="220" t="s">
        <v>1147</v>
      </c>
      <c r="D32" s="51" t="s">
        <v>1960</v>
      </c>
      <c r="E32" s="149" t="n">
        <v>0</v>
      </c>
      <c r="F32" s="149" t="n">
        <v>0</v>
      </c>
      <c r="G32" s="149" t="n">
        <v>0</v>
      </c>
      <c r="H32" s="214" t="n">
        <f aca="false">IF(F32&gt;0,G32/F32,0)</f>
        <v>0</v>
      </c>
      <c r="I32" s="149" t="n">
        <v>0</v>
      </c>
      <c r="J32" s="149" t="n">
        <v>0</v>
      </c>
      <c r="K32" s="56" t="n">
        <f aca="false">IF(I32&gt;0,E32/I32,0)</f>
        <v>0</v>
      </c>
      <c r="L32" s="214" t="n">
        <f aca="false">IF(I32&gt;0,J32/I32,0)</f>
        <v>0</v>
      </c>
      <c r="M32" s="149" t="n">
        <v>0</v>
      </c>
      <c r="N32" s="56" t="n">
        <f aca="false">IF(M32&gt;0,E32/M32,0)</f>
        <v>0</v>
      </c>
      <c r="O32" s="149" t="n">
        <v>0</v>
      </c>
      <c r="P32" s="215" t="s">
        <v>5866</v>
      </c>
    </row>
    <row r="33" customFormat="false" ht="19.5" hidden="false" customHeight="true" outlineLevel="0" collapsed="false">
      <c r="B33" s="14" t="s">
        <v>5889</v>
      </c>
      <c r="C33" s="220" t="s">
        <v>1147</v>
      </c>
      <c r="D33" s="51" t="s">
        <v>1960</v>
      </c>
      <c r="E33" s="149" t="n">
        <v>0</v>
      </c>
      <c r="F33" s="149" t="n">
        <v>0</v>
      </c>
      <c r="G33" s="149" t="n">
        <v>0</v>
      </c>
      <c r="H33" s="214" t="n">
        <f aca="false">IF(F33&gt;0,G33/F33,0)</f>
        <v>0</v>
      </c>
      <c r="I33" s="149" t="n">
        <v>0</v>
      </c>
      <c r="J33" s="149" t="n">
        <v>0</v>
      </c>
      <c r="K33" s="56" t="n">
        <f aca="false">IF(I33&gt;0,E33/I33,0)</f>
        <v>0</v>
      </c>
      <c r="L33" s="214" t="n">
        <f aca="false">IF(I33&gt;0,J33/I33,0)</f>
        <v>0</v>
      </c>
      <c r="M33" s="149" t="n">
        <v>0</v>
      </c>
      <c r="N33" s="56" t="n">
        <f aca="false">IF(M33&gt;0,E33/M33,0)</f>
        <v>0</v>
      </c>
      <c r="O33" s="149" t="n">
        <v>0</v>
      </c>
      <c r="P33" s="215" t="s">
        <v>5866</v>
      </c>
    </row>
    <row r="34" customFormat="false" ht="19.5" hidden="false" customHeight="true" outlineLevel="0" collapsed="false">
      <c r="B34" s="221" t="s">
        <v>3199</v>
      </c>
      <c r="C34" s="222" t="s">
        <v>845</v>
      </c>
      <c r="D34" s="223" t="s">
        <v>5890</v>
      </c>
      <c r="E34" s="149" t="n">
        <v>0</v>
      </c>
      <c r="F34" s="149" t="n">
        <v>0</v>
      </c>
      <c r="G34" s="149" t="n">
        <v>0</v>
      </c>
      <c r="H34" s="214" t="n">
        <f aca="false">IF(F34&gt;0,G34/F34,0)</f>
        <v>0</v>
      </c>
      <c r="I34" s="149" t="n">
        <v>0</v>
      </c>
      <c r="J34" s="149" t="n">
        <v>0</v>
      </c>
      <c r="K34" s="56" t="n">
        <f aca="false">IF(I34&gt;0,E34/I34,0)</f>
        <v>0</v>
      </c>
      <c r="L34" s="214" t="n">
        <f aca="false">IF(I34&gt;0,J34/I34,0)</f>
        <v>0</v>
      </c>
      <c r="M34" s="149" t="n">
        <v>0</v>
      </c>
      <c r="N34" s="56" t="n">
        <f aca="false">IF(M34&gt;0,E34/M34,0)</f>
        <v>0</v>
      </c>
      <c r="O34" s="149" t="n">
        <v>0</v>
      </c>
      <c r="P34" s="215" t="s">
        <v>5866</v>
      </c>
    </row>
    <row r="35" customFormat="false" ht="19.5" hidden="false" customHeight="true" outlineLevel="0" collapsed="false">
      <c r="B35" s="221" t="s">
        <v>5891</v>
      </c>
      <c r="C35" s="222" t="s">
        <v>845</v>
      </c>
      <c r="D35" s="223" t="s">
        <v>5892</v>
      </c>
      <c r="E35" s="149" t="n">
        <v>0</v>
      </c>
      <c r="F35" s="149" t="n">
        <v>0</v>
      </c>
      <c r="G35" s="149" t="n">
        <v>0</v>
      </c>
      <c r="H35" s="214" t="n">
        <f aca="false">IF(F35&gt;0,G35/F35,0)</f>
        <v>0</v>
      </c>
      <c r="I35" s="149" t="n">
        <v>0</v>
      </c>
      <c r="J35" s="149" t="n">
        <v>0</v>
      </c>
      <c r="K35" s="56" t="n">
        <f aca="false">IF(I35&gt;0,E35/I35,0)</f>
        <v>0</v>
      </c>
      <c r="L35" s="214" t="n">
        <f aca="false">IF(I35&gt;0,J35/I35,0)</f>
        <v>0</v>
      </c>
      <c r="M35" s="149" t="n">
        <v>0</v>
      </c>
      <c r="N35" s="56" t="n">
        <f aca="false">IF(M35&gt;0,E35/M35,0)</f>
        <v>0</v>
      </c>
      <c r="O35" s="149" t="n">
        <v>0</v>
      </c>
      <c r="P35" s="215" t="s">
        <v>5866</v>
      </c>
    </row>
    <row r="36" customFormat="false" ht="19.5" hidden="false" customHeight="true" outlineLevel="0" collapsed="false">
      <c r="B36" s="221" t="s">
        <v>5893</v>
      </c>
      <c r="C36" s="222" t="s">
        <v>845</v>
      </c>
      <c r="D36" s="223" t="s">
        <v>5872</v>
      </c>
      <c r="E36" s="149" t="n">
        <v>0</v>
      </c>
      <c r="F36" s="149" t="n">
        <v>0</v>
      </c>
      <c r="G36" s="149" t="n">
        <v>0</v>
      </c>
      <c r="H36" s="214" t="n">
        <f aca="false">IF(F36&gt;0,G36/F36,0)</f>
        <v>0</v>
      </c>
      <c r="I36" s="149" t="n">
        <v>0</v>
      </c>
      <c r="J36" s="149" t="n">
        <v>0</v>
      </c>
      <c r="K36" s="56" t="n">
        <f aca="false">IF(I36&gt;0,E36/I36,0)</f>
        <v>0</v>
      </c>
      <c r="L36" s="214" t="n">
        <f aca="false">IF(I36&gt;0,J36/I36,0)</f>
        <v>0</v>
      </c>
      <c r="M36" s="149" t="n">
        <v>0</v>
      </c>
      <c r="N36" s="56" t="n">
        <f aca="false">IF(M36&gt;0,E36/M36,0)</f>
        <v>0</v>
      </c>
      <c r="O36" s="149" t="n">
        <v>0</v>
      </c>
      <c r="P36" s="215" t="s">
        <v>5866</v>
      </c>
    </row>
    <row r="37" customFormat="false" ht="19.5" hidden="false" customHeight="true" outlineLevel="0" collapsed="false">
      <c r="B37" s="221" t="s">
        <v>3206</v>
      </c>
      <c r="C37" s="222" t="s">
        <v>845</v>
      </c>
      <c r="D37" s="223" t="s">
        <v>5874</v>
      </c>
      <c r="E37" s="149" t="n">
        <v>0</v>
      </c>
      <c r="F37" s="149" t="n">
        <v>0</v>
      </c>
      <c r="G37" s="149" t="n">
        <v>0</v>
      </c>
      <c r="H37" s="214" t="n">
        <f aca="false">IF(F37&gt;0,G37/F37,0)</f>
        <v>0</v>
      </c>
      <c r="I37" s="149" t="n">
        <v>0</v>
      </c>
      <c r="J37" s="149" t="n">
        <v>0</v>
      </c>
      <c r="K37" s="56" t="n">
        <f aca="false">IF(I37&gt;0,E37/I37,0)</f>
        <v>0</v>
      </c>
      <c r="L37" s="214" t="n">
        <f aca="false">IF(I37&gt;0,J37/I37,0)</f>
        <v>0</v>
      </c>
      <c r="M37" s="149" t="n">
        <v>0</v>
      </c>
      <c r="N37" s="56" t="n">
        <f aca="false">IF(M37&gt;0,E37/M37,0)</f>
        <v>0</v>
      </c>
      <c r="O37" s="149" t="n">
        <v>0</v>
      </c>
      <c r="P37" s="215" t="s">
        <v>5866</v>
      </c>
    </row>
    <row r="38" customFormat="false" ht="19.5" hidden="false" customHeight="true" outlineLevel="0" collapsed="false">
      <c r="B38" s="221" t="s">
        <v>5894</v>
      </c>
      <c r="C38" s="222" t="s">
        <v>845</v>
      </c>
      <c r="D38" s="223" t="s">
        <v>5874</v>
      </c>
      <c r="E38" s="149" t="n">
        <v>0</v>
      </c>
      <c r="F38" s="149" t="n">
        <v>0</v>
      </c>
      <c r="G38" s="149" t="n">
        <v>0</v>
      </c>
      <c r="H38" s="214" t="n">
        <f aca="false">IF(F38&gt;0,G38/F38,0)</f>
        <v>0</v>
      </c>
      <c r="I38" s="149" t="n">
        <v>0</v>
      </c>
      <c r="J38" s="149" t="n">
        <v>0</v>
      </c>
      <c r="K38" s="56" t="n">
        <f aca="false">IF(I38&gt;0,E38/I38,0)</f>
        <v>0</v>
      </c>
      <c r="L38" s="214" t="n">
        <f aca="false">IF(I38&gt;0,J38/I38,0)</f>
        <v>0</v>
      </c>
      <c r="M38" s="149" t="n">
        <v>0</v>
      </c>
      <c r="N38" s="56" t="n">
        <f aca="false">IF(M38&gt;0,E38/M38,0)</f>
        <v>0</v>
      </c>
      <c r="O38" s="149" t="n">
        <v>0</v>
      </c>
      <c r="P38" s="215" t="s">
        <v>5866</v>
      </c>
    </row>
    <row r="39" customFormat="false" ht="19.5" hidden="false" customHeight="true" outlineLevel="0" collapsed="false">
      <c r="B39" s="36" t="s">
        <v>4235</v>
      </c>
      <c r="C39" s="224" t="s">
        <v>1150</v>
      </c>
      <c r="D39" s="40" t="s">
        <v>5890</v>
      </c>
      <c r="E39" s="149" t="n">
        <v>0</v>
      </c>
      <c r="F39" s="149" t="n">
        <v>0</v>
      </c>
      <c r="G39" s="149" t="n">
        <v>0</v>
      </c>
      <c r="H39" s="214" t="n">
        <f aca="false">IF(F39&gt;0,G39/F39,0)</f>
        <v>0</v>
      </c>
      <c r="I39" s="149" t="n">
        <v>0</v>
      </c>
      <c r="J39" s="149" t="n">
        <v>0</v>
      </c>
      <c r="K39" s="56" t="n">
        <f aca="false">IF(I39&gt;0,E39/I39,0)</f>
        <v>0</v>
      </c>
      <c r="L39" s="214" t="n">
        <f aca="false">IF(I39&gt;0,J39/I39,0)</f>
        <v>0</v>
      </c>
      <c r="M39" s="149" t="n">
        <v>0</v>
      </c>
      <c r="N39" s="56" t="n">
        <f aca="false">IF(M39&gt;0,E39/M39,0)</f>
        <v>0</v>
      </c>
      <c r="O39" s="149" t="n">
        <v>0</v>
      </c>
      <c r="P39" s="215" t="s">
        <v>5866</v>
      </c>
    </row>
    <row r="40" customFormat="false" ht="19.5" hidden="false" customHeight="true" outlineLevel="0" collapsed="false">
      <c r="B40" s="36" t="s">
        <v>4241</v>
      </c>
      <c r="C40" s="224" t="s">
        <v>1150</v>
      </c>
      <c r="D40" s="40" t="s">
        <v>5892</v>
      </c>
      <c r="E40" s="149" t="n">
        <v>0</v>
      </c>
      <c r="F40" s="149" t="n">
        <v>0</v>
      </c>
      <c r="G40" s="149" t="n">
        <v>0</v>
      </c>
      <c r="H40" s="214" t="n">
        <f aca="false">IF(F40&gt;0,G40/F40,0)</f>
        <v>0</v>
      </c>
      <c r="I40" s="149" t="n">
        <v>0</v>
      </c>
      <c r="J40" s="149" t="n">
        <v>0</v>
      </c>
      <c r="K40" s="56" t="n">
        <f aca="false">IF(I40&gt;0,E40/I40,0)</f>
        <v>0</v>
      </c>
      <c r="L40" s="214" t="n">
        <f aca="false">IF(I40&gt;0,J40/I40,0)</f>
        <v>0</v>
      </c>
      <c r="M40" s="149" t="n">
        <v>0</v>
      </c>
      <c r="N40" s="56" t="n">
        <f aca="false">IF(M40&gt;0,E40/M40,0)</f>
        <v>0</v>
      </c>
      <c r="O40" s="149" t="n">
        <v>0</v>
      </c>
      <c r="P40" s="215" t="s">
        <v>5866</v>
      </c>
    </row>
    <row r="41" customFormat="false" ht="19.5" hidden="false" customHeight="true" outlineLevel="0" collapsed="false">
      <c r="B41" s="36" t="s">
        <v>5895</v>
      </c>
      <c r="C41" s="224" t="s">
        <v>1150</v>
      </c>
      <c r="D41" s="40" t="s">
        <v>5872</v>
      </c>
      <c r="E41" s="149" t="n">
        <v>0</v>
      </c>
      <c r="F41" s="149" t="n">
        <v>0</v>
      </c>
      <c r="G41" s="149" t="n">
        <v>0</v>
      </c>
      <c r="H41" s="214" t="n">
        <f aca="false">IF(F41&gt;0,G41/F41,0)</f>
        <v>0</v>
      </c>
      <c r="I41" s="149" t="n">
        <v>0</v>
      </c>
      <c r="J41" s="149" t="n">
        <v>0</v>
      </c>
      <c r="K41" s="56" t="n">
        <f aca="false">IF(I41&gt;0,E41/I41,0)</f>
        <v>0</v>
      </c>
      <c r="L41" s="214" t="n">
        <f aca="false">IF(I41&gt;0,J41/I41,0)</f>
        <v>0</v>
      </c>
      <c r="M41" s="149" t="n">
        <v>0</v>
      </c>
      <c r="N41" s="56" t="n">
        <f aca="false">IF(M41&gt;0,E41/M41,0)</f>
        <v>0</v>
      </c>
      <c r="O41" s="149" t="n">
        <v>0</v>
      </c>
      <c r="P41" s="215" t="s">
        <v>5866</v>
      </c>
    </row>
    <row r="42" customFormat="false" ht="19.5" hidden="false" customHeight="true" outlineLevel="0" collapsed="false">
      <c r="B42" s="36" t="s">
        <v>5896</v>
      </c>
      <c r="C42" s="224" t="s">
        <v>1150</v>
      </c>
      <c r="D42" s="40" t="s">
        <v>5874</v>
      </c>
      <c r="E42" s="149" t="n">
        <v>0</v>
      </c>
      <c r="F42" s="149" t="n">
        <v>0</v>
      </c>
      <c r="G42" s="149" t="n">
        <v>0</v>
      </c>
      <c r="H42" s="214" t="n">
        <f aca="false">IF(F42&gt;0,G42/F42,0)</f>
        <v>0</v>
      </c>
      <c r="I42" s="149" t="n">
        <v>0</v>
      </c>
      <c r="J42" s="149" t="n">
        <v>0</v>
      </c>
      <c r="K42" s="56" t="n">
        <f aca="false">IF(I42&gt;0,E42/I42,0)</f>
        <v>0</v>
      </c>
      <c r="L42" s="214" t="n">
        <f aca="false">IF(I42&gt;0,J42/I42,0)</f>
        <v>0</v>
      </c>
      <c r="M42" s="149" t="n">
        <v>0</v>
      </c>
      <c r="N42" s="56" t="n">
        <f aca="false">IF(M42&gt;0,E42/M42,0)</f>
        <v>0</v>
      </c>
      <c r="O42" s="149" t="n">
        <v>0</v>
      </c>
      <c r="P42" s="215" t="s">
        <v>5866</v>
      </c>
    </row>
    <row r="43" customFormat="false" ht="24" hidden="false" customHeight="true" outlineLevel="0" collapsed="false">
      <c r="B43" s="225" t="s">
        <v>5897</v>
      </c>
      <c r="E43" s="226" t="n">
        <f aca="false">SUM(E4:E42)</f>
        <v>0</v>
      </c>
      <c r="F43" s="226" t="n">
        <f aca="false">SUM(F4:F42)</f>
        <v>0</v>
      </c>
      <c r="G43" s="226" t="n">
        <f aca="false">SUM(G4:G42)</f>
        <v>0</v>
      </c>
      <c r="I43" s="226" t="n">
        <f aca="false">SUM(I4:I42)</f>
        <v>0</v>
      </c>
      <c r="J43" s="226" t="n">
        <f aca="false">SUM(J4:J42)</f>
        <v>0</v>
      </c>
      <c r="M43" s="226" t="n">
        <f aca="false">SUM(M4:M42)</f>
        <v>0</v>
      </c>
      <c r="O43" s="226" t="n">
        <f aca="false">SUM(O4:O42)</f>
        <v>0</v>
      </c>
    </row>
    <row r="46" customFormat="false" ht="17.35" hidden="false" customHeight="false" outlineLevel="0" collapsed="false">
      <c r="A46" s="71" t="s">
        <v>5898</v>
      </c>
    </row>
    <row r="48" customFormat="false" ht="90.25" hidden="false" customHeight="false" outlineLevel="0" collapsed="false">
      <c r="A48" s="3" t="s">
        <v>5899</v>
      </c>
      <c r="B48" s="3" t="s">
        <v>3799</v>
      </c>
      <c r="C48" s="3" t="s">
        <v>5900</v>
      </c>
      <c r="D48" s="3" t="s">
        <v>5901</v>
      </c>
      <c r="E48" s="3" t="s">
        <v>5902</v>
      </c>
      <c r="F48" s="3" t="s">
        <v>5903</v>
      </c>
      <c r="G48" s="3" t="s">
        <v>5904</v>
      </c>
      <c r="H48" s="3" t="s">
        <v>5905</v>
      </c>
      <c r="I48" s="3" t="s">
        <v>5906</v>
      </c>
      <c r="J48" s="3" t="s">
        <v>4531</v>
      </c>
      <c r="K48" s="3" t="s">
        <v>4453</v>
      </c>
    </row>
    <row r="49" customFormat="false" ht="147" hidden="false" customHeight="false" outlineLevel="0" collapsed="false">
      <c r="A49" s="8" t="s">
        <v>5907</v>
      </c>
      <c r="B49" s="8" t="s">
        <v>619</v>
      </c>
      <c r="C49" s="8" t="s">
        <v>5908</v>
      </c>
      <c r="D49" s="8" t="s">
        <v>5909</v>
      </c>
      <c r="E49" s="116" t="n">
        <v>15000000</v>
      </c>
      <c r="F49" s="8" t="n">
        <v>150</v>
      </c>
      <c r="G49" s="8" t="n">
        <v>145</v>
      </c>
      <c r="H49" s="116" t="n">
        <v>100000</v>
      </c>
      <c r="I49" s="116" t="n">
        <v>103448</v>
      </c>
      <c r="J49" s="8" t="s">
        <v>5910</v>
      </c>
      <c r="K49" s="8" t="s">
        <v>5911</v>
      </c>
    </row>
    <row r="50" customFormat="false" ht="124.6" hidden="false" customHeight="false" outlineLevel="0" collapsed="false">
      <c r="A50" s="8" t="s">
        <v>5912</v>
      </c>
      <c r="B50" s="8" t="s">
        <v>904</v>
      </c>
      <c r="C50" s="8" t="s">
        <v>5908</v>
      </c>
      <c r="D50" s="8" t="s">
        <v>5913</v>
      </c>
      <c r="E50" s="116" t="n">
        <v>12000000</v>
      </c>
      <c r="F50" s="8" t="n">
        <v>180</v>
      </c>
      <c r="G50" s="8" t="n">
        <v>175</v>
      </c>
      <c r="H50" s="116" t="n">
        <v>66666</v>
      </c>
      <c r="I50" s="116" t="n">
        <v>68571</v>
      </c>
      <c r="J50" s="8" t="s">
        <v>5910</v>
      </c>
      <c r="K50" s="8" t="s">
        <v>5914</v>
      </c>
    </row>
    <row r="51" customFormat="false" ht="91" hidden="false" customHeight="false" outlineLevel="0" collapsed="false">
      <c r="A51" s="8" t="s">
        <v>5915</v>
      </c>
      <c r="B51" s="8" t="s">
        <v>912</v>
      </c>
      <c r="C51" s="8" t="s">
        <v>5916</v>
      </c>
      <c r="D51" s="8" t="s">
        <v>5913</v>
      </c>
      <c r="E51" s="116" t="n">
        <v>3000000</v>
      </c>
      <c r="F51" s="8" t="n">
        <v>80</v>
      </c>
      <c r="G51" s="8" t="n">
        <v>72</v>
      </c>
      <c r="H51" s="116" t="n">
        <v>37500</v>
      </c>
      <c r="I51" s="116" t="n">
        <v>41667</v>
      </c>
      <c r="J51" s="8" t="s">
        <v>5910</v>
      </c>
      <c r="K51" s="8" t="s">
        <v>5917</v>
      </c>
    </row>
    <row r="52" customFormat="false" ht="124.6" hidden="false" customHeight="false" outlineLevel="0" collapsed="false">
      <c r="A52" s="8" t="s">
        <v>5918</v>
      </c>
      <c r="B52" s="8" t="s">
        <v>904</v>
      </c>
      <c r="C52" s="8" t="s">
        <v>5919</v>
      </c>
      <c r="D52" s="8" t="s">
        <v>5920</v>
      </c>
      <c r="E52" s="116" t="n">
        <v>18000000</v>
      </c>
      <c r="F52" s="8" t="n">
        <v>280</v>
      </c>
      <c r="G52" s="8" t="n">
        <v>295</v>
      </c>
      <c r="H52" s="116" t="n">
        <v>64285</v>
      </c>
      <c r="I52" s="116" t="n">
        <v>61017</v>
      </c>
      <c r="J52" s="8" t="s">
        <v>5910</v>
      </c>
      <c r="K52" s="8" t="s">
        <v>5921</v>
      </c>
    </row>
    <row r="53" customFormat="false" ht="113.4" hidden="false" customHeight="false" outlineLevel="0" collapsed="false">
      <c r="A53" s="8" t="s">
        <v>5922</v>
      </c>
      <c r="B53" s="8" t="s">
        <v>619</v>
      </c>
      <c r="C53" s="8" t="s">
        <v>5919</v>
      </c>
      <c r="D53" s="8" t="s">
        <v>5920</v>
      </c>
      <c r="E53" s="116" t="n">
        <v>20000000</v>
      </c>
      <c r="F53" s="8" t="n">
        <v>220</v>
      </c>
      <c r="G53" s="8" t="n">
        <v>198</v>
      </c>
      <c r="H53" s="116" t="n">
        <v>90909</v>
      </c>
      <c r="I53" s="116" t="n">
        <v>101010</v>
      </c>
      <c r="J53" s="8" t="s">
        <v>5910</v>
      </c>
      <c r="K53" s="8" t="s">
        <v>5923</v>
      </c>
    </row>
    <row r="54" customFormat="false" ht="79.85" hidden="false" customHeight="false" outlineLevel="0" collapsed="false">
      <c r="A54" s="8" t="s">
        <v>5924</v>
      </c>
      <c r="B54" s="8" t="s">
        <v>453</v>
      </c>
      <c r="C54" s="8" t="s">
        <v>5925</v>
      </c>
      <c r="D54" s="8" t="s">
        <v>5920</v>
      </c>
      <c r="E54" s="116" t="n">
        <v>5000000</v>
      </c>
      <c r="F54" s="8" t="n">
        <v>60</v>
      </c>
      <c r="G54" s="8" t="n">
        <v>48</v>
      </c>
      <c r="H54" s="116" t="n">
        <v>83333</v>
      </c>
      <c r="I54" s="116" t="n">
        <v>104167</v>
      </c>
      <c r="J54" s="8" t="s">
        <v>5910</v>
      </c>
      <c r="K54" s="8" t="s">
        <v>5926</v>
      </c>
    </row>
    <row r="55" customFormat="false" ht="102.2" hidden="false" customHeight="false" outlineLevel="0" collapsed="false">
      <c r="A55" s="8" t="s">
        <v>5927</v>
      </c>
      <c r="B55" s="8" t="s">
        <v>5928</v>
      </c>
      <c r="C55" s="8" t="s">
        <v>5919</v>
      </c>
      <c r="D55" s="8" t="s">
        <v>5920</v>
      </c>
      <c r="E55" s="116" t="n">
        <v>10000000</v>
      </c>
      <c r="F55" s="8" t="n">
        <v>100</v>
      </c>
      <c r="G55" s="8" t="n">
        <v>95</v>
      </c>
      <c r="H55" s="116" t="n">
        <v>100000</v>
      </c>
      <c r="I55" s="116" t="n">
        <v>105263</v>
      </c>
      <c r="J55" s="8" t="s">
        <v>5910</v>
      </c>
      <c r="K55" s="8" t="s">
        <v>5929</v>
      </c>
    </row>
    <row r="56" customFormat="false" ht="68.65" hidden="false" customHeight="false" outlineLevel="0" collapsed="false">
      <c r="A56" s="8" t="s">
        <v>5930</v>
      </c>
      <c r="B56" s="8" t="s">
        <v>4001</v>
      </c>
      <c r="C56" s="8" t="s">
        <v>5931</v>
      </c>
      <c r="D56" s="8" t="s">
        <v>5931</v>
      </c>
      <c r="E56" s="116" t="n">
        <v>2000000</v>
      </c>
      <c r="F56" s="8" t="n">
        <v>200</v>
      </c>
      <c r="G56" s="8" t="n">
        <v>187</v>
      </c>
      <c r="H56" s="116" t="n">
        <v>10000</v>
      </c>
      <c r="I56" s="116" t="n">
        <v>10695</v>
      </c>
      <c r="J56" s="8" t="s">
        <v>5910</v>
      </c>
      <c r="K56" s="8" t="s">
        <v>5932</v>
      </c>
    </row>
    <row r="57" customFormat="false" ht="102.2" hidden="false" customHeight="false" outlineLevel="0" collapsed="false">
      <c r="A57" s="8" t="s">
        <v>5933</v>
      </c>
      <c r="B57" s="8" t="s">
        <v>904</v>
      </c>
      <c r="C57" s="8" t="s">
        <v>5934</v>
      </c>
      <c r="D57" s="8" t="s">
        <v>5935</v>
      </c>
      <c r="E57" s="116" t="n">
        <v>25000000</v>
      </c>
      <c r="F57" s="8" t="n">
        <v>400</v>
      </c>
      <c r="G57" s="8" t="n">
        <v>425</v>
      </c>
      <c r="H57" s="116" t="n">
        <v>62500</v>
      </c>
      <c r="I57" s="116" t="n">
        <v>58823</v>
      </c>
      <c r="J57" s="8" t="s">
        <v>5910</v>
      </c>
      <c r="K57" s="8" t="s">
        <v>5936</v>
      </c>
    </row>
    <row r="58" customFormat="false" ht="102.2" hidden="false" customHeight="false" outlineLevel="0" collapsed="false">
      <c r="A58" s="8" t="s">
        <v>5937</v>
      </c>
      <c r="B58" s="8" t="s">
        <v>619</v>
      </c>
      <c r="C58" s="8" t="s">
        <v>5934</v>
      </c>
      <c r="D58" s="8" t="s">
        <v>5935</v>
      </c>
      <c r="E58" s="116" t="n">
        <v>22000000</v>
      </c>
      <c r="F58" s="8" t="n">
        <v>250</v>
      </c>
      <c r="G58" s="8" t="n">
        <v>268</v>
      </c>
      <c r="H58" s="116" t="n">
        <v>88000</v>
      </c>
      <c r="I58" s="116" t="n">
        <v>82089</v>
      </c>
      <c r="J58" s="8" t="s">
        <v>5910</v>
      </c>
      <c r="K58" s="8" t="s">
        <v>5938</v>
      </c>
    </row>
    <row r="59" customFormat="false" ht="68.65" hidden="false" customHeight="false" outlineLevel="0" collapsed="false">
      <c r="A59" s="8" t="s">
        <v>5939</v>
      </c>
      <c r="B59" s="8" t="s">
        <v>453</v>
      </c>
      <c r="C59" s="8" t="s">
        <v>5934</v>
      </c>
      <c r="D59" s="8" t="s">
        <v>5935</v>
      </c>
      <c r="E59" s="116" t="n">
        <v>8000000</v>
      </c>
      <c r="F59" s="8" t="n">
        <v>100</v>
      </c>
      <c r="G59" s="8" t="n">
        <v>110</v>
      </c>
      <c r="H59" s="116" t="n">
        <v>80000</v>
      </c>
      <c r="I59" s="116" t="n">
        <v>72727</v>
      </c>
      <c r="J59" s="8" t="s">
        <v>5910</v>
      </c>
      <c r="K59" s="8" t="s">
        <v>5940</v>
      </c>
    </row>
    <row r="60" customFormat="false" ht="113.4" hidden="false" customHeight="false" outlineLevel="0" collapsed="false">
      <c r="A60" s="8" t="s">
        <v>5941</v>
      </c>
      <c r="B60" s="8" t="s">
        <v>912</v>
      </c>
      <c r="C60" s="8" t="s">
        <v>5934</v>
      </c>
      <c r="D60" s="8" t="s">
        <v>5935</v>
      </c>
      <c r="E60" s="116" t="n">
        <v>5000000</v>
      </c>
      <c r="F60" s="8" t="n">
        <v>120</v>
      </c>
      <c r="G60" s="8" t="n">
        <v>138</v>
      </c>
      <c r="H60" s="116" t="n">
        <v>41666</v>
      </c>
      <c r="I60" s="116" t="n">
        <v>36231</v>
      </c>
      <c r="J60" s="8" t="s">
        <v>5910</v>
      </c>
      <c r="K60" s="8" t="s">
        <v>5942</v>
      </c>
    </row>
    <row r="61" customFormat="false" ht="91" hidden="false" customHeight="false" outlineLevel="0" collapsed="false">
      <c r="A61" s="8" t="s">
        <v>5943</v>
      </c>
      <c r="B61" s="8" t="s">
        <v>3806</v>
      </c>
      <c r="C61" s="8" t="s">
        <v>5934</v>
      </c>
      <c r="D61" s="8" t="s">
        <v>5935</v>
      </c>
      <c r="E61" s="116" t="n">
        <v>3000000</v>
      </c>
      <c r="F61" s="8" t="n">
        <v>100</v>
      </c>
      <c r="G61" s="8" t="n">
        <v>92</v>
      </c>
      <c r="H61" s="116" t="n">
        <v>30000</v>
      </c>
      <c r="I61" s="116" t="n">
        <v>32608</v>
      </c>
      <c r="J61" s="8" t="s">
        <v>5910</v>
      </c>
      <c r="K61" s="8" t="s">
        <v>5944</v>
      </c>
    </row>
    <row r="62" customFormat="false" ht="68.65" hidden="false" customHeight="false" outlineLevel="0" collapsed="false">
      <c r="A62" s="8" t="s">
        <v>5945</v>
      </c>
      <c r="B62" s="8" t="s">
        <v>875</v>
      </c>
      <c r="C62" s="8" t="s">
        <v>5934</v>
      </c>
      <c r="D62" s="8" t="s">
        <v>5935</v>
      </c>
      <c r="E62" s="116" t="n">
        <v>1000000</v>
      </c>
      <c r="F62" s="8" t="n">
        <v>150</v>
      </c>
      <c r="G62" s="8" t="n">
        <v>156</v>
      </c>
      <c r="H62" s="116" t="n">
        <v>6666</v>
      </c>
      <c r="I62" s="116" t="n">
        <v>6410</v>
      </c>
      <c r="J62" s="8" t="s">
        <v>5910</v>
      </c>
      <c r="K62" s="8" t="s">
        <v>5946</v>
      </c>
    </row>
    <row r="63" customFormat="false" ht="135.8" hidden="false" customHeight="false" outlineLevel="0" collapsed="false">
      <c r="A63" s="8" t="s">
        <v>5947</v>
      </c>
      <c r="B63" s="8" t="s">
        <v>5948</v>
      </c>
      <c r="C63" s="8" t="s">
        <v>5934</v>
      </c>
      <c r="D63" s="8" t="s">
        <v>5935</v>
      </c>
      <c r="E63" s="116" t="n">
        <v>6000000</v>
      </c>
      <c r="F63" s="8" t="n">
        <v>120</v>
      </c>
      <c r="G63" s="8" t="n">
        <v>135</v>
      </c>
      <c r="H63" s="116" t="n">
        <v>50000</v>
      </c>
      <c r="I63" s="116" t="n">
        <v>44444</v>
      </c>
      <c r="J63" s="8" t="s">
        <v>5910</v>
      </c>
      <c r="K63" s="8" t="s">
        <v>5949</v>
      </c>
    </row>
    <row r="64" customFormat="false" ht="79.85" hidden="false" customHeight="false" outlineLevel="0" collapsed="false">
      <c r="A64" s="8" t="s">
        <v>5950</v>
      </c>
      <c r="B64" s="8" t="s">
        <v>5951</v>
      </c>
      <c r="C64" s="8" t="s">
        <v>5952</v>
      </c>
      <c r="D64" s="8" t="s">
        <v>5935</v>
      </c>
      <c r="E64" s="116" t="n">
        <v>4000000</v>
      </c>
      <c r="F64" s="8" t="n">
        <v>80</v>
      </c>
      <c r="G64" s="8" t="n">
        <v>68</v>
      </c>
      <c r="H64" s="116" t="n">
        <v>50000</v>
      </c>
      <c r="I64" s="116" t="n">
        <v>58823</v>
      </c>
      <c r="J64" s="8" t="s">
        <v>5910</v>
      </c>
      <c r="K64" s="8" t="s">
        <v>5953</v>
      </c>
    </row>
    <row r="65" customFormat="false" ht="68.65" hidden="false" customHeight="false" outlineLevel="0" collapsed="false">
      <c r="A65" s="8" t="s">
        <v>5954</v>
      </c>
      <c r="B65" s="8" t="s">
        <v>4001</v>
      </c>
      <c r="C65" s="8" t="s">
        <v>5955</v>
      </c>
      <c r="D65" s="8" t="s">
        <v>5955</v>
      </c>
      <c r="E65" s="116" t="n">
        <v>2000000</v>
      </c>
      <c r="F65" s="8" t="n">
        <v>250</v>
      </c>
      <c r="G65" s="8" t="n">
        <v>234</v>
      </c>
      <c r="H65" s="116" t="n">
        <v>8000</v>
      </c>
      <c r="I65" s="116" t="n">
        <v>8547</v>
      </c>
      <c r="J65" s="8" t="s">
        <v>5910</v>
      </c>
      <c r="K65" s="8" t="s">
        <v>5956</v>
      </c>
    </row>
    <row r="66" customFormat="false" ht="135.8" hidden="false" customHeight="false" outlineLevel="0" collapsed="false">
      <c r="A66" s="8" t="s">
        <v>5957</v>
      </c>
      <c r="B66" s="8" t="s">
        <v>619</v>
      </c>
      <c r="C66" s="8" t="s">
        <v>5958</v>
      </c>
      <c r="D66" s="8" t="s">
        <v>5959</v>
      </c>
      <c r="E66" s="116" t="n">
        <v>18000000</v>
      </c>
      <c r="F66" s="8" t="n">
        <v>180</v>
      </c>
      <c r="G66" s="8" t="n">
        <v>195</v>
      </c>
      <c r="H66" s="116" t="n">
        <v>100000</v>
      </c>
      <c r="I66" s="116" t="n">
        <v>92307</v>
      </c>
      <c r="J66" s="8" t="s">
        <v>4537</v>
      </c>
      <c r="K66" s="8" t="s">
        <v>5960</v>
      </c>
    </row>
    <row r="67" customFormat="false" ht="113.4" hidden="false" customHeight="false" outlineLevel="0" collapsed="false">
      <c r="A67" s="8" t="s">
        <v>5961</v>
      </c>
      <c r="B67" s="8" t="s">
        <v>904</v>
      </c>
      <c r="C67" s="8" t="s">
        <v>5958</v>
      </c>
      <c r="D67" s="8" t="s">
        <v>5962</v>
      </c>
      <c r="E67" s="116" t="n">
        <v>20000000</v>
      </c>
      <c r="F67" s="8" t="n">
        <v>320</v>
      </c>
      <c r="G67" s="8" t="n">
        <v>340</v>
      </c>
      <c r="H67" s="116" t="n">
        <v>62500</v>
      </c>
      <c r="I67" s="116" t="n">
        <v>58823</v>
      </c>
      <c r="J67" s="8" t="s">
        <v>4537</v>
      </c>
      <c r="K67" s="8" t="s">
        <v>5963</v>
      </c>
    </row>
    <row r="68" customFormat="false" ht="91" hidden="false" customHeight="false" outlineLevel="0" collapsed="false">
      <c r="A68" s="8" t="s">
        <v>5964</v>
      </c>
      <c r="B68" s="8" t="s">
        <v>912</v>
      </c>
      <c r="C68" s="8" t="s">
        <v>5958</v>
      </c>
      <c r="D68" s="8" t="s">
        <v>5965</v>
      </c>
      <c r="E68" s="116" t="n">
        <v>6000000</v>
      </c>
      <c r="F68" s="8" t="n">
        <v>150</v>
      </c>
      <c r="G68" s="8" t="n">
        <v>168</v>
      </c>
      <c r="H68" s="116" t="n">
        <v>40000</v>
      </c>
      <c r="I68" s="116" t="n">
        <v>35714</v>
      </c>
      <c r="J68" s="8" t="s">
        <v>4537</v>
      </c>
      <c r="K68" s="8" t="s">
        <v>5966</v>
      </c>
    </row>
    <row r="69" customFormat="false" ht="91" hidden="false" customHeight="false" outlineLevel="0" collapsed="false">
      <c r="A69" s="8" t="s">
        <v>5967</v>
      </c>
      <c r="B69" s="8" t="s">
        <v>3806</v>
      </c>
      <c r="C69" s="8" t="s">
        <v>5958</v>
      </c>
      <c r="D69" s="8" t="s">
        <v>5962</v>
      </c>
      <c r="E69" s="116" t="n">
        <v>4000000</v>
      </c>
      <c r="F69" s="8" t="n">
        <v>130</v>
      </c>
      <c r="G69" s="8" t="n">
        <v>142</v>
      </c>
      <c r="H69" s="116" t="n">
        <v>30769</v>
      </c>
      <c r="I69" s="116" t="n">
        <v>28169</v>
      </c>
      <c r="J69" s="8" t="s">
        <v>4537</v>
      </c>
      <c r="K69" s="8" t="s">
        <v>5968</v>
      </c>
    </row>
    <row r="70" customFormat="false" ht="91" hidden="false" customHeight="false" outlineLevel="0" collapsed="false">
      <c r="A70" s="8" t="s">
        <v>5969</v>
      </c>
      <c r="B70" s="8" t="s">
        <v>2258</v>
      </c>
      <c r="C70" s="8" t="s">
        <v>5958</v>
      </c>
      <c r="D70" s="8" t="s">
        <v>5965</v>
      </c>
      <c r="E70" s="116" t="n">
        <v>2000000</v>
      </c>
      <c r="F70" s="8" t="n">
        <v>200</v>
      </c>
      <c r="G70" s="8" t="n">
        <v>215</v>
      </c>
      <c r="H70" s="116" t="n">
        <v>10000</v>
      </c>
      <c r="I70" s="116" t="n">
        <v>9302</v>
      </c>
      <c r="J70" s="8" t="s">
        <v>4537</v>
      </c>
      <c r="K70" s="8" t="s">
        <v>5970</v>
      </c>
    </row>
    <row r="71" customFormat="false" ht="79.85" hidden="false" customHeight="false" outlineLevel="0" collapsed="false">
      <c r="A71" s="8" t="s">
        <v>5971</v>
      </c>
      <c r="B71" s="8" t="s">
        <v>4001</v>
      </c>
      <c r="C71" s="8" t="s">
        <v>5972</v>
      </c>
      <c r="D71" s="8" t="s">
        <v>5962</v>
      </c>
      <c r="E71" s="116" t="n">
        <v>5000000</v>
      </c>
      <c r="F71" s="8" t="n">
        <v>150</v>
      </c>
      <c r="G71" s="8" t="n">
        <v>142</v>
      </c>
      <c r="H71" s="116" t="n">
        <v>33333</v>
      </c>
      <c r="I71" s="116" t="n">
        <v>35211</v>
      </c>
      <c r="J71" s="8" t="s">
        <v>4537</v>
      </c>
      <c r="K71" s="8" t="s">
        <v>5973</v>
      </c>
    </row>
    <row r="72" customFormat="false" ht="68.65" hidden="false" customHeight="false" outlineLevel="0" collapsed="false">
      <c r="A72" s="8" t="s">
        <v>5974</v>
      </c>
      <c r="B72" s="8" t="s">
        <v>4001</v>
      </c>
      <c r="C72" s="8" t="s">
        <v>5975</v>
      </c>
      <c r="D72" s="8" t="s">
        <v>5975</v>
      </c>
      <c r="E72" s="116" t="n">
        <v>2000000</v>
      </c>
      <c r="F72" s="8" t="n">
        <v>300</v>
      </c>
      <c r="G72" s="8" t="n">
        <v>287</v>
      </c>
      <c r="H72" s="116" t="n">
        <v>6666</v>
      </c>
      <c r="I72" s="116" t="n">
        <v>6969</v>
      </c>
      <c r="J72" s="8" t="s">
        <v>5976</v>
      </c>
      <c r="K72" s="8" t="s">
        <v>5977</v>
      </c>
    </row>
    <row r="73" customFormat="false" ht="113.4" hidden="false" customHeight="false" outlineLevel="0" collapsed="false">
      <c r="A73" s="8" t="s">
        <v>5978</v>
      </c>
      <c r="B73" s="8" t="s">
        <v>5979</v>
      </c>
      <c r="C73" s="8" t="s">
        <v>5958</v>
      </c>
      <c r="D73" s="8" t="s">
        <v>5965</v>
      </c>
      <c r="E73" s="116" t="n">
        <v>8000000</v>
      </c>
      <c r="F73" s="8" t="n">
        <v>250</v>
      </c>
      <c r="G73" s="8" t="n">
        <v>268</v>
      </c>
      <c r="H73" s="116" t="n">
        <v>32000</v>
      </c>
      <c r="I73" s="116" t="n">
        <v>29850</v>
      </c>
      <c r="J73" s="8" t="s">
        <v>4537</v>
      </c>
      <c r="K73" s="8" t="s">
        <v>5980</v>
      </c>
    </row>
    <row r="74" customFormat="false" ht="91" hidden="false" customHeight="false" outlineLevel="0" collapsed="false">
      <c r="A74" s="8" t="s">
        <v>5981</v>
      </c>
      <c r="B74" s="8" t="s">
        <v>619</v>
      </c>
      <c r="C74" s="8" t="s">
        <v>5982</v>
      </c>
      <c r="D74" s="8" t="s">
        <v>5983</v>
      </c>
      <c r="E74" s="116" t="n">
        <v>12000000</v>
      </c>
      <c r="F74" s="8" t="n">
        <v>120</v>
      </c>
      <c r="G74" s="8" t="n">
        <v>128</v>
      </c>
      <c r="H74" s="116" t="n">
        <v>100000</v>
      </c>
      <c r="I74" s="116" t="n">
        <v>93750</v>
      </c>
      <c r="J74" s="8" t="s">
        <v>5976</v>
      </c>
      <c r="K74" s="8" t="s">
        <v>5984</v>
      </c>
    </row>
    <row r="75" customFormat="false" ht="102.2" hidden="false" customHeight="false" outlineLevel="0" collapsed="false">
      <c r="A75" s="8" t="s">
        <v>5985</v>
      </c>
      <c r="B75" s="8" t="s">
        <v>904</v>
      </c>
      <c r="C75" s="8" t="s">
        <v>5982</v>
      </c>
      <c r="D75" s="8" t="s">
        <v>5986</v>
      </c>
      <c r="E75" s="116" t="n">
        <v>15000000</v>
      </c>
      <c r="F75" s="8" t="n">
        <v>240</v>
      </c>
      <c r="G75" s="8" t="n">
        <v>0</v>
      </c>
      <c r="H75" s="116" t="n">
        <v>62500</v>
      </c>
      <c r="I75" s="116" t="n">
        <v>0</v>
      </c>
      <c r="J75" s="8" t="s">
        <v>5976</v>
      </c>
      <c r="K75" s="8" t="s">
        <v>5987</v>
      </c>
    </row>
    <row r="76" customFormat="false" ht="124.6" hidden="false" customHeight="false" outlineLevel="0" collapsed="false">
      <c r="A76" s="8" t="s">
        <v>5988</v>
      </c>
      <c r="B76" s="8" t="s">
        <v>912</v>
      </c>
      <c r="C76" s="8" t="s">
        <v>5989</v>
      </c>
      <c r="D76" s="8" t="s">
        <v>5986</v>
      </c>
      <c r="E76" s="116" t="n">
        <v>4000000</v>
      </c>
      <c r="F76" s="8" t="n">
        <v>100</v>
      </c>
      <c r="G76" s="8" t="n">
        <v>0</v>
      </c>
      <c r="H76" s="116" t="n">
        <v>40000</v>
      </c>
      <c r="I76" s="116" t="n">
        <v>0</v>
      </c>
      <c r="J76" s="8" t="s">
        <v>5976</v>
      </c>
      <c r="K76" s="8" t="s">
        <v>5990</v>
      </c>
    </row>
    <row r="77" customFormat="false" ht="135.8" hidden="false" customHeight="false" outlineLevel="0" collapsed="false">
      <c r="A77" s="8" t="s">
        <v>5991</v>
      </c>
      <c r="B77" s="8" t="s">
        <v>875</v>
      </c>
      <c r="C77" s="8" t="s">
        <v>5982</v>
      </c>
      <c r="D77" s="8" t="s">
        <v>5992</v>
      </c>
      <c r="E77" s="116" t="n">
        <v>500000</v>
      </c>
      <c r="F77" s="8" t="n">
        <v>200</v>
      </c>
      <c r="G77" s="8" t="n">
        <v>0</v>
      </c>
      <c r="H77" s="116" t="n">
        <v>2500</v>
      </c>
      <c r="I77" s="116" t="n">
        <v>0</v>
      </c>
      <c r="J77" s="8" t="s">
        <v>5976</v>
      </c>
      <c r="K77" s="8" t="s">
        <v>5993</v>
      </c>
    </row>
    <row r="78" customFormat="false" ht="124.6" hidden="false" customHeight="false" outlineLevel="0" collapsed="false">
      <c r="A78" s="8" t="s">
        <v>5994</v>
      </c>
      <c r="B78" s="8" t="s">
        <v>875</v>
      </c>
      <c r="C78" s="8" t="s">
        <v>5995</v>
      </c>
      <c r="D78" s="8" t="s">
        <v>5996</v>
      </c>
      <c r="E78" s="116" t="n">
        <v>1000000</v>
      </c>
      <c r="F78" s="8" t="n">
        <v>500</v>
      </c>
      <c r="G78" s="8" t="n">
        <v>0</v>
      </c>
      <c r="H78" s="116" t="n">
        <v>2000</v>
      </c>
      <c r="I78" s="116" t="n">
        <v>0</v>
      </c>
      <c r="J78" s="8" t="s">
        <v>5976</v>
      </c>
      <c r="K78" s="8" t="s">
        <v>5997</v>
      </c>
    </row>
    <row r="79" customFormat="false" ht="91" hidden="false" customHeight="false" outlineLevel="0" collapsed="false">
      <c r="A79" s="8" t="s">
        <v>5998</v>
      </c>
      <c r="B79" s="8" t="s">
        <v>1960</v>
      </c>
      <c r="C79" s="8" t="s">
        <v>5995</v>
      </c>
      <c r="D79" s="8" t="s">
        <v>5996</v>
      </c>
      <c r="E79" s="116" t="n">
        <v>3000000</v>
      </c>
      <c r="F79" s="8" t="n">
        <v>200</v>
      </c>
      <c r="G79" s="8" t="n">
        <v>0</v>
      </c>
      <c r="H79" s="116" t="n">
        <v>15000</v>
      </c>
      <c r="I79" s="116" t="n">
        <v>0</v>
      </c>
      <c r="J79" s="8" t="s">
        <v>5976</v>
      </c>
      <c r="K79" s="8" t="s">
        <v>5999</v>
      </c>
    </row>
    <row r="82" customFormat="false" ht="15" hidden="false" customHeight="false" outlineLevel="0" collapsed="false">
      <c r="A82" s="7" t="s">
        <v>6000</v>
      </c>
      <c r="B82" s="7"/>
      <c r="C82" s="7"/>
      <c r="D82" s="7"/>
      <c r="E82" s="7"/>
      <c r="F82" s="7"/>
      <c r="G82" s="7"/>
      <c r="H82" s="7"/>
      <c r="I82" s="7"/>
    </row>
    <row r="83" customFormat="false" ht="52.2" hidden="false" customHeight="false" outlineLevel="0" collapsed="false">
      <c r="A83" s="3" t="s">
        <v>500</v>
      </c>
      <c r="B83" s="3" t="s">
        <v>6001</v>
      </c>
      <c r="C83" s="3" t="s">
        <v>6002</v>
      </c>
      <c r="D83" s="3" t="s">
        <v>3799</v>
      </c>
      <c r="E83" s="3" t="s">
        <v>5902</v>
      </c>
      <c r="F83" s="3" t="s">
        <v>5903</v>
      </c>
      <c r="G83" s="3" t="s">
        <v>6003</v>
      </c>
      <c r="H83" s="3" t="s">
        <v>6004</v>
      </c>
      <c r="I83" s="3" t="s">
        <v>1940</v>
      </c>
    </row>
    <row r="84" customFormat="false" ht="57.45" hidden="false" customHeight="false" outlineLevel="0" collapsed="false">
      <c r="A84" s="8" t="s">
        <v>6005</v>
      </c>
      <c r="B84" s="8" t="s">
        <v>6006</v>
      </c>
      <c r="C84" s="8" t="s">
        <v>6007</v>
      </c>
      <c r="D84" s="8" t="s">
        <v>904</v>
      </c>
      <c r="E84" s="8" t="s">
        <v>6008</v>
      </c>
      <c r="F84" s="8" t="n">
        <v>100</v>
      </c>
      <c r="G84" s="8"/>
      <c r="H84" s="8" t="s">
        <v>810</v>
      </c>
      <c r="I84" s="8" t="s">
        <v>6009</v>
      </c>
    </row>
    <row r="85" customFormat="false" ht="57.45" hidden="false" customHeight="false" outlineLevel="0" collapsed="false">
      <c r="A85" s="8" t="s">
        <v>6005</v>
      </c>
      <c r="B85" s="8" t="s">
        <v>6010</v>
      </c>
      <c r="C85" s="8" t="s">
        <v>6007</v>
      </c>
      <c r="D85" s="8" t="s">
        <v>6011</v>
      </c>
      <c r="E85" s="8" t="s">
        <v>6012</v>
      </c>
      <c r="F85" s="8" t="n">
        <v>120</v>
      </c>
      <c r="G85" s="8"/>
      <c r="H85" s="8" t="s">
        <v>6013</v>
      </c>
      <c r="I85" s="8" t="s">
        <v>295</v>
      </c>
    </row>
    <row r="86" customFormat="false" ht="46.25" hidden="false" customHeight="false" outlineLevel="0" collapsed="false">
      <c r="A86" s="8" t="s">
        <v>6005</v>
      </c>
      <c r="B86" s="8" t="s">
        <v>6014</v>
      </c>
      <c r="C86" s="8" t="s">
        <v>6015</v>
      </c>
      <c r="D86" s="8" t="s">
        <v>912</v>
      </c>
      <c r="E86" s="8" t="s">
        <v>6016</v>
      </c>
      <c r="F86" s="8" t="n">
        <v>80</v>
      </c>
      <c r="G86" s="8"/>
      <c r="H86" s="8" t="s">
        <v>6017</v>
      </c>
      <c r="I86" s="8" t="s">
        <v>4535</v>
      </c>
    </row>
    <row r="87" customFormat="false" ht="46.25" hidden="false" customHeight="false" outlineLevel="0" collapsed="false">
      <c r="A87" s="8" t="s">
        <v>6005</v>
      </c>
      <c r="B87" s="8" t="s">
        <v>6018</v>
      </c>
      <c r="C87" s="8" t="s">
        <v>6019</v>
      </c>
      <c r="D87" s="8" t="s">
        <v>453</v>
      </c>
      <c r="E87" s="8" t="s">
        <v>6020</v>
      </c>
      <c r="F87" s="8" t="n">
        <v>150</v>
      </c>
      <c r="G87" s="8"/>
      <c r="H87" s="8" t="s">
        <v>806</v>
      </c>
      <c r="I87" s="8" t="s">
        <v>6021</v>
      </c>
    </row>
    <row r="88" customFormat="false" ht="57.45" hidden="false" customHeight="false" outlineLevel="0" collapsed="false">
      <c r="A88" s="8" t="s">
        <v>6005</v>
      </c>
      <c r="B88" s="8" t="s">
        <v>6022</v>
      </c>
      <c r="C88" s="8" t="s">
        <v>6007</v>
      </c>
      <c r="D88" s="8" t="s">
        <v>6023</v>
      </c>
      <c r="E88" s="8" t="s">
        <v>6024</v>
      </c>
      <c r="F88" s="8" t="n">
        <v>100</v>
      </c>
      <c r="G88" s="8"/>
      <c r="H88" s="8" t="s">
        <v>808</v>
      </c>
      <c r="I88" s="8" t="s">
        <v>6025</v>
      </c>
    </row>
    <row r="89" customFormat="false" ht="46.25" hidden="false" customHeight="false" outlineLevel="0" collapsed="false">
      <c r="A89" s="8" t="s">
        <v>6005</v>
      </c>
      <c r="B89" s="8" t="s">
        <v>6026</v>
      </c>
      <c r="C89" s="8" t="s">
        <v>6015</v>
      </c>
      <c r="D89" s="8" t="s">
        <v>3891</v>
      </c>
      <c r="E89" s="8" t="s">
        <v>851</v>
      </c>
      <c r="F89" s="8" t="n">
        <v>60</v>
      </c>
      <c r="G89" s="8"/>
      <c r="H89" s="8" t="s">
        <v>6027</v>
      </c>
      <c r="I89" s="8" t="s">
        <v>6028</v>
      </c>
    </row>
    <row r="90" customFormat="false" ht="57.45" hidden="false" customHeight="false" outlineLevel="0" collapsed="false">
      <c r="A90" s="8" t="s">
        <v>6005</v>
      </c>
      <c r="B90" s="8" t="s">
        <v>6029</v>
      </c>
      <c r="C90" s="8" t="s">
        <v>6015</v>
      </c>
      <c r="D90" s="8" t="s">
        <v>6030</v>
      </c>
      <c r="E90" s="8" t="s">
        <v>6031</v>
      </c>
      <c r="F90" s="8" t="n">
        <v>90</v>
      </c>
      <c r="G90" s="8"/>
      <c r="H90" s="8" t="s">
        <v>6032</v>
      </c>
      <c r="I90" s="8" t="s">
        <v>6009</v>
      </c>
    </row>
    <row r="91" customFormat="false" ht="46.25" hidden="false" customHeight="false" outlineLevel="0" collapsed="false">
      <c r="A91" s="8" t="s">
        <v>6033</v>
      </c>
      <c r="B91" s="8" t="s">
        <v>6034</v>
      </c>
      <c r="C91" s="8" t="s">
        <v>6035</v>
      </c>
      <c r="D91" s="8" t="s">
        <v>904</v>
      </c>
      <c r="E91" s="8" t="s">
        <v>6036</v>
      </c>
      <c r="F91" s="8" t="n">
        <v>120</v>
      </c>
      <c r="G91" s="8"/>
      <c r="H91" s="8" t="s">
        <v>810</v>
      </c>
      <c r="I91" s="8" t="s">
        <v>6037</v>
      </c>
    </row>
    <row r="92" customFormat="false" ht="46.25" hidden="false" customHeight="false" outlineLevel="0" collapsed="false">
      <c r="A92" s="8" t="s">
        <v>6033</v>
      </c>
      <c r="B92" s="8" t="s">
        <v>6038</v>
      </c>
      <c r="C92" s="8" t="s">
        <v>6035</v>
      </c>
      <c r="D92" s="8" t="s">
        <v>6011</v>
      </c>
      <c r="E92" s="8" t="s">
        <v>6008</v>
      </c>
      <c r="F92" s="8" t="n">
        <v>140</v>
      </c>
      <c r="G92" s="8"/>
      <c r="H92" s="8" t="s">
        <v>6039</v>
      </c>
      <c r="I92" s="8" t="s">
        <v>6040</v>
      </c>
    </row>
    <row r="93" customFormat="false" ht="46.25" hidden="false" customHeight="false" outlineLevel="0" collapsed="false">
      <c r="A93" s="8" t="s">
        <v>6033</v>
      </c>
      <c r="B93" s="8" t="s">
        <v>6041</v>
      </c>
      <c r="C93" s="8" t="s">
        <v>6035</v>
      </c>
      <c r="D93" s="8" t="s">
        <v>912</v>
      </c>
      <c r="E93" s="8" t="s">
        <v>6031</v>
      </c>
      <c r="F93" s="8" t="n">
        <v>100</v>
      </c>
      <c r="G93" s="8"/>
      <c r="H93" s="8" t="s">
        <v>6017</v>
      </c>
      <c r="I93" s="8" t="s">
        <v>6042</v>
      </c>
    </row>
    <row r="94" customFormat="false" ht="46.25" hidden="false" customHeight="false" outlineLevel="0" collapsed="false">
      <c r="A94" s="8" t="s">
        <v>6033</v>
      </c>
      <c r="B94" s="8" t="s">
        <v>6043</v>
      </c>
      <c r="C94" s="8" t="s">
        <v>6044</v>
      </c>
      <c r="D94" s="8" t="s">
        <v>6045</v>
      </c>
      <c r="E94" s="8" t="s">
        <v>6016</v>
      </c>
      <c r="F94" s="8" t="n">
        <v>200</v>
      </c>
      <c r="G94" s="8"/>
      <c r="H94" s="8" t="s">
        <v>820</v>
      </c>
      <c r="I94" s="8" t="s">
        <v>6046</v>
      </c>
    </row>
    <row r="95" customFormat="false" ht="46.25" hidden="false" customHeight="false" outlineLevel="0" collapsed="false">
      <c r="A95" s="8" t="s">
        <v>6033</v>
      </c>
      <c r="B95" s="8" t="s">
        <v>6047</v>
      </c>
      <c r="C95" s="8" t="s">
        <v>6035</v>
      </c>
      <c r="D95" s="8" t="s">
        <v>453</v>
      </c>
      <c r="E95" s="8" t="s">
        <v>6024</v>
      </c>
      <c r="F95" s="8" t="n">
        <v>160</v>
      </c>
      <c r="G95" s="8"/>
      <c r="H95" s="8" t="s">
        <v>6048</v>
      </c>
      <c r="I95" s="8" t="s">
        <v>6049</v>
      </c>
    </row>
    <row r="96" customFormat="false" ht="46.25" hidden="false" customHeight="false" outlineLevel="0" collapsed="false">
      <c r="A96" s="8" t="s">
        <v>6033</v>
      </c>
      <c r="B96" s="8" t="s">
        <v>6050</v>
      </c>
      <c r="C96" s="8" t="s">
        <v>6007</v>
      </c>
      <c r="D96" s="8" t="s">
        <v>6051</v>
      </c>
      <c r="E96" s="8" t="s">
        <v>6016</v>
      </c>
      <c r="F96" s="8" t="n">
        <v>50</v>
      </c>
      <c r="G96" s="8"/>
      <c r="H96" s="8" t="s">
        <v>829</v>
      </c>
      <c r="I96" s="8" t="s">
        <v>6052</v>
      </c>
    </row>
    <row r="97" customFormat="false" ht="46.25" hidden="false" customHeight="false" outlineLevel="0" collapsed="false">
      <c r="A97" s="8" t="s">
        <v>6033</v>
      </c>
      <c r="B97" s="8" t="s">
        <v>6053</v>
      </c>
      <c r="C97" s="8" t="s">
        <v>6035</v>
      </c>
      <c r="D97" s="8" t="s">
        <v>6030</v>
      </c>
      <c r="E97" s="8" t="s">
        <v>6020</v>
      </c>
      <c r="F97" s="8" t="n">
        <v>100</v>
      </c>
      <c r="G97" s="8"/>
      <c r="H97" s="8" t="s">
        <v>825</v>
      </c>
      <c r="I97" s="8" t="s">
        <v>6037</v>
      </c>
    </row>
    <row r="98" customFormat="false" ht="57.45" hidden="false" customHeight="false" outlineLevel="0" collapsed="false">
      <c r="A98" s="8" t="s">
        <v>6054</v>
      </c>
      <c r="B98" s="8" t="s">
        <v>6055</v>
      </c>
      <c r="C98" s="8" t="s">
        <v>6056</v>
      </c>
      <c r="D98" s="8" t="s">
        <v>904</v>
      </c>
      <c r="E98" s="8" t="s">
        <v>6057</v>
      </c>
      <c r="F98" s="8" t="n">
        <v>140</v>
      </c>
      <c r="G98" s="8"/>
      <c r="H98" s="8" t="s">
        <v>810</v>
      </c>
      <c r="I98" s="8" t="s">
        <v>6058</v>
      </c>
    </row>
    <row r="99" customFormat="false" ht="46.25" hidden="false" customHeight="false" outlineLevel="0" collapsed="false">
      <c r="A99" s="8" t="s">
        <v>6054</v>
      </c>
      <c r="B99" s="8" t="s">
        <v>6059</v>
      </c>
      <c r="C99" s="8" t="s">
        <v>6060</v>
      </c>
      <c r="D99" s="8" t="s">
        <v>6011</v>
      </c>
      <c r="E99" s="8" t="s">
        <v>6008</v>
      </c>
      <c r="F99" s="8" t="n">
        <v>130</v>
      </c>
      <c r="G99" s="8"/>
      <c r="H99" s="8" t="s">
        <v>6061</v>
      </c>
      <c r="I99" s="8" t="s">
        <v>6062</v>
      </c>
    </row>
    <row r="100" customFormat="false" ht="46.25" hidden="false" customHeight="false" outlineLevel="0" collapsed="false">
      <c r="A100" s="8" t="s">
        <v>6054</v>
      </c>
      <c r="B100" s="8" t="s">
        <v>6063</v>
      </c>
      <c r="C100" s="8" t="s">
        <v>6056</v>
      </c>
      <c r="D100" s="8" t="s">
        <v>912</v>
      </c>
      <c r="E100" s="8" t="s">
        <v>6020</v>
      </c>
      <c r="F100" s="8" t="n">
        <v>120</v>
      </c>
      <c r="G100" s="8"/>
      <c r="H100" s="8" t="s">
        <v>6017</v>
      </c>
      <c r="I100" s="8" t="s">
        <v>372</v>
      </c>
    </row>
    <row r="101" customFormat="false" ht="46.25" hidden="false" customHeight="false" outlineLevel="0" collapsed="false">
      <c r="A101" s="8" t="s">
        <v>6054</v>
      </c>
      <c r="B101" s="8" t="s">
        <v>6064</v>
      </c>
      <c r="C101" s="8" t="s">
        <v>6019</v>
      </c>
      <c r="D101" s="8" t="s">
        <v>453</v>
      </c>
      <c r="E101" s="8" t="s">
        <v>6012</v>
      </c>
      <c r="F101" s="8" t="n">
        <v>180</v>
      </c>
      <c r="G101" s="8"/>
      <c r="H101" s="8" t="s">
        <v>6065</v>
      </c>
      <c r="I101" s="8" t="s">
        <v>6066</v>
      </c>
    </row>
    <row r="102" customFormat="false" ht="57.45" hidden="false" customHeight="false" outlineLevel="0" collapsed="false">
      <c r="A102" s="8" t="s">
        <v>6054</v>
      </c>
      <c r="B102" s="8" t="s">
        <v>6067</v>
      </c>
      <c r="C102" s="8" t="s">
        <v>6019</v>
      </c>
      <c r="D102" s="8" t="s">
        <v>6023</v>
      </c>
      <c r="E102" s="8" t="s">
        <v>6024</v>
      </c>
      <c r="F102" s="8" t="n">
        <v>110</v>
      </c>
      <c r="G102" s="8"/>
      <c r="H102" s="8" t="s">
        <v>6068</v>
      </c>
      <c r="I102" s="8" t="s">
        <v>6069</v>
      </c>
    </row>
    <row r="103" customFormat="false" ht="46.25" hidden="false" customHeight="false" outlineLevel="0" collapsed="false">
      <c r="A103" s="8" t="s">
        <v>6054</v>
      </c>
      <c r="B103" s="8" t="s">
        <v>6070</v>
      </c>
      <c r="C103" s="8" t="s">
        <v>6056</v>
      </c>
      <c r="D103" s="8" t="s">
        <v>3891</v>
      </c>
      <c r="E103" s="8" t="s">
        <v>6071</v>
      </c>
      <c r="F103" s="8" t="n">
        <v>80</v>
      </c>
      <c r="G103" s="8"/>
      <c r="H103" s="8" t="s">
        <v>6072</v>
      </c>
      <c r="I103" s="8" t="s">
        <v>6073</v>
      </c>
    </row>
    <row r="104" customFormat="false" ht="46.25" hidden="false" customHeight="false" outlineLevel="0" collapsed="false">
      <c r="A104" s="8" t="s">
        <v>6074</v>
      </c>
      <c r="B104" s="8" t="s">
        <v>6075</v>
      </c>
      <c r="C104" s="8" t="s">
        <v>6076</v>
      </c>
      <c r="D104" s="8" t="s">
        <v>904</v>
      </c>
      <c r="E104" s="8" t="s">
        <v>6036</v>
      </c>
      <c r="F104" s="8" t="n">
        <v>130</v>
      </c>
      <c r="G104" s="8"/>
      <c r="H104" s="8" t="s">
        <v>6077</v>
      </c>
      <c r="I104" s="8" t="s">
        <v>6078</v>
      </c>
    </row>
    <row r="105" customFormat="false" ht="46.25" hidden="false" customHeight="false" outlineLevel="0" collapsed="false">
      <c r="A105" s="8" t="s">
        <v>6074</v>
      </c>
      <c r="B105" s="8" t="s">
        <v>6079</v>
      </c>
      <c r="C105" s="8" t="s">
        <v>6076</v>
      </c>
      <c r="D105" s="8" t="s">
        <v>6011</v>
      </c>
      <c r="E105" s="8" t="s">
        <v>6008</v>
      </c>
      <c r="F105" s="8" t="n">
        <v>140</v>
      </c>
      <c r="G105" s="8"/>
      <c r="H105" s="8" t="s">
        <v>6039</v>
      </c>
      <c r="I105" s="8" t="s">
        <v>6080</v>
      </c>
    </row>
    <row r="106" customFormat="false" ht="57.45" hidden="false" customHeight="false" outlineLevel="0" collapsed="false">
      <c r="A106" s="8" t="s">
        <v>6074</v>
      </c>
      <c r="B106" s="8" t="s">
        <v>6081</v>
      </c>
      <c r="C106" s="8" t="s">
        <v>6076</v>
      </c>
      <c r="D106" s="8" t="s">
        <v>912</v>
      </c>
      <c r="E106" s="8" t="s">
        <v>6031</v>
      </c>
      <c r="F106" s="8" t="n">
        <v>100</v>
      </c>
      <c r="G106" s="8"/>
      <c r="H106" s="8" t="s">
        <v>6017</v>
      </c>
      <c r="I106" s="8" t="s">
        <v>6082</v>
      </c>
    </row>
    <row r="107" customFormat="false" ht="57.45" hidden="false" customHeight="false" outlineLevel="0" collapsed="false">
      <c r="A107" s="8" t="s">
        <v>6074</v>
      </c>
      <c r="B107" s="8" t="s">
        <v>6083</v>
      </c>
      <c r="C107" s="8" t="s">
        <v>6076</v>
      </c>
      <c r="D107" s="8" t="s">
        <v>453</v>
      </c>
      <c r="E107" s="8" t="s">
        <v>6020</v>
      </c>
      <c r="F107" s="8" t="n">
        <v>140</v>
      </c>
      <c r="G107" s="8"/>
      <c r="H107" s="8" t="s">
        <v>6084</v>
      </c>
      <c r="I107" s="8" t="s">
        <v>6085</v>
      </c>
    </row>
    <row r="108" customFormat="false" ht="46.25" hidden="false" customHeight="false" outlineLevel="0" collapsed="false">
      <c r="A108" s="8" t="s">
        <v>6074</v>
      </c>
      <c r="B108" s="8" t="s">
        <v>6086</v>
      </c>
      <c r="C108" s="8" t="s">
        <v>6087</v>
      </c>
      <c r="D108" s="8" t="s">
        <v>6045</v>
      </c>
      <c r="E108" s="8" t="s">
        <v>6071</v>
      </c>
      <c r="F108" s="8" t="n">
        <v>150</v>
      </c>
      <c r="G108" s="8"/>
      <c r="H108" s="8" t="s">
        <v>820</v>
      </c>
      <c r="I108" s="8" t="s">
        <v>6088</v>
      </c>
    </row>
    <row r="109" customFormat="false" ht="46.25" hidden="false" customHeight="false" outlineLevel="0" collapsed="false">
      <c r="A109" s="8" t="s">
        <v>6074</v>
      </c>
      <c r="B109" s="8" t="s">
        <v>6089</v>
      </c>
      <c r="C109" s="8" t="s">
        <v>6076</v>
      </c>
      <c r="D109" s="8" t="s">
        <v>6030</v>
      </c>
      <c r="E109" s="8" t="s">
        <v>6024</v>
      </c>
      <c r="F109" s="8" t="n">
        <v>120</v>
      </c>
      <c r="G109" s="8"/>
      <c r="H109" s="8" t="s">
        <v>6090</v>
      </c>
      <c r="I109" s="8" t="s">
        <v>6078</v>
      </c>
    </row>
    <row r="110" customFormat="false" ht="46.25" hidden="false" customHeight="false" outlineLevel="0" collapsed="false">
      <c r="A110" s="8" t="s">
        <v>6091</v>
      </c>
      <c r="B110" s="8" t="s">
        <v>6092</v>
      </c>
      <c r="C110" s="8" t="s">
        <v>6093</v>
      </c>
      <c r="D110" s="8" t="s">
        <v>904</v>
      </c>
      <c r="E110" s="8" t="s">
        <v>6008</v>
      </c>
      <c r="F110" s="8" t="n">
        <v>100</v>
      </c>
      <c r="G110" s="8"/>
      <c r="H110" s="8" t="s">
        <v>810</v>
      </c>
      <c r="I110" s="8" t="s">
        <v>6094</v>
      </c>
    </row>
    <row r="111" customFormat="false" ht="46.25" hidden="false" customHeight="false" outlineLevel="0" collapsed="false">
      <c r="A111" s="8" t="s">
        <v>6091</v>
      </c>
      <c r="B111" s="8" t="s">
        <v>6095</v>
      </c>
      <c r="C111" s="8" t="s">
        <v>6093</v>
      </c>
      <c r="D111" s="8" t="s">
        <v>6011</v>
      </c>
      <c r="E111" s="8" t="s">
        <v>6012</v>
      </c>
      <c r="F111" s="8" t="n">
        <v>110</v>
      </c>
      <c r="G111" s="8"/>
      <c r="H111" s="8" t="s">
        <v>6096</v>
      </c>
      <c r="I111" s="8" t="s">
        <v>6097</v>
      </c>
    </row>
    <row r="112" customFormat="false" ht="46.25" hidden="false" customHeight="false" outlineLevel="0" collapsed="false">
      <c r="A112" s="8" t="s">
        <v>6091</v>
      </c>
      <c r="B112" s="8" t="s">
        <v>6098</v>
      </c>
      <c r="C112" s="8" t="s">
        <v>6099</v>
      </c>
      <c r="D112" s="8" t="s">
        <v>912</v>
      </c>
      <c r="E112" s="8" t="s">
        <v>6016</v>
      </c>
      <c r="F112" s="8" t="n">
        <v>80</v>
      </c>
      <c r="G112" s="8"/>
      <c r="H112" s="8" t="s">
        <v>6017</v>
      </c>
      <c r="I112" s="8" t="s">
        <v>6100</v>
      </c>
    </row>
    <row r="113" customFormat="false" ht="46.25" hidden="false" customHeight="false" outlineLevel="0" collapsed="false">
      <c r="A113" s="8" t="s">
        <v>6091</v>
      </c>
      <c r="B113" s="8" t="s">
        <v>6101</v>
      </c>
      <c r="C113" s="8" t="s">
        <v>6093</v>
      </c>
      <c r="D113" s="8" t="s">
        <v>453</v>
      </c>
      <c r="E113" s="8" t="s">
        <v>6024</v>
      </c>
      <c r="F113" s="8" t="n">
        <v>150</v>
      </c>
      <c r="G113" s="8"/>
      <c r="H113" s="8" t="s">
        <v>6102</v>
      </c>
      <c r="I113" s="8" t="s">
        <v>6103</v>
      </c>
    </row>
    <row r="114" customFormat="false" ht="46.25" hidden="false" customHeight="false" outlineLevel="0" collapsed="false">
      <c r="A114" s="8" t="s">
        <v>6091</v>
      </c>
      <c r="B114" s="8" t="s">
        <v>6104</v>
      </c>
      <c r="C114" s="8" t="s">
        <v>6099</v>
      </c>
      <c r="D114" s="8" t="s">
        <v>3891</v>
      </c>
      <c r="E114" s="8" t="s">
        <v>851</v>
      </c>
      <c r="F114" s="8" t="n">
        <v>60</v>
      </c>
      <c r="G114" s="8"/>
      <c r="H114" s="8" t="s">
        <v>6027</v>
      </c>
      <c r="I114" s="8" t="s">
        <v>6105</v>
      </c>
    </row>
    <row r="115" customFormat="false" ht="57.45" hidden="false" customHeight="false" outlineLevel="0" collapsed="false">
      <c r="A115" s="8" t="s">
        <v>6106</v>
      </c>
      <c r="B115" s="8" t="s">
        <v>6107</v>
      </c>
      <c r="C115" s="8" t="s">
        <v>6108</v>
      </c>
      <c r="D115" s="8" t="s">
        <v>904</v>
      </c>
      <c r="E115" s="8" t="s">
        <v>6109</v>
      </c>
      <c r="F115" s="8" t="n">
        <v>110</v>
      </c>
      <c r="G115" s="8"/>
      <c r="H115" s="8" t="s">
        <v>810</v>
      </c>
      <c r="I115" s="8" t="s">
        <v>6110</v>
      </c>
    </row>
    <row r="116" customFormat="false" ht="57.45" hidden="false" customHeight="false" outlineLevel="0" collapsed="false">
      <c r="A116" s="8" t="s">
        <v>6106</v>
      </c>
      <c r="B116" s="8" t="s">
        <v>6111</v>
      </c>
      <c r="C116" s="8" t="s">
        <v>6108</v>
      </c>
      <c r="D116" s="8" t="s">
        <v>6011</v>
      </c>
      <c r="E116" s="8" t="s">
        <v>6112</v>
      </c>
      <c r="F116" s="8" t="n">
        <v>120</v>
      </c>
      <c r="G116" s="8"/>
      <c r="H116" s="8" t="s">
        <v>6113</v>
      </c>
      <c r="I116" s="8" t="s">
        <v>6114</v>
      </c>
    </row>
    <row r="117" customFormat="false" ht="46.25" hidden="false" customHeight="false" outlineLevel="0" collapsed="false">
      <c r="A117" s="8" t="s">
        <v>6106</v>
      </c>
      <c r="B117" s="8" t="s">
        <v>6115</v>
      </c>
      <c r="C117" s="8" t="s">
        <v>6116</v>
      </c>
      <c r="D117" s="8" t="s">
        <v>912</v>
      </c>
      <c r="E117" s="8" t="s">
        <v>6016</v>
      </c>
      <c r="F117" s="8" t="n">
        <v>90</v>
      </c>
      <c r="G117" s="8"/>
      <c r="H117" s="8" t="s">
        <v>6065</v>
      </c>
      <c r="I117" s="8" t="s">
        <v>6117</v>
      </c>
    </row>
    <row r="118" customFormat="false" ht="46.25" hidden="false" customHeight="false" outlineLevel="0" collapsed="false">
      <c r="A118" s="8" t="s">
        <v>6106</v>
      </c>
      <c r="B118" s="8" t="s">
        <v>6118</v>
      </c>
      <c r="C118" s="8" t="s">
        <v>6116</v>
      </c>
      <c r="D118" s="8" t="s">
        <v>453</v>
      </c>
      <c r="E118" s="8" t="s">
        <v>6020</v>
      </c>
      <c r="F118" s="8" t="n">
        <v>130</v>
      </c>
      <c r="G118" s="8"/>
      <c r="H118" s="8" t="s">
        <v>6119</v>
      </c>
      <c r="I118" s="8" t="s">
        <v>6120</v>
      </c>
    </row>
    <row r="119" customFormat="false" ht="46.25" hidden="false" customHeight="false" outlineLevel="0" collapsed="false">
      <c r="A119" s="8" t="s">
        <v>6106</v>
      </c>
      <c r="B119" s="8" t="s">
        <v>6121</v>
      </c>
      <c r="C119" s="8" t="s">
        <v>6108</v>
      </c>
      <c r="D119" s="8" t="s">
        <v>6023</v>
      </c>
      <c r="E119" s="8" t="s">
        <v>6020</v>
      </c>
      <c r="F119" s="8" t="n">
        <v>95</v>
      </c>
      <c r="G119" s="8"/>
      <c r="H119" s="8" t="s">
        <v>6122</v>
      </c>
      <c r="I119" s="8" t="s">
        <v>6123</v>
      </c>
    </row>
  </sheetData>
  <mergeCells count="3">
    <mergeCell ref="B1:P1"/>
    <mergeCell ref="B2:P2"/>
    <mergeCell ref="A82:I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4" min="3" style="1" width="15"/>
    <col collapsed="false" customWidth="true" hidden="false" outlineLevel="0" max="8" min="5" style="1" width="14"/>
    <col collapsed="false" customWidth="true" hidden="false" outlineLevel="0" max="9" min="9" style="1" width="3"/>
  </cols>
  <sheetData>
    <row r="1" customFormat="false" ht="36" hidden="false" customHeight="true" outlineLevel="0" collapsed="false">
      <c r="B1" s="144" t="s">
        <v>6124</v>
      </c>
      <c r="C1" s="144"/>
      <c r="D1" s="144"/>
      <c r="E1" s="144"/>
      <c r="F1" s="144"/>
      <c r="G1" s="144"/>
      <c r="H1" s="144"/>
      <c r="I1" s="144"/>
    </row>
    <row r="2" customFormat="false" ht="25.5" hidden="false" customHeight="true" outlineLevel="0" collapsed="false">
      <c r="B2" s="227" t="s">
        <v>6125</v>
      </c>
      <c r="C2" s="227"/>
      <c r="D2" s="227"/>
      <c r="E2" s="227"/>
      <c r="F2" s="227"/>
      <c r="G2" s="227"/>
      <c r="H2" s="227"/>
      <c r="I2" s="227"/>
    </row>
    <row r="4" customFormat="false" ht="24" hidden="false" customHeight="true" outlineLevel="0" collapsed="false">
      <c r="B4" s="158" t="s">
        <v>6126</v>
      </c>
      <c r="C4" s="158"/>
      <c r="D4" s="158"/>
      <c r="E4" s="158"/>
      <c r="F4" s="158"/>
      <c r="G4" s="158"/>
      <c r="H4" s="158"/>
      <c r="I4" s="158"/>
    </row>
    <row r="5" customFormat="false" ht="19.5" hidden="false" customHeight="true" outlineLevel="0" collapsed="false">
      <c r="B5" s="228" t="s">
        <v>500</v>
      </c>
      <c r="C5" s="228" t="s">
        <v>6127</v>
      </c>
      <c r="D5" s="228" t="s">
        <v>6128</v>
      </c>
      <c r="E5" s="228" t="s">
        <v>4180</v>
      </c>
      <c r="F5" s="228" t="s">
        <v>148</v>
      </c>
      <c r="G5" s="228" t="s">
        <v>6129</v>
      </c>
      <c r="H5" s="228" t="s">
        <v>6130</v>
      </c>
    </row>
    <row r="6" customFormat="false" ht="21.75" hidden="false" customHeight="true" outlineLevel="0" collapsed="false">
      <c r="B6" s="14" t="s">
        <v>4186</v>
      </c>
      <c r="C6" s="229" t="n">
        <v>0.1</v>
      </c>
      <c r="D6" s="230" t="n">
        <v>323000000</v>
      </c>
      <c r="E6" s="231" t="s">
        <v>6131</v>
      </c>
      <c r="F6" s="232" t="s">
        <v>6132</v>
      </c>
      <c r="G6" s="52" t="n">
        <v>450</v>
      </c>
      <c r="H6" s="52" t="n">
        <v>135</v>
      </c>
      <c r="I6" s="21"/>
    </row>
    <row r="7" customFormat="false" ht="21.75" hidden="false" customHeight="true" outlineLevel="0" collapsed="false">
      <c r="B7" s="22" t="s">
        <v>4190</v>
      </c>
      <c r="C7" s="32" t="n">
        <v>0.2</v>
      </c>
      <c r="D7" s="233" t="n">
        <v>646000000</v>
      </c>
      <c r="E7" s="34" t="s">
        <v>6133</v>
      </c>
      <c r="F7" s="234" t="s">
        <v>6134</v>
      </c>
      <c r="G7" s="33" t="n">
        <v>900</v>
      </c>
      <c r="H7" s="33" t="n">
        <v>270</v>
      </c>
      <c r="I7" s="29"/>
    </row>
    <row r="8" customFormat="false" ht="21.75" hidden="false" customHeight="true" outlineLevel="0" collapsed="false">
      <c r="B8" s="14" t="s">
        <v>4194</v>
      </c>
      <c r="C8" s="229" t="n">
        <v>0.26</v>
      </c>
      <c r="D8" s="230" t="n">
        <v>839800000</v>
      </c>
      <c r="E8" s="231" t="s">
        <v>6135</v>
      </c>
      <c r="F8" s="232" t="s">
        <v>6136</v>
      </c>
      <c r="G8" s="52" t="n">
        <v>1100</v>
      </c>
      <c r="H8" s="52" t="n">
        <v>330</v>
      </c>
      <c r="I8" s="21"/>
    </row>
    <row r="9" customFormat="false" ht="21.75" hidden="false" customHeight="true" outlineLevel="0" collapsed="false">
      <c r="B9" s="22" t="s">
        <v>4198</v>
      </c>
      <c r="C9" s="32" t="n">
        <v>0.24</v>
      </c>
      <c r="D9" s="233" t="n">
        <v>775200000</v>
      </c>
      <c r="E9" s="34" t="s">
        <v>6137</v>
      </c>
      <c r="F9" s="234" t="s">
        <v>6138</v>
      </c>
      <c r="G9" s="33" t="n">
        <v>1000</v>
      </c>
      <c r="H9" s="33" t="n">
        <v>300</v>
      </c>
      <c r="I9" s="29"/>
    </row>
    <row r="10" customFormat="false" ht="21.75" hidden="false" customHeight="true" outlineLevel="0" collapsed="false">
      <c r="B10" s="14" t="s">
        <v>4201</v>
      </c>
      <c r="C10" s="229" t="n">
        <v>0.14</v>
      </c>
      <c r="D10" s="230" t="n">
        <v>452200000</v>
      </c>
      <c r="E10" s="231" t="s">
        <v>4202</v>
      </c>
      <c r="F10" s="232" t="s">
        <v>6139</v>
      </c>
      <c r="G10" s="52" t="n">
        <v>600</v>
      </c>
      <c r="H10" s="52" t="n">
        <v>180</v>
      </c>
      <c r="I10" s="21"/>
    </row>
    <row r="11" customFormat="false" ht="21.75" hidden="false" customHeight="true" outlineLevel="0" collapsed="false">
      <c r="B11" s="22" t="s">
        <v>4205</v>
      </c>
      <c r="C11" s="32" t="n">
        <v>0.06</v>
      </c>
      <c r="D11" s="233" t="n">
        <v>193800000</v>
      </c>
      <c r="E11" s="34" t="s">
        <v>6140</v>
      </c>
      <c r="F11" s="234" t="s">
        <v>6141</v>
      </c>
      <c r="G11" s="33" t="n">
        <v>200</v>
      </c>
      <c r="H11" s="33" t="n">
        <v>60</v>
      </c>
      <c r="I11" s="29"/>
    </row>
    <row r="12" customFormat="false" ht="24" hidden="false" customHeight="true" outlineLevel="0" collapsed="false">
      <c r="B12" s="235" t="s">
        <v>855</v>
      </c>
      <c r="C12" s="236" t="n">
        <v>1</v>
      </c>
      <c r="D12" s="237" t="n">
        <v>3230000000</v>
      </c>
      <c r="E12" s="238"/>
      <c r="F12" s="238"/>
      <c r="G12" s="237" t="n">
        <f aca="false">SUM(G6:G11)</f>
        <v>4250</v>
      </c>
      <c r="H12" s="237" t="n">
        <f aca="false">SUM(H6:H11)</f>
        <v>1275</v>
      </c>
      <c r="I12" s="238"/>
    </row>
    <row r="14" customFormat="false" ht="24" hidden="false" customHeight="true" outlineLevel="0" collapsed="false">
      <c r="B14" s="158" t="s">
        <v>6142</v>
      </c>
      <c r="C14" s="158"/>
      <c r="D14" s="158"/>
      <c r="E14" s="158"/>
      <c r="F14" s="158"/>
      <c r="G14" s="158"/>
      <c r="H14" s="158"/>
      <c r="I14" s="158"/>
    </row>
    <row r="15" customFormat="false" ht="19.5" hidden="false" customHeight="true" outlineLevel="0" collapsed="false">
      <c r="B15" s="228" t="s">
        <v>1589</v>
      </c>
      <c r="C15" s="228" t="s">
        <v>2389</v>
      </c>
      <c r="D15" s="228" t="s">
        <v>2390</v>
      </c>
      <c r="E15" s="228" t="s">
        <v>2391</v>
      </c>
      <c r="F15" s="228" t="s">
        <v>2392</v>
      </c>
      <c r="G15" s="228" t="s">
        <v>2393</v>
      </c>
      <c r="H15" s="228" t="s">
        <v>6143</v>
      </c>
    </row>
    <row r="16" customFormat="false" ht="27.75" hidden="false" customHeight="true" outlineLevel="0" collapsed="false">
      <c r="B16" s="14" t="s">
        <v>2395</v>
      </c>
      <c r="C16" s="239" t="s">
        <v>3218</v>
      </c>
      <c r="D16" s="239" t="s">
        <v>6144</v>
      </c>
      <c r="E16" s="239" t="s">
        <v>6145</v>
      </c>
      <c r="F16" s="239" t="n">
        <v>134583333</v>
      </c>
      <c r="G16" s="230" t="s">
        <v>2399</v>
      </c>
      <c r="H16" s="239" t="s">
        <v>6146</v>
      </c>
      <c r="I16" s="21"/>
    </row>
    <row r="17" customFormat="false" ht="27.75" hidden="false" customHeight="true" outlineLevel="0" collapsed="false">
      <c r="B17" s="22" t="s">
        <v>5881</v>
      </c>
      <c r="C17" s="183" t="s">
        <v>3218</v>
      </c>
      <c r="D17" s="183" t="s">
        <v>6147</v>
      </c>
      <c r="E17" s="183" t="s">
        <v>6148</v>
      </c>
      <c r="F17" s="183" t="n">
        <v>40416667</v>
      </c>
      <c r="G17" s="233" t="s">
        <v>6149</v>
      </c>
      <c r="H17" s="183" t="s">
        <v>6150</v>
      </c>
      <c r="I17" s="29"/>
    </row>
    <row r="18" customFormat="false" ht="27.75" hidden="false" customHeight="true" outlineLevel="0" collapsed="false">
      <c r="B18" s="14" t="s">
        <v>5883</v>
      </c>
      <c r="C18" s="239" t="s">
        <v>3218</v>
      </c>
      <c r="D18" s="239" t="s">
        <v>6151</v>
      </c>
      <c r="E18" s="239" t="s">
        <v>6152</v>
      </c>
      <c r="F18" s="239" t="n">
        <v>40416667</v>
      </c>
      <c r="G18" s="230" t="s">
        <v>6153</v>
      </c>
      <c r="H18" s="239" t="s">
        <v>6150</v>
      </c>
      <c r="I18" s="21"/>
    </row>
    <row r="19" customFormat="false" ht="27.75" hidden="false" customHeight="true" outlineLevel="0" collapsed="false">
      <c r="B19" s="22" t="s">
        <v>5885</v>
      </c>
      <c r="C19" s="183" t="s">
        <v>3218</v>
      </c>
      <c r="D19" s="183" t="s">
        <v>6154</v>
      </c>
      <c r="E19" s="183" t="s">
        <v>6155</v>
      </c>
      <c r="F19" s="183" t="n">
        <v>40416667</v>
      </c>
      <c r="G19" s="233" t="s">
        <v>6156</v>
      </c>
      <c r="H19" s="183" t="s">
        <v>6157</v>
      </c>
      <c r="I19" s="29"/>
    </row>
    <row r="20" customFormat="false" ht="27.75" hidden="false" customHeight="true" outlineLevel="0" collapsed="false">
      <c r="B20" s="14" t="s">
        <v>2405</v>
      </c>
      <c r="C20" s="239" t="s">
        <v>3218</v>
      </c>
      <c r="D20" s="239" t="s">
        <v>6158</v>
      </c>
      <c r="E20" s="239" t="s">
        <v>6159</v>
      </c>
      <c r="F20" s="239" t="n">
        <v>100416667</v>
      </c>
      <c r="G20" s="230" t="s">
        <v>6160</v>
      </c>
      <c r="H20" s="239" t="s">
        <v>6161</v>
      </c>
      <c r="I20" s="21"/>
    </row>
    <row r="21" customFormat="false" ht="27.75" hidden="false" customHeight="true" outlineLevel="0" collapsed="false">
      <c r="B21" s="22" t="s">
        <v>2409</v>
      </c>
      <c r="C21" s="183" t="s">
        <v>3218</v>
      </c>
      <c r="D21" s="183" t="s">
        <v>6162</v>
      </c>
      <c r="E21" s="183" t="s">
        <v>6163</v>
      </c>
      <c r="F21" s="183" t="n">
        <v>100416667</v>
      </c>
      <c r="G21" s="233" t="s">
        <v>6164</v>
      </c>
      <c r="H21" s="183" t="s">
        <v>6161</v>
      </c>
      <c r="I21" s="29"/>
    </row>
    <row r="22" customFormat="false" ht="27.75" hidden="false" customHeight="true" outlineLevel="0" collapsed="false">
      <c r="B22" s="14" t="s">
        <v>6165</v>
      </c>
      <c r="C22" s="239" t="s">
        <v>3218</v>
      </c>
      <c r="D22" s="239" t="s">
        <v>6166</v>
      </c>
      <c r="E22" s="239" t="s">
        <v>6167</v>
      </c>
      <c r="F22" s="239" t="n">
        <v>60833333</v>
      </c>
      <c r="G22" s="230" t="s">
        <v>6168</v>
      </c>
      <c r="H22" s="239" t="s">
        <v>6150</v>
      </c>
      <c r="I22" s="21"/>
    </row>
    <row r="23" customFormat="false" ht="27.75" hidden="false" customHeight="true" outlineLevel="0" collapsed="false">
      <c r="B23" s="22" t="s">
        <v>2498</v>
      </c>
      <c r="C23" s="183" t="s">
        <v>3218</v>
      </c>
      <c r="D23" s="183" t="s">
        <v>6169</v>
      </c>
      <c r="E23" s="183" t="s">
        <v>6170</v>
      </c>
      <c r="F23" s="183" t="n">
        <v>154166667</v>
      </c>
      <c r="G23" s="233" t="s">
        <v>2420</v>
      </c>
      <c r="H23" s="183" t="s">
        <v>6171</v>
      </c>
      <c r="I23" s="29"/>
    </row>
    <row r="24" customFormat="false" ht="27.75" hidden="false" customHeight="true" outlineLevel="0" collapsed="false">
      <c r="B24" s="14" t="s">
        <v>2504</v>
      </c>
      <c r="C24" s="239" t="s">
        <v>2396</v>
      </c>
      <c r="D24" s="239" t="s">
        <v>6172</v>
      </c>
      <c r="E24" s="239" t="s">
        <v>6173</v>
      </c>
      <c r="F24" s="239" t="n">
        <v>50000000</v>
      </c>
      <c r="G24" s="230" t="s">
        <v>6174</v>
      </c>
      <c r="H24" s="239" t="s">
        <v>6175</v>
      </c>
      <c r="I24" s="21"/>
    </row>
    <row r="25" customFormat="false" ht="27.75" hidden="false" customHeight="true" outlineLevel="0" collapsed="false">
      <c r="B25" s="22" t="s">
        <v>2511</v>
      </c>
      <c r="C25" s="183" t="s">
        <v>3218</v>
      </c>
      <c r="D25" s="183" t="s">
        <v>6176</v>
      </c>
      <c r="E25" s="183" t="s">
        <v>6177</v>
      </c>
      <c r="F25" s="183" t="n">
        <v>270583333</v>
      </c>
      <c r="G25" s="233" t="s">
        <v>2425</v>
      </c>
      <c r="H25" s="183" t="s">
        <v>6178</v>
      </c>
      <c r="I25" s="29"/>
    </row>
    <row r="26" customFormat="false" ht="27.75" hidden="false" customHeight="true" outlineLevel="0" collapsed="false">
      <c r="B26" s="14" t="s">
        <v>5887</v>
      </c>
      <c r="C26" s="239" t="s">
        <v>2396</v>
      </c>
      <c r="D26" s="239" t="s">
        <v>6179</v>
      </c>
      <c r="E26" s="239" t="s">
        <v>6180</v>
      </c>
      <c r="F26" s="239" t="n">
        <v>90000000</v>
      </c>
      <c r="G26" s="230" t="s">
        <v>6174</v>
      </c>
      <c r="H26" s="239" t="s">
        <v>6175</v>
      </c>
      <c r="I26" s="21"/>
    </row>
    <row r="27" customFormat="false" ht="27.75" hidden="false" customHeight="true" outlineLevel="0" collapsed="false">
      <c r="B27" s="22" t="s">
        <v>2517</v>
      </c>
      <c r="C27" s="183" t="s">
        <v>3218</v>
      </c>
      <c r="D27" s="183" t="s">
        <v>6181</v>
      </c>
      <c r="E27" s="183" t="s">
        <v>6182</v>
      </c>
      <c r="F27" s="183" t="n">
        <v>50000000</v>
      </c>
      <c r="G27" s="233" t="s">
        <v>6183</v>
      </c>
      <c r="H27" s="183" t="s">
        <v>5491</v>
      </c>
      <c r="I27" s="29"/>
    </row>
    <row r="28" customFormat="false" ht="27.75" hidden="false" customHeight="true" outlineLevel="0" collapsed="false">
      <c r="B28" s="14" t="s">
        <v>2523</v>
      </c>
      <c r="C28" s="239" t="s">
        <v>2417</v>
      </c>
      <c r="D28" s="239" t="s">
        <v>6184</v>
      </c>
      <c r="E28" s="239" t="s">
        <v>6185</v>
      </c>
      <c r="F28" s="239" t="n">
        <v>150000000</v>
      </c>
      <c r="G28" s="230" t="s">
        <v>6186</v>
      </c>
      <c r="H28" s="239" t="s">
        <v>1076</v>
      </c>
      <c r="I28" s="21"/>
    </row>
    <row r="29" customFormat="false" ht="27.75" hidden="false" customHeight="true" outlineLevel="0" collapsed="false">
      <c r="B29" s="22" t="s">
        <v>2618</v>
      </c>
      <c r="C29" s="183" t="s">
        <v>2417</v>
      </c>
      <c r="D29" s="183" t="s">
        <v>6187</v>
      </c>
      <c r="E29" s="183" t="s">
        <v>6188</v>
      </c>
      <c r="F29" s="183" t="n">
        <v>100000000</v>
      </c>
      <c r="G29" s="233" t="s">
        <v>6189</v>
      </c>
      <c r="H29" s="183" t="s">
        <v>6190</v>
      </c>
      <c r="I29" s="29"/>
    </row>
    <row r="30" customFormat="false" ht="27.75" hidden="false" customHeight="true" outlineLevel="0" collapsed="false">
      <c r="B30" s="14" t="s">
        <v>6191</v>
      </c>
      <c r="C30" s="239" t="s">
        <v>253</v>
      </c>
      <c r="D30" s="239" t="s">
        <v>6192</v>
      </c>
      <c r="E30" s="239" t="s">
        <v>6193</v>
      </c>
      <c r="F30" s="239" t="n">
        <v>50000000</v>
      </c>
      <c r="G30" s="230" t="s">
        <v>3629</v>
      </c>
      <c r="H30" s="239" t="s">
        <v>6194</v>
      </c>
      <c r="I30" s="21"/>
    </row>
    <row r="31" customFormat="false" ht="27.75" hidden="false" customHeight="true" outlineLevel="0" collapsed="false">
      <c r="B31" s="22" t="s">
        <v>2530</v>
      </c>
      <c r="C31" s="183" t="s">
        <v>253</v>
      </c>
      <c r="D31" s="183" t="s">
        <v>6195</v>
      </c>
      <c r="E31" s="183" t="s">
        <v>6196</v>
      </c>
      <c r="F31" s="183" t="n">
        <v>150000000</v>
      </c>
      <c r="G31" s="233" t="s">
        <v>550</v>
      </c>
      <c r="H31" s="183" t="s">
        <v>6197</v>
      </c>
      <c r="I31" s="29"/>
    </row>
    <row r="34" customFormat="false" ht="24" hidden="false" customHeight="true" outlineLevel="0" collapsed="false">
      <c r="B34" s="158" t="s">
        <v>6198</v>
      </c>
      <c r="C34" s="158"/>
      <c r="D34" s="158"/>
      <c r="E34" s="158"/>
      <c r="F34" s="158"/>
      <c r="G34" s="158"/>
      <c r="H34" s="158"/>
      <c r="I34" s="158"/>
    </row>
    <row r="35" customFormat="false" ht="19.5" hidden="false" customHeight="true" outlineLevel="0" collapsed="false">
      <c r="B35" s="240" t="s">
        <v>291</v>
      </c>
      <c r="C35" s="240" t="s">
        <v>4186</v>
      </c>
      <c r="D35" s="240" t="s">
        <v>4190</v>
      </c>
      <c r="E35" s="240" t="s">
        <v>4194</v>
      </c>
      <c r="F35" s="240" t="s">
        <v>4198</v>
      </c>
      <c r="G35" s="240" t="s">
        <v>4201</v>
      </c>
      <c r="H35" s="240" t="s">
        <v>4205</v>
      </c>
    </row>
    <row r="36" customFormat="false" ht="19.5" hidden="false" customHeight="true" outlineLevel="0" collapsed="false">
      <c r="B36" s="14" t="s">
        <v>6199</v>
      </c>
      <c r="C36" s="52" t="n">
        <v>150000</v>
      </c>
      <c r="D36" s="52" t="n">
        <v>135000</v>
      </c>
      <c r="E36" s="52" t="n">
        <v>120000</v>
      </c>
      <c r="F36" s="52" t="n">
        <v>120000</v>
      </c>
      <c r="G36" s="52" t="n">
        <v>130000</v>
      </c>
      <c r="H36" s="52" t="n">
        <v>150000</v>
      </c>
      <c r="I36" s="21"/>
    </row>
    <row r="37" customFormat="false" ht="19.5" hidden="false" customHeight="true" outlineLevel="0" collapsed="false">
      <c r="B37" s="22" t="s">
        <v>6200</v>
      </c>
      <c r="C37" s="35" t="s">
        <v>6201</v>
      </c>
      <c r="D37" s="35" t="s">
        <v>934</v>
      </c>
      <c r="E37" s="35" t="s">
        <v>6202</v>
      </c>
      <c r="F37" s="35" t="s">
        <v>6202</v>
      </c>
      <c r="G37" s="35" t="s">
        <v>934</v>
      </c>
      <c r="H37" s="35" t="s">
        <v>6201</v>
      </c>
      <c r="I37" s="29"/>
    </row>
    <row r="38" customFormat="false" ht="19.5" hidden="false" customHeight="true" outlineLevel="0" collapsed="false">
      <c r="B38" s="14" t="s">
        <v>6203</v>
      </c>
      <c r="C38" s="52" t="n">
        <v>80000</v>
      </c>
      <c r="D38" s="52" t="n">
        <v>75000</v>
      </c>
      <c r="E38" s="52" t="n">
        <v>70000</v>
      </c>
      <c r="F38" s="52" t="n">
        <v>70000</v>
      </c>
      <c r="G38" s="52" t="n">
        <v>75000</v>
      </c>
      <c r="H38" s="52" t="n">
        <v>80000</v>
      </c>
      <c r="I38" s="21"/>
    </row>
    <row r="39" customFormat="false" ht="19.5" hidden="false" customHeight="true" outlineLevel="0" collapsed="false">
      <c r="B39" s="22" t="s">
        <v>6204</v>
      </c>
      <c r="C39" s="33" t="n">
        <v>450</v>
      </c>
      <c r="D39" s="33" t="n">
        <v>900</v>
      </c>
      <c r="E39" s="33" t="n">
        <v>1100</v>
      </c>
      <c r="F39" s="33" t="n">
        <v>1000</v>
      </c>
      <c r="G39" s="33" t="n">
        <v>600</v>
      </c>
      <c r="H39" s="33" t="n">
        <v>200</v>
      </c>
      <c r="I39" s="29"/>
    </row>
    <row r="40" customFormat="false" ht="19.5" hidden="false" customHeight="true" outlineLevel="0" collapsed="false">
      <c r="B40" s="14" t="s">
        <v>4851</v>
      </c>
      <c r="C40" s="51" t="s">
        <v>834</v>
      </c>
      <c r="D40" s="51" t="s">
        <v>832</v>
      </c>
      <c r="E40" s="51" t="s">
        <v>6205</v>
      </c>
      <c r="F40" s="51" t="s">
        <v>6205</v>
      </c>
      <c r="G40" s="51" t="s">
        <v>6206</v>
      </c>
      <c r="H40" s="51" t="s">
        <v>832</v>
      </c>
      <c r="I40" s="21"/>
    </row>
    <row r="41" customFormat="false" ht="19.5" hidden="false" customHeight="true" outlineLevel="0" collapsed="false">
      <c r="B41" s="22" t="s">
        <v>6207</v>
      </c>
      <c r="C41" s="33" t="n">
        <v>90</v>
      </c>
      <c r="D41" s="33" t="n">
        <v>180</v>
      </c>
      <c r="E41" s="33" t="n">
        <v>220</v>
      </c>
      <c r="F41" s="33" t="n">
        <v>200</v>
      </c>
      <c r="G41" s="33" t="n">
        <v>120</v>
      </c>
      <c r="H41" s="33" t="n">
        <v>40</v>
      </c>
      <c r="I41" s="29"/>
    </row>
    <row r="42" customFormat="false" ht="19.5" hidden="false" customHeight="true" outlineLevel="0" collapsed="false">
      <c r="B42" s="14" t="s">
        <v>6208</v>
      </c>
      <c r="C42" s="52" t="n">
        <v>1800000</v>
      </c>
      <c r="D42" s="52" t="n">
        <v>1500000</v>
      </c>
      <c r="E42" s="52" t="n">
        <v>1200000</v>
      </c>
      <c r="F42" s="52" t="n">
        <v>1200000</v>
      </c>
      <c r="G42" s="52" t="n">
        <v>1500000</v>
      </c>
      <c r="H42" s="52" t="n">
        <v>2000000</v>
      </c>
      <c r="I42" s="21"/>
    </row>
  </sheetData>
  <mergeCells count="5">
    <mergeCell ref="B1:I1"/>
    <mergeCell ref="B2:I2"/>
    <mergeCell ref="B4:I4"/>
    <mergeCell ref="B14:I14"/>
    <mergeCell ref="B34:I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8" min="3" style="1" width="14"/>
    <col collapsed="false" customWidth="true" hidden="false" outlineLevel="0" max="9" min="9" style="1" width="3"/>
  </cols>
  <sheetData>
    <row r="1" customFormat="false" ht="36" hidden="false" customHeight="true" outlineLevel="0" collapsed="false">
      <c r="B1" s="213" t="s">
        <v>6209</v>
      </c>
      <c r="C1" s="213"/>
      <c r="D1" s="213"/>
      <c r="E1" s="213"/>
      <c r="F1" s="213"/>
      <c r="G1" s="213"/>
      <c r="H1" s="213"/>
      <c r="I1" s="213"/>
    </row>
    <row r="2" customFormat="false" ht="25.5" hidden="false" customHeight="true" outlineLevel="0" collapsed="false">
      <c r="B2" s="241" t="s">
        <v>6210</v>
      </c>
      <c r="C2" s="241"/>
      <c r="D2" s="241"/>
      <c r="E2" s="241"/>
      <c r="F2" s="241"/>
      <c r="G2" s="241"/>
      <c r="H2" s="241"/>
      <c r="I2" s="241"/>
    </row>
    <row r="4" customFormat="false" ht="24" hidden="false" customHeight="true" outlineLevel="0" collapsed="false">
      <c r="B4" s="147" t="s">
        <v>6211</v>
      </c>
      <c r="C4" s="147"/>
      <c r="D4" s="147"/>
      <c r="E4" s="147"/>
      <c r="F4" s="147"/>
      <c r="G4" s="147"/>
      <c r="H4" s="147"/>
      <c r="I4" s="147"/>
    </row>
    <row r="5" customFormat="false" ht="19.5" hidden="false" customHeight="true" outlineLevel="0" collapsed="false">
      <c r="B5" s="240" t="s">
        <v>500</v>
      </c>
      <c r="C5" s="240" t="s">
        <v>2055</v>
      </c>
      <c r="D5" s="240" t="s">
        <v>6212</v>
      </c>
      <c r="E5" s="240" t="s">
        <v>6213</v>
      </c>
      <c r="F5" s="240" t="s">
        <v>723</v>
      </c>
      <c r="G5" s="240" t="s">
        <v>4180</v>
      </c>
      <c r="H5" s="240" t="s">
        <v>6129</v>
      </c>
    </row>
    <row r="6" customFormat="false" ht="19.5" hidden="false" customHeight="true" outlineLevel="0" collapsed="false">
      <c r="B6" s="54" t="s">
        <v>6214</v>
      </c>
      <c r="C6" s="242" t="n">
        <v>60000000</v>
      </c>
      <c r="D6" s="56" t="n">
        <v>15000000</v>
      </c>
      <c r="E6" s="243" t="s">
        <v>550</v>
      </c>
      <c r="F6" s="244" t="n">
        <v>75000000</v>
      </c>
      <c r="G6" s="245" t="s">
        <v>6215</v>
      </c>
      <c r="H6" s="56" t="n">
        <v>80</v>
      </c>
      <c r="I6" s="246"/>
    </row>
    <row r="7" customFormat="false" ht="19.5" hidden="false" customHeight="true" outlineLevel="0" collapsed="false">
      <c r="B7" s="22" t="s">
        <v>4186</v>
      </c>
      <c r="C7" s="23" t="n">
        <v>220000000</v>
      </c>
      <c r="D7" s="33" t="n">
        <v>55000000</v>
      </c>
      <c r="E7" s="26" t="s">
        <v>550</v>
      </c>
      <c r="F7" s="233" t="n">
        <v>275000000</v>
      </c>
      <c r="G7" s="34" t="s">
        <v>6216</v>
      </c>
      <c r="H7" s="33" t="n">
        <v>250</v>
      </c>
      <c r="I7" s="29"/>
    </row>
    <row r="8" customFormat="false" ht="19.5" hidden="false" customHeight="true" outlineLevel="0" collapsed="false">
      <c r="B8" s="54" t="s">
        <v>4190</v>
      </c>
      <c r="C8" s="242" t="n">
        <v>365000000</v>
      </c>
      <c r="D8" s="56" t="n">
        <v>91000000</v>
      </c>
      <c r="E8" s="243" t="s">
        <v>550</v>
      </c>
      <c r="F8" s="244" t="n">
        <v>456000000</v>
      </c>
      <c r="G8" s="245" t="s">
        <v>6217</v>
      </c>
      <c r="H8" s="56" t="n">
        <v>430</v>
      </c>
      <c r="I8" s="246"/>
    </row>
    <row r="9" customFormat="false" ht="19.5" hidden="false" customHeight="true" outlineLevel="0" collapsed="false">
      <c r="B9" s="22" t="s">
        <v>4194</v>
      </c>
      <c r="C9" s="23" t="n">
        <v>430000000</v>
      </c>
      <c r="D9" s="33" t="n">
        <v>107000000</v>
      </c>
      <c r="E9" s="247" t="n">
        <v>11000000</v>
      </c>
      <c r="F9" s="233" t="n">
        <v>548000000</v>
      </c>
      <c r="G9" s="34" t="s">
        <v>6218</v>
      </c>
      <c r="H9" s="33" t="n">
        <v>510</v>
      </c>
      <c r="I9" s="29"/>
    </row>
    <row r="10" customFormat="false" ht="19.5" hidden="false" customHeight="true" outlineLevel="0" collapsed="false">
      <c r="B10" s="54" t="s">
        <v>4198</v>
      </c>
      <c r="C10" s="242" t="n">
        <v>388000000</v>
      </c>
      <c r="D10" s="56" t="n">
        <v>97000000</v>
      </c>
      <c r="E10" s="248" t="n">
        <v>22000000</v>
      </c>
      <c r="F10" s="244" t="n">
        <v>507000000</v>
      </c>
      <c r="G10" s="245" t="s">
        <v>6219</v>
      </c>
      <c r="H10" s="56" t="n">
        <v>470</v>
      </c>
      <c r="I10" s="246"/>
    </row>
    <row r="11" customFormat="false" ht="19.5" hidden="false" customHeight="true" outlineLevel="0" collapsed="false">
      <c r="B11" s="22" t="s">
        <v>4201</v>
      </c>
      <c r="C11" s="23" t="n">
        <v>164000000</v>
      </c>
      <c r="D11" s="33" t="n">
        <v>41000000</v>
      </c>
      <c r="E11" s="26" t="s">
        <v>550</v>
      </c>
      <c r="F11" s="233" t="n">
        <v>205000000</v>
      </c>
      <c r="G11" s="34" t="s">
        <v>6220</v>
      </c>
      <c r="H11" s="33" t="n">
        <v>190</v>
      </c>
      <c r="I11" s="29"/>
    </row>
    <row r="12" customFormat="false" ht="19.5" hidden="false" customHeight="true" outlineLevel="0" collapsed="false">
      <c r="B12" s="54" t="s">
        <v>4205</v>
      </c>
      <c r="C12" s="242" t="n">
        <v>73000000</v>
      </c>
      <c r="D12" s="56" t="n">
        <v>18000000</v>
      </c>
      <c r="E12" s="243" t="s">
        <v>550</v>
      </c>
      <c r="F12" s="244" t="n">
        <v>91000000</v>
      </c>
      <c r="G12" s="245" t="s">
        <v>6221</v>
      </c>
      <c r="H12" s="56" t="n">
        <v>80</v>
      </c>
      <c r="I12" s="246"/>
    </row>
    <row r="13" customFormat="false" ht="24" hidden="false" customHeight="true" outlineLevel="0" collapsed="false">
      <c r="B13" s="249" t="s">
        <v>855</v>
      </c>
      <c r="C13" s="250" t="n">
        <f aca="false">SUM(C6:C12)</f>
        <v>1700000000</v>
      </c>
      <c r="D13" s="250" t="n">
        <f aca="false">SUM(D6:D12)</f>
        <v>424000000</v>
      </c>
      <c r="E13" s="251"/>
      <c r="F13" s="250" t="n">
        <f aca="false">SUM(F6:F12)</f>
        <v>2157000000</v>
      </c>
      <c r="G13" s="251"/>
      <c r="H13" s="250" t="n">
        <f aca="false">SUM(H6:H12)</f>
        <v>2010</v>
      </c>
      <c r="I13" s="251"/>
    </row>
    <row r="15" customFormat="false" ht="24" hidden="false" customHeight="true" outlineLevel="0" collapsed="false">
      <c r="B15" s="147" t="s">
        <v>6222</v>
      </c>
      <c r="C15" s="147"/>
      <c r="D15" s="147"/>
      <c r="E15" s="147"/>
      <c r="F15" s="147"/>
      <c r="G15" s="147"/>
      <c r="H15" s="147"/>
      <c r="I15" s="147"/>
    </row>
    <row r="16" customFormat="false" ht="15" hidden="false" customHeight="true" outlineLevel="0" collapsed="false">
      <c r="B16" s="240" t="s">
        <v>291</v>
      </c>
      <c r="C16" s="240" t="s">
        <v>717</v>
      </c>
      <c r="D16" s="240" t="s">
        <v>718</v>
      </c>
      <c r="E16" s="240" t="s">
        <v>719</v>
      </c>
      <c r="F16" s="240" t="s">
        <v>720</v>
      </c>
      <c r="G16" s="240" t="s">
        <v>721</v>
      </c>
      <c r="H16" s="240" t="s">
        <v>722</v>
      </c>
    </row>
    <row r="17" customFormat="false" ht="19.5" hidden="false" customHeight="true" outlineLevel="0" collapsed="false">
      <c r="B17" s="54" t="s">
        <v>6223</v>
      </c>
      <c r="C17" s="55" t="s">
        <v>891</v>
      </c>
      <c r="D17" s="55" t="s">
        <v>890</v>
      </c>
      <c r="E17" s="55" t="s">
        <v>628</v>
      </c>
      <c r="F17" s="55" t="s">
        <v>628</v>
      </c>
      <c r="G17" s="55" t="s">
        <v>890</v>
      </c>
      <c r="H17" s="55" t="s">
        <v>627</v>
      </c>
      <c r="I17" s="246"/>
    </row>
    <row r="18" customFormat="false" ht="19.5" hidden="false" customHeight="true" outlineLevel="0" collapsed="false">
      <c r="B18" s="22" t="s">
        <v>6199</v>
      </c>
      <c r="C18" s="33" t="n">
        <v>200000</v>
      </c>
      <c r="D18" s="33" t="n">
        <v>185000</v>
      </c>
      <c r="E18" s="33" t="n">
        <v>175000</v>
      </c>
      <c r="F18" s="33" t="n">
        <v>175000</v>
      </c>
      <c r="G18" s="33" t="n">
        <v>180000</v>
      </c>
      <c r="H18" s="33" t="n">
        <v>200000</v>
      </c>
      <c r="I18" s="29"/>
    </row>
    <row r="19" customFormat="false" ht="19.5" hidden="false" customHeight="true" outlineLevel="0" collapsed="false">
      <c r="B19" s="54" t="s">
        <v>4851</v>
      </c>
      <c r="C19" s="55" t="s">
        <v>832</v>
      </c>
      <c r="D19" s="55" t="s">
        <v>6205</v>
      </c>
      <c r="E19" s="55" t="s">
        <v>6224</v>
      </c>
      <c r="F19" s="55" t="s">
        <v>6224</v>
      </c>
      <c r="G19" s="55" t="s">
        <v>6205</v>
      </c>
      <c r="H19" s="55" t="s">
        <v>6206</v>
      </c>
      <c r="I19" s="246"/>
    </row>
    <row r="20" customFormat="false" ht="19.5" hidden="false" customHeight="true" outlineLevel="0" collapsed="false">
      <c r="B20" s="22" t="s">
        <v>6225</v>
      </c>
      <c r="C20" s="35" t="s">
        <v>6226</v>
      </c>
      <c r="D20" s="35" t="s">
        <v>891</v>
      </c>
      <c r="E20" s="35" t="s">
        <v>890</v>
      </c>
      <c r="F20" s="35" t="s">
        <v>890</v>
      </c>
      <c r="G20" s="35" t="s">
        <v>627</v>
      </c>
      <c r="H20" s="35" t="s">
        <v>632</v>
      </c>
      <c r="I20" s="29"/>
    </row>
    <row r="21" customFormat="false" ht="19.5" hidden="false" customHeight="true" outlineLevel="0" collapsed="false">
      <c r="B21" s="54" t="s">
        <v>6227</v>
      </c>
      <c r="C21" s="56" t="n">
        <v>250</v>
      </c>
      <c r="D21" s="56" t="n">
        <v>430</v>
      </c>
      <c r="E21" s="56" t="n">
        <v>510</v>
      </c>
      <c r="F21" s="56" t="n">
        <v>470</v>
      </c>
      <c r="G21" s="56" t="n">
        <v>190</v>
      </c>
      <c r="H21" s="56" t="n">
        <v>80</v>
      </c>
      <c r="I21" s="246"/>
    </row>
    <row r="22" customFormat="false" ht="19.5" hidden="false" customHeight="true" outlineLevel="0" collapsed="false">
      <c r="B22" s="22" t="s">
        <v>6228</v>
      </c>
      <c r="C22" s="33" t="n">
        <v>2000000</v>
      </c>
      <c r="D22" s="33" t="n">
        <v>1700000</v>
      </c>
      <c r="E22" s="33" t="n">
        <v>1400000</v>
      </c>
      <c r="F22" s="33" t="n">
        <v>1400000</v>
      </c>
      <c r="G22" s="33" t="n">
        <v>1700000</v>
      </c>
      <c r="H22" s="33" t="n">
        <v>2200000</v>
      </c>
      <c r="I22" s="29"/>
    </row>
    <row r="23" customFormat="false" ht="19.5" hidden="false" customHeight="true" outlineLevel="0" collapsed="false">
      <c r="B23" s="54" t="s">
        <v>6229</v>
      </c>
      <c r="C23" s="55" t="s">
        <v>6230</v>
      </c>
      <c r="D23" s="55" t="s">
        <v>6231</v>
      </c>
      <c r="E23" s="55" t="s">
        <v>6232</v>
      </c>
      <c r="F23" s="55" t="s">
        <v>6232</v>
      </c>
      <c r="G23" s="55" t="s">
        <v>6232</v>
      </c>
      <c r="H23" s="55" t="s">
        <v>6231</v>
      </c>
      <c r="I23" s="246"/>
    </row>
  </sheetData>
  <mergeCells count="4">
    <mergeCell ref="B1:I1"/>
    <mergeCell ref="B2:I2"/>
    <mergeCell ref="B4:I4"/>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8" min="1" style="1" width="22"/>
  </cols>
  <sheetData>
    <row r="1" customFormat="false" ht="36" hidden="false" customHeight="true" outlineLevel="0" collapsed="false">
      <c r="B1" s="144" t="s">
        <v>6233</v>
      </c>
      <c r="C1" s="144"/>
      <c r="D1" s="144"/>
      <c r="E1" s="144"/>
      <c r="F1" s="144"/>
      <c r="G1" s="144"/>
      <c r="H1" s="144"/>
    </row>
    <row r="3" customFormat="false" ht="24" hidden="false" customHeight="true" outlineLevel="0" collapsed="false">
      <c r="B3" s="147" t="s">
        <v>6234</v>
      </c>
      <c r="C3" s="147"/>
      <c r="D3" s="147"/>
      <c r="E3" s="147"/>
      <c r="F3" s="147"/>
      <c r="G3" s="147"/>
      <c r="H3" s="147"/>
    </row>
    <row r="4" customFormat="false" ht="19.5" hidden="false" customHeight="true" outlineLevel="0" collapsed="false">
      <c r="B4" s="240" t="s">
        <v>6235</v>
      </c>
      <c r="C4" s="240" t="s">
        <v>6236</v>
      </c>
      <c r="D4" s="240" t="s">
        <v>957</v>
      </c>
      <c r="E4" s="240" t="s">
        <v>6237</v>
      </c>
      <c r="F4" s="240" t="s">
        <v>6238</v>
      </c>
      <c r="G4" s="240" t="s">
        <v>5478</v>
      </c>
    </row>
    <row r="5" customFormat="false" ht="19.5" hidden="false" customHeight="true" outlineLevel="0" collapsed="false">
      <c r="B5" s="177" t="s">
        <v>6239</v>
      </c>
      <c r="C5" s="175" t="s">
        <v>6240</v>
      </c>
      <c r="D5" s="233" t="n">
        <v>1530000000</v>
      </c>
      <c r="E5" s="34" t="s">
        <v>6241</v>
      </c>
      <c r="F5" s="252" t="s">
        <v>4369</v>
      </c>
      <c r="G5" s="26" t="s">
        <v>498</v>
      </c>
      <c r="H5" s="29"/>
    </row>
    <row r="6" customFormat="false" ht="19.5" hidden="false" customHeight="true" outlineLevel="0" collapsed="false">
      <c r="B6" s="170" t="s">
        <v>6242</v>
      </c>
      <c r="C6" s="167" t="s">
        <v>6243</v>
      </c>
      <c r="D6" s="253" t="n">
        <v>0</v>
      </c>
      <c r="E6" s="70" t="s">
        <v>6244</v>
      </c>
      <c r="F6" s="254" t="s">
        <v>605</v>
      </c>
      <c r="G6" s="255" t="s">
        <v>6245</v>
      </c>
      <c r="H6" s="173"/>
    </row>
    <row r="7" customFormat="false" ht="19.5" hidden="false" customHeight="true" outlineLevel="0" collapsed="false">
      <c r="B7" s="177" t="s">
        <v>6246</v>
      </c>
      <c r="C7" s="175" t="s">
        <v>6247</v>
      </c>
      <c r="D7" s="233" t="n">
        <v>180000</v>
      </c>
      <c r="E7" s="34" t="s">
        <v>6248</v>
      </c>
      <c r="F7" s="252" t="s">
        <v>494</v>
      </c>
      <c r="G7" s="26" t="s">
        <v>498</v>
      </c>
      <c r="H7" s="29"/>
    </row>
    <row r="8" customFormat="false" ht="19.5" hidden="false" customHeight="true" outlineLevel="0" collapsed="false">
      <c r="B8" s="170" t="s">
        <v>6249</v>
      </c>
      <c r="C8" s="167" t="s">
        <v>6250</v>
      </c>
      <c r="D8" s="253" t="n">
        <v>1500000</v>
      </c>
      <c r="E8" s="70" t="s">
        <v>6251</v>
      </c>
      <c r="F8" s="254" t="s">
        <v>494</v>
      </c>
      <c r="G8" s="255" t="s">
        <v>498</v>
      </c>
      <c r="H8" s="173"/>
    </row>
    <row r="9" customFormat="false" ht="19.5" hidden="false" customHeight="true" outlineLevel="0" collapsed="false">
      <c r="B9" s="177" t="s">
        <v>6252</v>
      </c>
      <c r="C9" s="175" t="s">
        <v>6253</v>
      </c>
      <c r="D9" s="233" t="n">
        <v>12000000</v>
      </c>
      <c r="E9" s="34" t="s">
        <v>6254</v>
      </c>
      <c r="F9" s="252" t="s">
        <v>494</v>
      </c>
      <c r="G9" s="26" t="s">
        <v>575</v>
      </c>
      <c r="H9" s="29"/>
    </row>
    <row r="10" customFormat="false" ht="19.5" hidden="false" customHeight="true" outlineLevel="0" collapsed="false">
      <c r="B10" s="170" t="s">
        <v>6255</v>
      </c>
      <c r="C10" s="167" t="s">
        <v>6256</v>
      </c>
      <c r="D10" s="256" t="n">
        <v>0.5</v>
      </c>
      <c r="E10" s="70" t="s">
        <v>6257</v>
      </c>
      <c r="F10" s="254" t="s">
        <v>494</v>
      </c>
      <c r="G10" s="255" t="s">
        <v>498</v>
      </c>
      <c r="H10" s="173"/>
    </row>
    <row r="11" customFormat="false" ht="19.5" hidden="false" customHeight="true" outlineLevel="0" collapsed="false">
      <c r="B11" s="177" t="s">
        <v>6258</v>
      </c>
      <c r="C11" s="175" t="s">
        <v>6259</v>
      </c>
      <c r="D11" s="257" t="n">
        <v>0.2</v>
      </c>
      <c r="E11" s="34" t="s">
        <v>6260</v>
      </c>
      <c r="F11" s="252" t="s">
        <v>494</v>
      </c>
      <c r="G11" s="26" t="s">
        <v>498</v>
      </c>
      <c r="H11" s="29"/>
    </row>
    <row r="12" customFormat="false" ht="19.5" hidden="false" customHeight="true" outlineLevel="0" collapsed="false">
      <c r="B12" s="170" t="s">
        <v>6261</v>
      </c>
      <c r="C12" s="167" t="s">
        <v>6262</v>
      </c>
      <c r="D12" s="256" t="n">
        <v>0.6</v>
      </c>
      <c r="E12" s="70" t="s">
        <v>6263</v>
      </c>
      <c r="F12" s="254" t="s">
        <v>494</v>
      </c>
      <c r="G12" s="255" t="s">
        <v>575</v>
      </c>
      <c r="H12" s="173"/>
    </row>
    <row r="13" customFormat="false" ht="19.5" hidden="false" customHeight="true" outlineLevel="0" collapsed="false">
      <c r="B13" s="177" t="s">
        <v>6264</v>
      </c>
      <c r="C13" s="175" t="s">
        <v>6265</v>
      </c>
      <c r="D13" s="257" t="n">
        <v>0.15</v>
      </c>
      <c r="E13" s="34" t="s">
        <v>6266</v>
      </c>
      <c r="F13" s="252" t="s">
        <v>494</v>
      </c>
      <c r="G13" s="26" t="s">
        <v>498</v>
      </c>
      <c r="H13" s="29"/>
    </row>
    <row r="14" customFormat="false" ht="19.5" hidden="false" customHeight="true" outlineLevel="0" collapsed="false">
      <c r="B14" s="170" t="s">
        <v>6267</v>
      </c>
      <c r="C14" s="167" t="s">
        <v>6268</v>
      </c>
      <c r="D14" s="256" t="n">
        <v>0.15</v>
      </c>
      <c r="E14" s="70" t="s">
        <v>6269</v>
      </c>
      <c r="F14" s="254" t="s">
        <v>494</v>
      </c>
      <c r="G14" s="255" t="s">
        <v>498</v>
      </c>
      <c r="H14" s="173"/>
    </row>
    <row r="15" customFormat="false" ht="19.5" hidden="false" customHeight="true" outlineLevel="0" collapsed="false">
      <c r="B15" s="177" t="s">
        <v>6270</v>
      </c>
      <c r="C15" s="175" t="s">
        <v>6271</v>
      </c>
      <c r="D15" s="233" t="n">
        <v>59000000</v>
      </c>
      <c r="E15" s="34" t="s">
        <v>6272</v>
      </c>
      <c r="F15" s="252" t="s">
        <v>494</v>
      </c>
      <c r="G15" s="26" t="s">
        <v>498</v>
      </c>
      <c r="H15" s="29"/>
    </row>
    <row r="16" customFormat="false" ht="19.5" hidden="false" customHeight="true" outlineLevel="0" collapsed="false">
      <c r="B16" s="170" t="s">
        <v>6273</v>
      </c>
      <c r="C16" s="167" t="s">
        <v>6274</v>
      </c>
      <c r="D16" s="256" t="n">
        <v>0.9</v>
      </c>
      <c r="E16" s="70" t="s">
        <v>6275</v>
      </c>
      <c r="F16" s="254" t="s">
        <v>494</v>
      </c>
      <c r="G16" s="255" t="s">
        <v>498</v>
      </c>
      <c r="H16" s="173"/>
    </row>
    <row r="19" customFormat="false" ht="24" hidden="false" customHeight="true" outlineLevel="0" collapsed="false">
      <c r="B19" s="159" t="s">
        <v>6276</v>
      </c>
      <c r="C19" s="159"/>
      <c r="D19" s="159"/>
      <c r="E19" s="159"/>
      <c r="F19" s="159"/>
      <c r="G19" s="159"/>
      <c r="H19" s="159"/>
    </row>
    <row r="20" customFormat="false" ht="19.5" hidden="false" customHeight="true" outlineLevel="0" collapsed="false">
      <c r="B20" s="258" t="s">
        <v>483</v>
      </c>
      <c r="C20" s="258" t="s">
        <v>6277</v>
      </c>
      <c r="D20" s="258" t="s">
        <v>6278</v>
      </c>
      <c r="E20" s="258" t="s">
        <v>6279</v>
      </c>
      <c r="F20" s="258" t="s">
        <v>1691</v>
      </c>
      <c r="G20" s="258" t="s">
        <v>6280</v>
      </c>
      <c r="H20" s="258" t="s">
        <v>4531</v>
      </c>
    </row>
    <row r="21" customFormat="false" ht="39.75" hidden="false" customHeight="true" outlineLevel="0" collapsed="false">
      <c r="B21" s="259" t="s">
        <v>6281</v>
      </c>
      <c r="C21" s="148" t="s">
        <v>6282</v>
      </c>
      <c r="D21" s="260" t="s">
        <v>6283</v>
      </c>
      <c r="E21" s="261" t="s">
        <v>6284</v>
      </c>
      <c r="F21" s="262" t="s">
        <v>6285</v>
      </c>
      <c r="G21" s="263" t="s">
        <v>6286</v>
      </c>
      <c r="H21" s="51" t="s">
        <v>6287</v>
      </c>
    </row>
    <row r="22" customFormat="false" ht="39.75" hidden="false" customHeight="true" outlineLevel="0" collapsed="false">
      <c r="B22" s="259" t="s">
        <v>6288</v>
      </c>
      <c r="C22" s="148" t="s">
        <v>6289</v>
      </c>
      <c r="D22" s="260" t="s">
        <v>6290</v>
      </c>
      <c r="E22" s="261" t="s">
        <v>6291</v>
      </c>
      <c r="F22" s="262" t="s">
        <v>1939</v>
      </c>
      <c r="G22" s="263" t="s">
        <v>6286</v>
      </c>
      <c r="H22" s="51" t="s">
        <v>6287</v>
      </c>
    </row>
    <row r="23" customFormat="false" ht="39.75" hidden="false" customHeight="true" outlineLevel="0" collapsed="false">
      <c r="B23" s="259" t="s">
        <v>6292</v>
      </c>
      <c r="C23" s="148" t="s">
        <v>6293</v>
      </c>
      <c r="D23" s="260" t="s">
        <v>6294</v>
      </c>
      <c r="E23" s="261" t="s">
        <v>6295</v>
      </c>
      <c r="F23" s="262" t="s">
        <v>6296</v>
      </c>
      <c r="G23" s="263" t="s">
        <v>6286</v>
      </c>
      <c r="H23" s="51" t="s">
        <v>6287</v>
      </c>
    </row>
    <row r="24" customFormat="false" ht="39.75" hidden="false" customHeight="true" outlineLevel="0" collapsed="false">
      <c r="B24" s="259" t="s">
        <v>6297</v>
      </c>
      <c r="C24" s="148" t="s">
        <v>6298</v>
      </c>
      <c r="D24" s="260" t="s">
        <v>6299</v>
      </c>
      <c r="E24" s="261" t="s">
        <v>6300</v>
      </c>
      <c r="F24" s="262" t="s">
        <v>6301</v>
      </c>
      <c r="G24" s="264" t="s">
        <v>6302</v>
      </c>
      <c r="H24" s="218" t="s">
        <v>6303</v>
      </c>
    </row>
    <row r="25" customFormat="false" ht="39.75" hidden="false" customHeight="true" outlineLevel="0" collapsed="false">
      <c r="B25" s="259" t="s">
        <v>6304</v>
      </c>
      <c r="C25" s="148" t="s">
        <v>6305</v>
      </c>
      <c r="D25" s="260" t="s">
        <v>6306</v>
      </c>
      <c r="E25" s="261" t="s">
        <v>6307</v>
      </c>
      <c r="F25" s="262" t="s">
        <v>6301</v>
      </c>
      <c r="G25" s="264" t="s">
        <v>6302</v>
      </c>
      <c r="H25" s="218" t="s">
        <v>6303</v>
      </c>
    </row>
    <row r="26" customFormat="false" ht="39.75" hidden="false" customHeight="true" outlineLevel="0" collapsed="false">
      <c r="B26" s="259" t="s">
        <v>6308</v>
      </c>
      <c r="C26" s="148" t="s">
        <v>6309</v>
      </c>
      <c r="D26" s="260" t="s">
        <v>6310</v>
      </c>
      <c r="E26" s="261" t="s">
        <v>6311</v>
      </c>
      <c r="F26" s="262" t="s">
        <v>1651</v>
      </c>
      <c r="G26" s="265" t="s">
        <v>6312</v>
      </c>
      <c r="H26" s="51" t="s">
        <v>6287</v>
      </c>
    </row>
    <row r="27" customFormat="false" ht="39.75" hidden="false" customHeight="true" outlineLevel="0" collapsed="false">
      <c r="B27" s="259" t="s">
        <v>6313</v>
      </c>
      <c r="C27" s="148" t="s">
        <v>6314</v>
      </c>
      <c r="D27" s="260" t="s">
        <v>6315</v>
      </c>
      <c r="E27" s="261" t="s">
        <v>6316</v>
      </c>
      <c r="F27" s="262" t="s">
        <v>6317</v>
      </c>
      <c r="G27" s="264" t="s">
        <v>6302</v>
      </c>
      <c r="H27" s="218" t="s">
        <v>6303</v>
      </c>
    </row>
    <row r="28" customFormat="false" ht="39.75" hidden="false" customHeight="true" outlineLevel="0" collapsed="false">
      <c r="B28" s="259" t="s">
        <v>6318</v>
      </c>
      <c r="C28" s="148" t="s">
        <v>6319</v>
      </c>
      <c r="D28" s="260" t="s">
        <v>6320</v>
      </c>
      <c r="E28" s="261" t="s">
        <v>6321</v>
      </c>
      <c r="F28" s="262" t="s">
        <v>6322</v>
      </c>
      <c r="G28" s="265" t="s">
        <v>6312</v>
      </c>
      <c r="H28" s="63" t="s">
        <v>6323</v>
      </c>
    </row>
    <row r="29" customFormat="false" ht="39.75" hidden="false" customHeight="true" outlineLevel="0" collapsed="false">
      <c r="B29" s="259" t="s">
        <v>6324</v>
      </c>
      <c r="C29" s="148" t="s">
        <v>6325</v>
      </c>
      <c r="D29" s="260" t="s">
        <v>6326</v>
      </c>
      <c r="E29" s="261" t="s">
        <v>6327</v>
      </c>
      <c r="F29" s="262" t="s">
        <v>6328</v>
      </c>
      <c r="G29" s="265" t="s">
        <v>6312</v>
      </c>
      <c r="H29" s="51" t="s">
        <v>6287</v>
      </c>
    </row>
    <row r="30" customFormat="false" ht="39.75" hidden="false" customHeight="true" outlineLevel="0" collapsed="false">
      <c r="B30" s="259" t="s">
        <v>6329</v>
      </c>
      <c r="C30" s="148" t="s">
        <v>6330</v>
      </c>
      <c r="D30" s="260" t="s">
        <v>6331</v>
      </c>
      <c r="E30" s="261" t="s">
        <v>6332</v>
      </c>
      <c r="F30" s="262" t="s">
        <v>6296</v>
      </c>
      <c r="G30" s="263" t="s">
        <v>6286</v>
      </c>
      <c r="H30" s="51" t="s">
        <v>6287</v>
      </c>
    </row>
    <row r="32" customFormat="false" ht="15" hidden="false" customHeight="true" outlineLevel="0" collapsed="false">
      <c r="B32" s="6" t="s">
        <v>6333</v>
      </c>
    </row>
    <row r="33" customFormat="false" ht="15" hidden="false" customHeight="true" outlineLevel="0" collapsed="false">
      <c r="A33" s="3" t="s">
        <v>6334</v>
      </c>
      <c r="B33" s="3" t="s">
        <v>6335</v>
      </c>
      <c r="C33" s="3" t="s">
        <v>6336</v>
      </c>
      <c r="D33" s="3" t="s">
        <v>6337</v>
      </c>
      <c r="E33" s="3" t="s">
        <v>486</v>
      </c>
      <c r="F33" s="3" t="s">
        <v>6338</v>
      </c>
    </row>
    <row r="34" customFormat="false" ht="15" hidden="false" customHeight="true" outlineLevel="0" collapsed="false">
      <c r="A34" s="4" t="s">
        <v>6339</v>
      </c>
      <c r="B34" s="4" t="s">
        <v>6340</v>
      </c>
      <c r="C34" s="4" t="s">
        <v>559</v>
      </c>
      <c r="D34" s="4" t="s">
        <v>6341</v>
      </c>
      <c r="E34" s="4" t="s">
        <v>6342</v>
      </c>
      <c r="F34" s="4" t="s">
        <v>6343</v>
      </c>
    </row>
    <row r="35" customFormat="false" ht="15" hidden="false" customHeight="true" outlineLevel="0" collapsed="false">
      <c r="A35" s="5" t="s">
        <v>6344</v>
      </c>
      <c r="B35" s="5" t="s">
        <v>6345</v>
      </c>
      <c r="C35" s="5" t="s">
        <v>563</v>
      </c>
      <c r="D35" s="5" t="s">
        <v>6346</v>
      </c>
      <c r="E35" s="5" t="s">
        <v>6347</v>
      </c>
      <c r="F35" s="5" t="s">
        <v>6348</v>
      </c>
    </row>
    <row r="36" customFormat="false" ht="15" hidden="false" customHeight="true" outlineLevel="0" collapsed="false">
      <c r="A36" s="4" t="s">
        <v>6349</v>
      </c>
      <c r="B36" s="4" t="s">
        <v>6350</v>
      </c>
      <c r="C36" s="4" t="s">
        <v>568</v>
      </c>
      <c r="D36" s="4" t="s">
        <v>6346</v>
      </c>
      <c r="E36" s="4" t="s">
        <v>6351</v>
      </c>
      <c r="F36" s="4" t="s">
        <v>6352</v>
      </c>
    </row>
    <row r="37" customFormat="false" ht="15" hidden="false" customHeight="true" outlineLevel="0" collapsed="false">
      <c r="A37" s="5" t="s">
        <v>6353</v>
      </c>
      <c r="B37" s="5" t="s">
        <v>6354</v>
      </c>
      <c r="C37" s="5" t="s">
        <v>572</v>
      </c>
      <c r="D37" s="5" t="s">
        <v>6346</v>
      </c>
      <c r="E37" s="5" t="s">
        <v>6355</v>
      </c>
      <c r="F37" s="5" t="s">
        <v>6356</v>
      </c>
    </row>
    <row r="38" customFormat="false" ht="15" hidden="false" customHeight="true" outlineLevel="0" collapsed="false">
      <c r="A38" s="4" t="s">
        <v>6357</v>
      </c>
      <c r="B38" s="4" t="s">
        <v>6358</v>
      </c>
      <c r="C38" s="4" t="s">
        <v>577</v>
      </c>
      <c r="D38" s="4" t="s">
        <v>6346</v>
      </c>
      <c r="E38" s="4" t="s">
        <v>6359</v>
      </c>
      <c r="F38" s="4" t="s">
        <v>6360</v>
      </c>
    </row>
    <row r="39" customFormat="false" ht="15" hidden="false" customHeight="true" outlineLevel="0" collapsed="false">
      <c r="A39" s="5" t="s">
        <v>6361</v>
      </c>
      <c r="B39" s="5" t="s">
        <v>6362</v>
      </c>
      <c r="C39" s="5" t="s">
        <v>580</v>
      </c>
      <c r="D39" s="5" t="s">
        <v>6346</v>
      </c>
      <c r="E39" s="5" t="s">
        <v>6363</v>
      </c>
      <c r="F39" s="5" t="s">
        <v>5868</v>
      </c>
    </row>
    <row r="40" customFormat="false" ht="15" hidden="false" customHeight="true" outlineLevel="0" collapsed="false">
      <c r="A40" s="4" t="s">
        <v>6364</v>
      </c>
      <c r="B40" s="4" t="s">
        <v>6365</v>
      </c>
      <c r="C40" s="4" t="s">
        <v>583</v>
      </c>
      <c r="D40" s="4" t="s">
        <v>6346</v>
      </c>
      <c r="E40" s="4" t="s">
        <v>6366</v>
      </c>
      <c r="F40" s="4" t="s">
        <v>153</v>
      </c>
    </row>
    <row r="41" customFormat="false" ht="23.25" hidden="false" customHeight="true" outlineLevel="0" collapsed="false">
      <c r="A41" s="5" t="s">
        <v>6367</v>
      </c>
      <c r="B41" s="5" t="s">
        <v>6368</v>
      </c>
      <c r="C41" s="5" t="s">
        <v>586</v>
      </c>
      <c r="D41" s="5" t="s">
        <v>6346</v>
      </c>
      <c r="E41" s="5" t="s">
        <v>6369</v>
      </c>
      <c r="F41" s="5" t="s">
        <v>6370</v>
      </c>
    </row>
    <row r="42" customFormat="false" ht="23.25" hidden="false" customHeight="true" outlineLevel="0" collapsed="false">
      <c r="A42" s="4" t="s">
        <v>6371</v>
      </c>
      <c r="B42" s="4" t="s">
        <v>6372</v>
      </c>
      <c r="C42" s="4" t="s">
        <v>592</v>
      </c>
      <c r="D42" s="4" t="s">
        <v>6346</v>
      </c>
      <c r="E42" s="4" t="s">
        <v>6373</v>
      </c>
      <c r="F42" s="4" t="s">
        <v>1594</v>
      </c>
    </row>
    <row r="43" customFormat="false" ht="23.25" hidden="false" customHeight="true" outlineLevel="0" collapsed="false">
      <c r="A43" s="5" t="s">
        <v>6374</v>
      </c>
      <c r="B43" s="5" t="s">
        <v>6375</v>
      </c>
      <c r="C43" s="5" t="s">
        <v>596</v>
      </c>
      <c r="D43" s="5" t="s">
        <v>6346</v>
      </c>
      <c r="E43" s="5" t="s">
        <v>6376</v>
      </c>
      <c r="F43" s="5" t="s">
        <v>6377</v>
      </c>
    </row>
    <row r="44" customFormat="false" ht="23.25" hidden="false" customHeight="true" outlineLevel="0" collapsed="false">
      <c r="A44" s="4" t="s">
        <v>6378</v>
      </c>
      <c r="B44" s="4" t="s">
        <v>6379</v>
      </c>
      <c r="C44" s="4" t="s">
        <v>601</v>
      </c>
      <c r="D44" s="4" t="s">
        <v>6346</v>
      </c>
      <c r="E44" s="4" t="s">
        <v>6380</v>
      </c>
      <c r="F44" s="4" t="s">
        <v>6381</v>
      </c>
    </row>
    <row r="45" customFormat="false" ht="15" hidden="false" customHeight="true" outlineLevel="0" collapsed="false">
      <c r="A45" s="5" t="s">
        <v>6382</v>
      </c>
      <c r="B45" s="5" t="s">
        <v>6383</v>
      </c>
      <c r="C45" s="5" t="s">
        <v>607</v>
      </c>
      <c r="D45" s="5" t="s">
        <v>6346</v>
      </c>
      <c r="E45" s="5" t="s">
        <v>6384</v>
      </c>
      <c r="F45" s="5" t="s">
        <v>6385</v>
      </c>
    </row>
    <row r="46" customFormat="false" ht="15" hidden="false" customHeight="true" outlineLevel="0" collapsed="false">
      <c r="A46" s="4" t="s">
        <v>6386</v>
      </c>
      <c r="B46" s="4" t="s">
        <v>6387</v>
      </c>
      <c r="C46" s="4" t="s">
        <v>6388</v>
      </c>
      <c r="D46" s="4" t="s">
        <v>6389</v>
      </c>
      <c r="E46" s="4" t="s">
        <v>6390</v>
      </c>
      <c r="F46" s="4" t="s">
        <v>6391</v>
      </c>
    </row>
    <row r="47" customFormat="false" ht="15" hidden="false" customHeight="true" outlineLevel="0" collapsed="false">
      <c r="A47" s="5" t="s">
        <v>6392</v>
      </c>
      <c r="B47" s="5" t="s">
        <v>6393</v>
      </c>
      <c r="C47" s="5" t="s">
        <v>6394</v>
      </c>
      <c r="D47" s="5" t="s">
        <v>6395</v>
      </c>
      <c r="E47" s="5" t="s">
        <v>6396</v>
      </c>
      <c r="F47" s="5" t="s">
        <v>6397</v>
      </c>
    </row>
    <row r="48" customFormat="false" ht="23.25" hidden="false" customHeight="true" outlineLevel="0" collapsed="false">
      <c r="A48" s="4" t="s">
        <v>6398</v>
      </c>
      <c r="B48" s="4" t="s">
        <v>6399</v>
      </c>
      <c r="C48" s="4" t="s">
        <v>6400</v>
      </c>
      <c r="D48" s="4" t="s">
        <v>6389</v>
      </c>
      <c r="E48" s="4" t="s">
        <v>6401</v>
      </c>
      <c r="F48" s="4" t="s">
        <v>6391</v>
      </c>
    </row>
    <row r="49" customFormat="false" ht="15" hidden="false" customHeight="true" outlineLevel="0" collapsed="false">
      <c r="A49" s="5" t="s">
        <v>6402</v>
      </c>
      <c r="B49" s="5" t="s">
        <v>6403</v>
      </c>
      <c r="C49" s="5" t="s">
        <v>6404</v>
      </c>
      <c r="D49" s="5" t="s">
        <v>6389</v>
      </c>
      <c r="E49" s="5" t="s">
        <v>6405</v>
      </c>
      <c r="F49" s="5" t="s">
        <v>6406</v>
      </c>
    </row>
    <row r="50" customFormat="false" ht="15" hidden="false" customHeight="true" outlineLevel="0" collapsed="false">
      <c r="A50" s="4" t="s">
        <v>6407</v>
      </c>
      <c r="B50" s="4" t="s">
        <v>6408</v>
      </c>
      <c r="C50" s="4" t="s">
        <v>6409</v>
      </c>
      <c r="D50" s="4" t="s">
        <v>6346</v>
      </c>
      <c r="E50" s="4" t="s">
        <v>6410</v>
      </c>
      <c r="F50" s="4" t="s">
        <v>6411</v>
      </c>
    </row>
    <row r="51" customFormat="false" ht="15" hidden="false" customHeight="true" outlineLevel="0" collapsed="false">
      <c r="A51" s="5" t="s">
        <v>6412</v>
      </c>
      <c r="B51" s="5" t="s">
        <v>6408</v>
      </c>
      <c r="C51" s="5" t="s">
        <v>6413</v>
      </c>
      <c r="D51" s="5" t="s">
        <v>6346</v>
      </c>
      <c r="E51" s="5" t="s">
        <v>6414</v>
      </c>
      <c r="F51" s="5" t="s">
        <v>6415</v>
      </c>
    </row>
    <row r="52" customFormat="false" ht="15" hidden="false" customHeight="true" outlineLevel="0" collapsed="false">
      <c r="A52" s="4" t="s">
        <v>6416</v>
      </c>
      <c r="B52" s="4" t="s">
        <v>6408</v>
      </c>
      <c r="C52" s="4" t="s">
        <v>6417</v>
      </c>
      <c r="D52" s="4" t="s">
        <v>6346</v>
      </c>
      <c r="E52" s="4" t="s">
        <v>6418</v>
      </c>
      <c r="F52" s="4" t="s">
        <v>1594</v>
      </c>
    </row>
    <row r="55" customFormat="false" ht="15" hidden="false" customHeight="true" outlineLevel="0" collapsed="false">
      <c r="B55" s="6" t="s">
        <v>6419</v>
      </c>
    </row>
    <row r="56" customFormat="false" ht="15" hidden="false" customHeight="true" outlineLevel="0" collapsed="false">
      <c r="A56" s="3" t="s">
        <v>6420</v>
      </c>
      <c r="B56" s="3" t="s">
        <v>6421</v>
      </c>
      <c r="C56" s="3" t="s">
        <v>6422</v>
      </c>
      <c r="D56" s="3" t="s">
        <v>6423</v>
      </c>
      <c r="E56" s="3" t="s">
        <v>6424</v>
      </c>
      <c r="F56" s="3" t="s">
        <v>6425</v>
      </c>
      <c r="G56" s="3" t="s">
        <v>6426</v>
      </c>
      <c r="H56" s="3" t="s">
        <v>6280</v>
      </c>
    </row>
    <row r="57" customFormat="false" ht="23.25" hidden="false" customHeight="true" outlineLevel="0" collapsed="false">
      <c r="A57" s="4" t="s">
        <v>6427</v>
      </c>
      <c r="B57" s="4" t="s">
        <v>6428</v>
      </c>
      <c r="C57" s="4" t="s">
        <v>6429</v>
      </c>
      <c r="D57" s="4" t="s">
        <v>6430</v>
      </c>
      <c r="E57" s="4" t="s">
        <v>6431</v>
      </c>
      <c r="F57" s="4" t="s">
        <v>6432</v>
      </c>
      <c r="G57" s="4" t="s">
        <v>6433</v>
      </c>
      <c r="H57" s="4" t="s">
        <v>6434</v>
      </c>
    </row>
    <row r="58" customFormat="false" ht="23.25" hidden="false" customHeight="true" outlineLevel="0" collapsed="false">
      <c r="A58" s="5" t="s">
        <v>6435</v>
      </c>
      <c r="B58" s="5" t="s">
        <v>6436</v>
      </c>
      <c r="C58" s="5" t="s">
        <v>6437</v>
      </c>
      <c r="D58" s="5" t="s">
        <v>6430</v>
      </c>
      <c r="E58" s="5" t="s">
        <v>6438</v>
      </c>
      <c r="F58" s="5" t="s">
        <v>6432</v>
      </c>
      <c r="G58" s="5" t="s">
        <v>6433</v>
      </c>
      <c r="H58" s="5" t="s">
        <v>6434</v>
      </c>
    </row>
    <row r="59" customFormat="false" ht="15" hidden="false" customHeight="true" outlineLevel="0" collapsed="false">
      <c r="A59" s="4" t="s">
        <v>6439</v>
      </c>
      <c r="B59" s="4" t="s">
        <v>6440</v>
      </c>
      <c r="C59" s="4" t="s">
        <v>6441</v>
      </c>
      <c r="D59" s="4" t="s">
        <v>6442</v>
      </c>
      <c r="E59" s="4" t="s">
        <v>6443</v>
      </c>
      <c r="F59" s="4" t="s">
        <v>6444</v>
      </c>
      <c r="G59" s="4" t="s">
        <v>6445</v>
      </c>
      <c r="H59" s="4" t="s">
        <v>6446</v>
      </c>
    </row>
    <row r="60" customFormat="false" ht="23.25" hidden="false" customHeight="true" outlineLevel="0" collapsed="false">
      <c r="A60" s="5" t="s">
        <v>6447</v>
      </c>
      <c r="B60" s="5" t="s">
        <v>6448</v>
      </c>
      <c r="C60" s="5" t="s">
        <v>6449</v>
      </c>
      <c r="D60" s="5" t="s">
        <v>6450</v>
      </c>
      <c r="E60" s="5" t="s">
        <v>6451</v>
      </c>
      <c r="F60" s="5" t="s">
        <v>6432</v>
      </c>
      <c r="G60" s="5" t="s">
        <v>540</v>
      </c>
      <c r="H60" s="5" t="s">
        <v>6434</v>
      </c>
    </row>
    <row r="61" customFormat="false" ht="15" hidden="false" customHeight="true" outlineLevel="0" collapsed="false">
      <c r="A61" s="4" t="s">
        <v>6452</v>
      </c>
      <c r="B61" s="4" t="s">
        <v>6453</v>
      </c>
      <c r="C61" s="4" t="s">
        <v>6454</v>
      </c>
      <c r="D61" s="4" t="s">
        <v>6455</v>
      </c>
      <c r="E61" s="4" t="s">
        <v>6456</v>
      </c>
      <c r="F61" s="4" t="s">
        <v>6457</v>
      </c>
      <c r="G61" s="4" t="s">
        <v>6445</v>
      </c>
      <c r="H61" s="4" t="s">
        <v>6446</v>
      </c>
    </row>
    <row r="62" customFormat="false" ht="23.25" hidden="false" customHeight="true" outlineLevel="0" collapsed="false">
      <c r="A62" s="5" t="s">
        <v>6458</v>
      </c>
      <c r="B62" s="5" t="s">
        <v>6459</v>
      </c>
      <c r="C62" s="5" t="s">
        <v>550</v>
      </c>
      <c r="D62" s="5" t="s">
        <v>3638</v>
      </c>
      <c r="E62" s="5" t="s">
        <v>6460</v>
      </c>
      <c r="F62" s="5" t="s">
        <v>6461</v>
      </c>
      <c r="G62" s="5" t="s">
        <v>3643</v>
      </c>
      <c r="H62" s="5" t="s">
        <v>6462</v>
      </c>
    </row>
    <row r="63" customFormat="false" ht="23.25" hidden="false" customHeight="true" outlineLevel="0" collapsed="false">
      <c r="A63" s="4" t="s">
        <v>6463</v>
      </c>
      <c r="B63" s="4" t="s">
        <v>6464</v>
      </c>
      <c r="C63" s="4" t="s">
        <v>550</v>
      </c>
      <c r="D63" s="4" t="s">
        <v>3628</v>
      </c>
      <c r="E63" s="4" t="s">
        <v>6465</v>
      </c>
      <c r="F63" s="4" t="s">
        <v>6466</v>
      </c>
      <c r="G63" s="4" t="s">
        <v>6467</v>
      </c>
      <c r="H63" s="4" t="s">
        <v>6446</v>
      </c>
    </row>
    <row r="64" customFormat="false" ht="23.25" hidden="false" customHeight="true" outlineLevel="0" collapsed="false">
      <c r="A64" s="5" t="s">
        <v>6468</v>
      </c>
      <c r="B64" s="5" t="s">
        <v>6469</v>
      </c>
      <c r="C64" s="5" t="s">
        <v>550</v>
      </c>
      <c r="D64" s="5" t="s">
        <v>6470</v>
      </c>
      <c r="E64" s="5" t="s">
        <v>6471</v>
      </c>
      <c r="F64" s="5" t="s">
        <v>6472</v>
      </c>
      <c r="G64" s="5" t="s">
        <v>3628</v>
      </c>
      <c r="H64" s="5" t="s">
        <v>6446</v>
      </c>
    </row>
    <row r="65" customFormat="false" ht="23.25" hidden="false" customHeight="true" outlineLevel="0" collapsed="false">
      <c r="A65" s="4" t="s">
        <v>6473</v>
      </c>
      <c r="B65" s="4" t="s">
        <v>6474</v>
      </c>
      <c r="C65" s="4" t="s">
        <v>6475</v>
      </c>
      <c r="D65" s="4" t="s">
        <v>6476</v>
      </c>
      <c r="E65" s="4" t="s">
        <v>6477</v>
      </c>
      <c r="F65" s="4" t="s">
        <v>875</v>
      </c>
      <c r="G65" s="4" t="s">
        <v>6445</v>
      </c>
      <c r="H65" s="4" t="s">
        <v>6446</v>
      </c>
    </row>
    <row r="66" customFormat="false" ht="23.25" hidden="false" customHeight="true" outlineLevel="0" collapsed="false">
      <c r="A66" s="5" t="s">
        <v>6478</v>
      </c>
      <c r="B66" s="5" t="s">
        <v>6479</v>
      </c>
      <c r="C66" s="5" t="s">
        <v>550</v>
      </c>
      <c r="D66" s="5" t="s">
        <v>1592</v>
      </c>
      <c r="E66" s="5" t="s">
        <v>6480</v>
      </c>
      <c r="F66" s="5" t="s">
        <v>6481</v>
      </c>
      <c r="G66" s="5" t="s">
        <v>6482</v>
      </c>
      <c r="H66" s="5" t="s">
        <v>6483</v>
      </c>
    </row>
    <row r="69" customFormat="false" ht="15" hidden="false" customHeight="false" outlineLevel="0" collapsed="false">
      <c r="A69" s="72" t="s">
        <v>6484</v>
      </c>
    </row>
    <row r="71" customFormat="false" ht="15" hidden="false" customHeight="false" outlineLevel="0" collapsed="false">
      <c r="A71" s="3" t="s">
        <v>6485</v>
      </c>
      <c r="B71" s="3" t="s">
        <v>6486</v>
      </c>
      <c r="C71" s="3" t="s">
        <v>6487</v>
      </c>
      <c r="D71" s="3" t="s">
        <v>6488</v>
      </c>
      <c r="E71" s="3" t="s">
        <v>6489</v>
      </c>
      <c r="F71" s="3" t="s">
        <v>6490</v>
      </c>
      <c r="G71" s="3" t="s">
        <v>6491</v>
      </c>
    </row>
    <row r="72" customFormat="false" ht="23.85" hidden="false" customHeight="false" outlineLevel="0" collapsed="false">
      <c r="A72" s="73" t="s">
        <v>6492</v>
      </c>
      <c r="B72" s="73" t="s">
        <v>6493</v>
      </c>
      <c r="C72" s="73" t="s">
        <v>6494</v>
      </c>
      <c r="D72" s="73" t="s">
        <v>6495</v>
      </c>
      <c r="E72" s="73" t="s">
        <v>6496</v>
      </c>
      <c r="F72" s="73" t="s">
        <v>6497</v>
      </c>
      <c r="G72" s="73" t="s">
        <v>6498</v>
      </c>
    </row>
    <row r="73" customFormat="false" ht="23.85" hidden="false" customHeight="false" outlineLevel="0" collapsed="false">
      <c r="A73" s="75" t="s">
        <v>6499</v>
      </c>
      <c r="B73" s="75" t="s">
        <v>6500</v>
      </c>
      <c r="C73" s="75" t="s">
        <v>6501</v>
      </c>
      <c r="D73" s="75" t="s">
        <v>6502</v>
      </c>
      <c r="E73" s="75" t="s">
        <v>6503</v>
      </c>
      <c r="F73" s="75" t="s">
        <v>6504</v>
      </c>
      <c r="G73" s="75" t="s">
        <v>6498</v>
      </c>
    </row>
    <row r="74" customFormat="false" ht="23.85" hidden="false" customHeight="false" outlineLevel="0" collapsed="false">
      <c r="A74" s="73" t="s">
        <v>6505</v>
      </c>
      <c r="B74" s="73" t="s">
        <v>6506</v>
      </c>
      <c r="C74" s="73" t="s">
        <v>6507</v>
      </c>
      <c r="D74" s="73" t="s">
        <v>6497</v>
      </c>
      <c r="E74" s="73" t="s">
        <v>6508</v>
      </c>
      <c r="F74" s="73" t="s">
        <v>6509</v>
      </c>
      <c r="G74" s="73" t="s">
        <v>6510</v>
      </c>
    </row>
    <row r="75" customFormat="false" ht="23.85" hidden="false" customHeight="false" outlineLevel="0" collapsed="false">
      <c r="A75" s="75" t="s">
        <v>6511</v>
      </c>
      <c r="B75" s="75" t="s">
        <v>6512</v>
      </c>
      <c r="C75" s="75" t="s">
        <v>6513</v>
      </c>
      <c r="D75" s="75" t="s">
        <v>6514</v>
      </c>
      <c r="E75" s="75" t="s">
        <v>6515</v>
      </c>
      <c r="F75" s="75" t="s">
        <v>6516</v>
      </c>
      <c r="G75" s="75" t="s">
        <v>6510</v>
      </c>
    </row>
    <row r="76" customFormat="false" ht="23.85" hidden="false" customHeight="false" outlineLevel="0" collapsed="false">
      <c r="A76" s="73" t="s">
        <v>6517</v>
      </c>
      <c r="B76" s="73" t="s">
        <v>6518</v>
      </c>
      <c r="C76" s="73" t="s">
        <v>6519</v>
      </c>
      <c r="D76" s="73" t="s">
        <v>6520</v>
      </c>
      <c r="E76" s="73" t="s">
        <v>6521</v>
      </c>
      <c r="F76" s="73" t="s">
        <v>6522</v>
      </c>
      <c r="G76" s="73" t="s">
        <v>6510</v>
      </c>
    </row>
    <row r="77" customFormat="false" ht="23.85" hidden="false" customHeight="false" outlineLevel="0" collapsed="false">
      <c r="A77" s="75" t="s">
        <v>6523</v>
      </c>
      <c r="B77" s="75" t="s">
        <v>6524</v>
      </c>
      <c r="C77" s="75" t="s">
        <v>6525</v>
      </c>
      <c r="D77" s="75" t="s">
        <v>6526</v>
      </c>
      <c r="E77" s="75" t="s">
        <v>6527</v>
      </c>
      <c r="F77" s="75" t="s">
        <v>6528</v>
      </c>
      <c r="G77" s="75" t="s">
        <v>6510</v>
      </c>
    </row>
    <row r="78" customFormat="false" ht="23.85" hidden="false" customHeight="false" outlineLevel="0" collapsed="false">
      <c r="A78" s="73" t="s">
        <v>6529</v>
      </c>
      <c r="B78" s="73" t="s">
        <v>6530</v>
      </c>
      <c r="C78" s="73" t="s">
        <v>6531</v>
      </c>
      <c r="D78" s="73" t="s">
        <v>6532</v>
      </c>
      <c r="E78" s="73" t="s">
        <v>6533</v>
      </c>
      <c r="F78" s="73" t="s">
        <v>6534</v>
      </c>
      <c r="G78" s="73" t="s">
        <v>6535</v>
      </c>
    </row>
    <row r="79" customFormat="false" ht="23.85" hidden="false" customHeight="false" outlineLevel="0" collapsed="false">
      <c r="A79" s="75" t="s">
        <v>6536</v>
      </c>
      <c r="B79" s="75" t="s">
        <v>6537</v>
      </c>
      <c r="C79" s="75" t="s">
        <v>6538</v>
      </c>
      <c r="D79" s="75" t="s">
        <v>6539</v>
      </c>
      <c r="E79" s="75" t="s">
        <v>6540</v>
      </c>
      <c r="F79" s="75" t="s">
        <v>6541</v>
      </c>
      <c r="G79" s="75" t="s">
        <v>6542</v>
      </c>
    </row>
    <row r="80" customFormat="false" ht="23.85" hidden="false" customHeight="false" outlineLevel="0" collapsed="false">
      <c r="A80" s="73" t="s">
        <v>6543</v>
      </c>
      <c r="B80" s="73" t="s">
        <v>6544</v>
      </c>
      <c r="C80" s="73" t="s">
        <v>6545</v>
      </c>
      <c r="D80" s="73" t="s">
        <v>6546</v>
      </c>
      <c r="E80" s="73" t="s">
        <v>6547</v>
      </c>
      <c r="F80" s="73" t="s">
        <v>6548</v>
      </c>
      <c r="G80" s="73" t="s">
        <v>6535</v>
      </c>
    </row>
    <row r="81" customFormat="false" ht="23.85" hidden="false" customHeight="false" outlineLevel="0" collapsed="false">
      <c r="A81" s="75" t="s">
        <v>6549</v>
      </c>
      <c r="B81" s="75" t="s">
        <v>6550</v>
      </c>
      <c r="C81" s="75" t="s">
        <v>6551</v>
      </c>
      <c r="D81" s="75" t="s">
        <v>6552</v>
      </c>
      <c r="E81" s="75" t="s">
        <v>6553</v>
      </c>
      <c r="F81" s="75" t="s">
        <v>6520</v>
      </c>
      <c r="G81" s="75" t="s">
        <v>6554</v>
      </c>
    </row>
    <row r="83" customFormat="false" ht="15" hidden="false" customHeight="false" outlineLevel="0" collapsed="false">
      <c r="A83" s="266" t="s">
        <v>6555</v>
      </c>
    </row>
  </sheetData>
  <mergeCells count="3">
    <mergeCell ref="B1:H1"/>
    <mergeCell ref="B3:H3"/>
    <mergeCell ref="B19:H19"/>
  </mergeCells>
  <hyperlinks>
    <hyperlink ref="A83" r:id="rId1" location="'P.%20Setup%20&amp;%20Đồng%20Bộ'!A1" display="Chi tiết đầy đủ 100 bước setup → Xem Sheet &quot;P. Setup &amp; Đồng Bộ&quo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false"/>
  </sheetPr>
  <dimension ref="A1:P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6" min="1" style="1" width="22"/>
  </cols>
  <sheetData>
    <row r="1" customFormat="false" ht="17.25" hidden="false" customHeight="true" outlineLevel="0" collapsed="false">
      <c r="A1" s="2" t="s">
        <v>6556</v>
      </c>
    </row>
    <row r="2" customFormat="false" ht="15" hidden="false" customHeight="true" outlineLevel="0" collapsed="false">
      <c r="A2" s="267" t="s">
        <v>6557</v>
      </c>
    </row>
    <row r="4" customFormat="false" ht="15" hidden="false" customHeight="true" outlineLevel="0" collapsed="false">
      <c r="A4" s="6" t="s">
        <v>6558</v>
      </c>
    </row>
    <row r="5" customFormat="false" ht="15" hidden="false" customHeight="true" outlineLevel="0" collapsed="false">
      <c r="A5" s="3" t="s">
        <v>483</v>
      </c>
      <c r="B5" s="3" t="s">
        <v>6559</v>
      </c>
      <c r="C5" s="3" t="s">
        <v>3</v>
      </c>
      <c r="D5" s="3" t="s">
        <v>6560</v>
      </c>
      <c r="E5" s="3" t="s">
        <v>1838</v>
      </c>
      <c r="F5" s="3" t="s">
        <v>6561</v>
      </c>
      <c r="G5" s="3" t="s">
        <v>6562</v>
      </c>
      <c r="H5" s="3" t="s">
        <v>6563</v>
      </c>
      <c r="I5" s="3" t="s">
        <v>6564</v>
      </c>
      <c r="J5" s="3" t="s">
        <v>6565</v>
      </c>
      <c r="K5" s="3" t="s">
        <v>6566</v>
      </c>
      <c r="L5" s="3" t="s">
        <v>6567</v>
      </c>
      <c r="M5" s="3" t="s">
        <v>6568</v>
      </c>
      <c r="N5" s="3" t="s">
        <v>6569</v>
      </c>
      <c r="O5" s="3" t="s">
        <v>6570</v>
      </c>
      <c r="P5" s="3" t="s">
        <v>412</v>
      </c>
    </row>
    <row r="6" customFormat="false" ht="34.5" hidden="false" customHeight="true" outlineLevel="0" collapsed="false">
      <c r="A6" s="4" t="n">
        <v>1</v>
      </c>
      <c r="B6" s="4" t="s">
        <v>6571</v>
      </c>
      <c r="C6" s="4" t="s">
        <v>233</v>
      </c>
      <c r="D6" s="4" t="s">
        <v>6572</v>
      </c>
      <c r="E6" s="4" t="s">
        <v>6573</v>
      </c>
      <c r="F6" s="4" t="s">
        <v>6574</v>
      </c>
      <c r="G6" s="4" t="s">
        <v>6575</v>
      </c>
      <c r="H6" s="4" t="s">
        <v>6576</v>
      </c>
      <c r="I6" s="4" t="n">
        <v>120</v>
      </c>
      <c r="J6" s="4" t="n">
        <v>72</v>
      </c>
      <c r="K6" s="4" t="s">
        <v>6577</v>
      </c>
      <c r="L6" s="4" t="s">
        <v>6578</v>
      </c>
      <c r="M6" s="4" t="n">
        <v>60000000</v>
      </c>
      <c r="N6" s="4" t="s">
        <v>6579</v>
      </c>
      <c r="O6" s="4" t="s">
        <v>3630</v>
      </c>
      <c r="P6" s="4" t="s">
        <v>1759</v>
      </c>
    </row>
    <row r="7" customFormat="false" ht="23.25" hidden="false" customHeight="true" outlineLevel="0" collapsed="false">
      <c r="A7" s="5" t="n">
        <v>2</v>
      </c>
      <c r="B7" s="5" t="s">
        <v>6580</v>
      </c>
      <c r="C7" s="5" t="s">
        <v>243</v>
      </c>
      <c r="D7" s="5" t="s">
        <v>6581</v>
      </c>
      <c r="E7" s="5" t="s">
        <v>6573</v>
      </c>
      <c r="F7" s="5" t="s">
        <v>6574</v>
      </c>
      <c r="G7" s="5" t="s">
        <v>6582</v>
      </c>
      <c r="H7" s="5" t="s">
        <v>6583</v>
      </c>
      <c r="I7" s="5" t="n">
        <v>150</v>
      </c>
      <c r="J7" s="5" t="n">
        <v>90</v>
      </c>
      <c r="K7" s="5" t="s">
        <v>6577</v>
      </c>
      <c r="L7" s="5" t="s">
        <v>6584</v>
      </c>
      <c r="M7" s="5" t="n">
        <v>75000000</v>
      </c>
      <c r="N7" s="5" t="s">
        <v>6579</v>
      </c>
      <c r="O7" s="5" t="s">
        <v>3630</v>
      </c>
      <c r="P7" s="5" t="s">
        <v>1759</v>
      </c>
    </row>
    <row r="8" customFormat="false" ht="23.25" hidden="false" customHeight="true" outlineLevel="0" collapsed="false">
      <c r="A8" s="4" t="n">
        <v>3</v>
      </c>
      <c r="B8" s="4" t="s">
        <v>6585</v>
      </c>
      <c r="C8" s="4" t="s">
        <v>153</v>
      </c>
      <c r="D8" s="4" t="s">
        <v>6586</v>
      </c>
      <c r="E8" s="4" t="s">
        <v>6587</v>
      </c>
      <c r="F8" s="4" t="s">
        <v>6574</v>
      </c>
      <c r="G8" s="4" t="s">
        <v>6588</v>
      </c>
      <c r="H8" s="4" t="s">
        <v>6589</v>
      </c>
      <c r="I8" s="4" t="n">
        <v>100</v>
      </c>
      <c r="J8" s="4" t="n">
        <v>65</v>
      </c>
      <c r="K8" s="4" t="s">
        <v>6590</v>
      </c>
      <c r="L8" s="4" t="s">
        <v>6591</v>
      </c>
      <c r="M8" s="4" t="n">
        <v>40000000</v>
      </c>
      <c r="N8" s="4" t="s">
        <v>6592</v>
      </c>
      <c r="O8" s="4" t="s">
        <v>3630</v>
      </c>
      <c r="P8" s="4" t="s">
        <v>1759</v>
      </c>
    </row>
    <row r="9" customFormat="false" ht="34.5" hidden="false" customHeight="true" outlineLevel="0" collapsed="false">
      <c r="A9" s="5" t="n">
        <v>4</v>
      </c>
      <c r="B9" s="5" t="s">
        <v>6593</v>
      </c>
      <c r="C9" s="5" t="s">
        <v>195</v>
      </c>
      <c r="D9" s="5" t="s">
        <v>6594</v>
      </c>
      <c r="E9" s="5" t="s">
        <v>6573</v>
      </c>
      <c r="F9" s="5" t="s">
        <v>6574</v>
      </c>
      <c r="G9" s="5" t="s">
        <v>6595</v>
      </c>
      <c r="H9" s="5" t="s">
        <v>6596</v>
      </c>
      <c r="I9" s="5" t="n">
        <v>120</v>
      </c>
      <c r="J9" s="5" t="n">
        <v>72</v>
      </c>
      <c r="K9" s="5" t="s">
        <v>6577</v>
      </c>
      <c r="L9" s="5" t="s">
        <v>6597</v>
      </c>
      <c r="M9" s="5" t="n">
        <v>50000000</v>
      </c>
      <c r="N9" s="5" t="s">
        <v>6598</v>
      </c>
      <c r="O9" s="5" t="s">
        <v>3630</v>
      </c>
      <c r="P9" s="5" t="s">
        <v>1759</v>
      </c>
    </row>
    <row r="10" customFormat="false" ht="23.25" hidden="false" customHeight="true" outlineLevel="0" collapsed="false">
      <c r="A10" s="4" t="n">
        <v>5</v>
      </c>
      <c r="B10" s="4" t="s">
        <v>6599</v>
      </c>
      <c r="C10" s="4" t="s">
        <v>233</v>
      </c>
      <c r="D10" s="4" t="s">
        <v>6600</v>
      </c>
      <c r="E10" s="4" t="s">
        <v>6573</v>
      </c>
      <c r="F10" s="4" t="s">
        <v>6574</v>
      </c>
      <c r="G10" s="4" t="s">
        <v>6601</v>
      </c>
      <c r="H10" s="4" t="s">
        <v>6602</v>
      </c>
      <c r="I10" s="4" t="n">
        <v>130</v>
      </c>
      <c r="J10" s="4" t="n">
        <v>78</v>
      </c>
      <c r="K10" s="4" t="s">
        <v>6577</v>
      </c>
      <c r="L10" s="4" t="s">
        <v>6603</v>
      </c>
      <c r="M10" s="4" t="n">
        <v>55000000</v>
      </c>
      <c r="N10" s="4" t="s">
        <v>6598</v>
      </c>
      <c r="O10" s="4" t="s">
        <v>3630</v>
      </c>
      <c r="P10" s="4" t="s">
        <v>1759</v>
      </c>
    </row>
    <row r="11" customFormat="false" ht="23.25" hidden="false" customHeight="true" outlineLevel="0" collapsed="false">
      <c r="A11" s="5" t="n">
        <v>6</v>
      </c>
      <c r="B11" s="5" t="s">
        <v>6604</v>
      </c>
      <c r="C11" s="5" t="s">
        <v>243</v>
      </c>
      <c r="D11" s="5" t="s">
        <v>6605</v>
      </c>
      <c r="E11" s="5" t="s">
        <v>6573</v>
      </c>
      <c r="F11" s="5" t="s">
        <v>6574</v>
      </c>
      <c r="G11" s="5" t="s">
        <v>6606</v>
      </c>
      <c r="H11" s="5" t="s">
        <v>6607</v>
      </c>
      <c r="I11" s="5" t="n">
        <v>160</v>
      </c>
      <c r="J11" s="5" t="n">
        <v>96</v>
      </c>
      <c r="K11" s="5" t="s">
        <v>6577</v>
      </c>
      <c r="L11" s="5" t="s">
        <v>6608</v>
      </c>
      <c r="M11" s="5" t="n">
        <v>80000000</v>
      </c>
      <c r="N11" s="5" t="s">
        <v>6579</v>
      </c>
      <c r="O11" s="5" t="s">
        <v>6609</v>
      </c>
      <c r="P11" s="5" t="s">
        <v>1759</v>
      </c>
    </row>
    <row r="12" customFormat="false" ht="23.25" hidden="false" customHeight="true" outlineLevel="0" collapsed="false">
      <c r="A12" s="4" t="n">
        <v>7</v>
      </c>
      <c r="B12" s="4" t="s">
        <v>6610</v>
      </c>
      <c r="C12" s="4" t="s">
        <v>1160</v>
      </c>
      <c r="D12" s="4" t="s">
        <v>6611</v>
      </c>
      <c r="E12" s="4" t="s">
        <v>6612</v>
      </c>
      <c r="F12" s="4" t="s">
        <v>6613</v>
      </c>
      <c r="G12" s="4" t="s">
        <v>6614</v>
      </c>
      <c r="H12" s="4" t="s">
        <v>6615</v>
      </c>
      <c r="I12" s="4" t="n">
        <v>200</v>
      </c>
      <c r="J12" s="4" t="n">
        <v>120</v>
      </c>
      <c r="K12" s="4" t="s">
        <v>6577</v>
      </c>
      <c r="L12" s="4" t="s">
        <v>6616</v>
      </c>
      <c r="M12" s="4" t="n">
        <v>40000000</v>
      </c>
      <c r="N12" s="4" t="s">
        <v>6617</v>
      </c>
      <c r="O12" s="4" t="s">
        <v>3630</v>
      </c>
      <c r="P12" s="4" t="s">
        <v>1759</v>
      </c>
    </row>
    <row r="13" customFormat="false" ht="23.25" hidden="false" customHeight="true" outlineLevel="0" collapsed="false">
      <c r="A13" s="5" t="n">
        <v>8</v>
      </c>
      <c r="B13" s="5" t="s">
        <v>6618</v>
      </c>
      <c r="C13" s="5" t="s">
        <v>448</v>
      </c>
      <c r="D13" s="5" t="s">
        <v>6619</v>
      </c>
      <c r="E13" s="5" t="s">
        <v>6587</v>
      </c>
      <c r="F13" s="5" t="s">
        <v>6620</v>
      </c>
      <c r="G13" s="5" t="s">
        <v>6621</v>
      </c>
      <c r="H13" s="5" t="s">
        <v>6622</v>
      </c>
      <c r="I13" s="5" t="n">
        <v>80</v>
      </c>
      <c r="J13" s="5" t="n">
        <v>48</v>
      </c>
      <c r="K13" s="5" t="s">
        <v>6577</v>
      </c>
      <c r="L13" s="5" t="s">
        <v>6623</v>
      </c>
      <c r="M13" s="5" t="n">
        <v>25000000</v>
      </c>
      <c r="N13" s="5" t="s">
        <v>6598</v>
      </c>
      <c r="O13" s="5" t="s">
        <v>6624</v>
      </c>
      <c r="P13" s="5" t="s">
        <v>1759</v>
      </c>
    </row>
    <row r="16" customFormat="false" ht="15" hidden="false" customHeight="true" outlineLevel="0" collapsed="false">
      <c r="A16" s="6" t="s">
        <v>6625</v>
      </c>
    </row>
    <row r="17" customFormat="false" ht="15" hidden="false" customHeight="true" outlineLevel="0" collapsed="false">
      <c r="A17" s="3" t="s">
        <v>252</v>
      </c>
      <c r="B17" s="3" t="s">
        <v>1838</v>
      </c>
      <c r="C17" s="3" t="s">
        <v>1839</v>
      </c>
      <c r="D17" s="3" t="s">
        <v>1754</v>
      </c>
      <c r="E17" s="3" t="s">
        <v>1843</v>
      </c>
      <c r="F17" s="3" t="s">
        <v>1840</v>
      </c>
      <c r="G17" s="3" t="s">
        <v>412</v>
      </c>
    </row>
    <row r="18" customFormat="false" ht="23.25" hidden="false" customHeight="true" outlineLevel="0" collapsed="false">
      <c r="A18" s="4" t="s">
        <v>6626</v>
      </c>
      <c r="B18" s="4" t="s">
        <v>6627</v>
      </c>
      <c r="C18" s="4" t="s">
        <v>6628</v>
      </c>
      <c r="D18" s="4" t="s">
        <v>6629</v>
      </c>
      <c r="E18" s="4" t="s">
        <v>498</v>
      </c>
      <c r="F18" s="4" t="s">
        <v>6630</v>
      </c>
      <c r="G18" s="4" t="s">
        <v>1759</v>
      </c>
    </row>
    <row r="19" customFormat="false" ht="34.5" hidden="false" customHeight="true" outlineLevel="0" collapsed="false">
      <c r="A19" s="5" t="s">
        <v>6626</v>
      </c>
      <c r="B19" s="5" t="s">
        <v>6627</v>
      </c>
      <c r="C19" s="5" t="s">
        <v>6631</v>
      </c>
      <c r="D19" s="5" t="s">
        <v>6632</v>
      </c>
      <c r="E19" s="5" t="s">
        <v>610</v>
      </c>
      <c r="F19" s="5" t="s">
        <v>6633</v>
      </c>
      <c r="G19" s="5" t="s">
        <v>1759</v>
      </c>
    </row>
    <row r="20" customFormat="false" ht="23.25" hidden="false" customHeight="true" outlineLevel="0" collapsed="false">
      <c r="A20" s="4" t="s">
        <v>6634</v>
      </c>
      <c r="B20" s="4" t="s">
        <v>6635</v>
      </c>
      <c r="C20" s="4" t="s">
        <v>6636</v>
      </c>
      <c r="D20" s="4" t="s">
        <v>6637</v>
      </c>
      <c r="E20" s="4" t="s">
        <v>6638</v>
      </c>
      <c r="F20" s="4" t="s">
        <v>6639</v>
      </c>
      <c r="G20" s="4" t="s">
        <v>1759</v>
      </c>
    </row>
    <row r="21" customFormat="false" ht="34.5" hidden="false" customHeight="true" outlineLevel="0" collapsed="false">
      <c r="A21" s="5" t="s">
        <v>6634</v>
      </c>
      <c r="B21" s="5" t="s">
        <v>6635</v>
      </c>
      <c r="C21" s="5" t="s">
        <v>6640</v>
      </c>
      <c r="D21" s="5" t="s">
        <v>6641</v>
      </c>
      <c r="E21" s="5" t="s">
        <v>604</v>
      </c>
      <c r="F21" s="5" t="s">
        <v>6642</v>
      </c>
      <c r="G21" s="5" t="s">
        <v>1759</v>
      </c>
    </row>
    <row r="22" customFormat="false" ht="34.5" hidden="false" customHeight="true" outlineLevel="0" collapsed="false">
      <c r="A22" s="4" t="s">
        <v>6634</v>
      </c>
      <c r="B22" s="4" t="s">
        <v>6635</v>
      </c>
      <c r="C22" s="4" t="s">
        <v>6643</v>
      </c>
      <c r="D22" s="4" t="s">
        <v>6644</v>
      </c>
      <c r="E22" s="4" t="s">
        <v>610</v>
      </c>
      <c r="F22" s="4" t="s">
        <v>6598</v>
      </c>
      <c r="G22" s="4" t="s">
        <v>1759</v>
      </c>
    </row>
    <row r="23" customFormat="false" ht="45.75" hidden="false" customHeight="true" outlineLevel="0" collapsed="false">
      <c r="A23" s="5" t="s">
        <v>6634</v>
      </c>
      <c r="B23" s="5" t="s">
        <v>6635</v>
      </c>
      <c r="C23" s="5" t="s">
        <v>6645</v>
      </c>
      <c r="D23" s="5" t="s">
        <v>6646</v>
      </c>
      <c r="E23" s="5" t="s">
        <v>4923</v>
      </c>
      <c r="F23" s="5" t="s">
        <v>6570</v>
      </c>
      <c r="G23" s="5" t="s">
        <v>1759</v>
      </c>
    </row>
    <row r="24" customFormat="false" ht="23.25" hidden="false" customHeight="true" outlineLevel="0" collapsed="false">
      <c r="A24" s="4" t="s">
        <v>6647</v>
      </c>
      <c r="B24" s="4" t="s">
        <v>6648</v>
      </c>
      <c r="C24" s="4" t="s">
        <v>6649</v>
      </c>
      <c r="D24" s="4" t="s">
        <v>6650</v>
      </c>
      <c r="E24" s="4" t="s">
        <v>498</v>
      </c>
      <c r="F24" s="4" t="s">
        <v>6651</v>
      </c>
      <c r="G24" s="4" t="s">
        <v>1759</v>
      </c>
    </row>
    <row r="25" customFormat="false" ht="23.25" hidden="false" customHeight="true" outlineLevel="0" collapsed="false">
      <c r="A25" s="5" t="s">
        <v>6647</v>
      </c>
      <c r="B25" s="5" t="s">
        <v>6648</v>
      </c>
      <c r="C25" s="5" t="s">
        <v>6652</v>
      </c>
      <c r="D25" s="5" t="s">
        <v>6653</v>
      </c>
      <c r="E25" s="5" t="s">
        <v>6654</v>
      </c>
      <c r="F25" s="5" t="s">
        <v>6655</v>
      </c>
      <c r="G25" s="5" t="s">
        <v>1759</v>
      </c>
    </row>
    <row r="26" customFormat="false" ht="23.25" hidden="false" customHeight="true" outlineLevel="0" collapsed="false">
      <c r="A26" s="4" t="s">
        <v>6647</v>
      </c>
      <c r="B26" s="4" t="s">
        <v>6648</v>
      </c>
      <c r="C26" s="4" t="s">
        <v>6656</v>
      </c>
      <c r="D26" s="4" t="s">
        <v>6657</v>
      </c>
      <c r="E26" s="4" t="s">
        <v>4923</v>
      </c>
      <c r="F26" s="4" t="s">
        <v>6658</v>
      </c>
      <c r="G26" s="4" t="s">
        <v>1759</v>
      </c>
    </row>
    <row r="27" customFormat="false" ht="23.25" hidden="false" customHeight="true" outlineLevel="0" collapsed="false">
      <c r="A27" s="5" t="s">
        <v>6659</v>
      </c>
      <c r="B27" s="5" t="s">
        <v>6660</v>
      </c>
      <c r="C27" s="5" t="s">
        <v>3863</v>
      </c>
      <c r="D27" s="5" t="s">
        <v>6661</v>
      </c>
      <c r="E27" s="5" t="s">
        <v>4923</v>
      </c>
      <c r="F27" s="5" t="s">
        <v>6662</v>
      </c>
      <c r="G27" s="5" t="s">
        <v>1759</v>
      </c>
    </row>
    <row r="28" customFormat="false" ht="23.25" hidden="false" customHeight="true" outlineLevel="0" collapsed="false">
      <c r="A28" s="4" t="s">
        <v>6659</v>
      </c>
      <c r="B28" s="4" t="s">
        <v>6663</v>
      </c>
      <c r="C28" s="4" t="s">
        <v>6664</v>
      </c>
      <c r="D28" s="4" t="s">
        <v>6665</v>
      </c>
      <c r="E28" s="4" t="s">
        <v>6638</v>
      </c>
      <c r="F28" s="4" t="s">
        <v>6620</v>
      </c>
      <c r="G28" s="4" t="s">
        <v>1759</v>
      </c>
    </row>
    <row r="29" customFormat="false" ht="23.25" hidden="false" customHeight="true" outlineLevel="0" collapsed="false">
      <c r="A29" s="5" t="s">
        <v>6659</v>
      </c>
      <c r="B29" s="5" t="s">
        <v>6666</v>
      </c>
      <c r="C29" s="5" t="s">
        <v>6667</v>
      </c>
      <c r="D29" s="5" t="s">
        <v>6668</v>
      </c>
      <c r="E29" s="5" t="s">
        <v>6669</v>
      </c>
      <c r="F29" s="5" t="s">
        <v>6670</v>
      </c>
      <c r="G29" s="5" t="s">
        <v>1759</v>
      </c>
    </row>
    <row r="30" customFormat="false" ht="34.5" hidden="false" customHeight="true" outlineLevel="0" collapsed="false">
      <c r="A30" s="4" t="s">
        <v>6659</v>
      </c>
      <c r="B30" s="4" t="s">
        <v>6671</v>
      </c>
      <c r="C30" s="4" t="s">
        <v>6672</v>
      </c>
      <c r="D30" s="4" t="s">
        <v>6673</v>
      </c>
      <c r="E30" s="4" t="s">
        <v>6674</v>
      </c>
      <c r="F30" s="4" t="s">
        <v>6675</v>
      </c>
      <c r="G30" s="4" t="s">
        <v>1759</v>
      </c>
    </row>
    <row r="31" customFormat="false" ht="23.25" hidden="false" customHeight="true" outlineLevel="0" collapsed="false">
      <c r="A31" s="5" t="s">
        <v>6676</v>
      </c>
      <c r="B31" s="5" t="s">
        <v>6677</v>
      </c>
      <c r="C31" s="5" t="s">
        <v>6678</v>
      </c>
      <c r="D31" s="5" t="s">
        <v>6679</v>
      </c>
      <c r="E31" s="5" t="s">
        <v>4923</v>
      </c>
      <c r="F31" s="5" t="s">
        <v>6680</v>
      </c>
      <c r="G31" s="5" t="s">
        <v>1759</v>
      </c>
    </row>
    <row r="32" customFormat="false" ht="34.5" hidden="false" customHeight="true" outlineLevel="0" collapsed="false">
      <c r="A32" s="4" t="s">
        <v>6681</v>
      </c>
      <c r="B32" s="4" t="s">
        <v>6682</v>
      </c>
      <c r="C32" s="4" t="s">
        <v>6683</v>
      </c>
      <c r="D32" s="4" t="s">
        <v>6684</v>
      </c>
      <c r="E32" s="4" t="s">
        <v>3655</v>
      </c>
      <c r="F32" s="4" t="s">
        <v>6685</v>
      </c>
      <c r="G32" s="4" t="s">
        <v>1759</v>
      </c>
    </row>
    <row r="33" customFormat="false" ht="34.5" hidden="false" customHeight="true" outlineLevel="0" collapsed="false">
      <c r="A33" s="5" t="s">
        <v>6686</v>
      </c>
      <c r="B33" s="5" t="s">
        <v>6687</v>
      </c>
      <c r="C33" s="5" t="s">
        <v>6688</v>
      </c>
      <c r="D33" s="5" t="s">
        <v>6689</v>
      </c>
      <c r="E33" s="5" t="s">
        <v>4923</v>
      </c>
      <c r="F33" s="5" t="s">
        <v>458</v>
      </c>
      <c r="G33" s="5" t="s">
        <v>1759</v>
      </c>
    </row>
    <row r="34" customFormat="false" ht="23.25" hidden="false" customHeight="true" outlineLevel="0" collapsed="false">
      <c r="A34" s="4" t="s">
        <v>6690</v>
      </c>
      <c r="B34" s="4" t="s">
        <v>6691</v>
      </c>
      <c r="C34" s="4" t="s">
        <v>6692</v>
      </c>
      <c r="D34" s="4" t="s">
        <v>6693</v>
      </c>
      <c r="E34" s="4" t="s">
        <v>498</v>
      </c>
      <c r="F34" s="4" t="s">
        <v>6694</v>
      </c>
      <c r="G34" s="4" t="s">
        <v>1759</v>
      </c>
    </row>
    <row r="35" customFormat="false" ht="34.5" hidden="false" customHeight="true" outlineLevel="0" collapsed="false">
      <c r="A35" s="5" t="s">
        <v>6690</v>
      </c>
      <c r="B35" s="5" t="s">
        <v>6691</v>
      </c>
      <c r="C35" s="5" t="s">
        <v>6695</v>
      </c>
      <c r="D35" s="5" t="s">
        <v>6696</v>
      </c>
      <c r="E35" s="5" t="s">
        <v>4923</v>
      </c>
      <c r="F35" s="5" t="s">
        <v>6570</v>
      </c>
      <c r="G35" s="5" t="s">
        <v>1759</v>
      </c>
    </row>
    <row r="38" customFormat="false" ht="15" hidden="false" customHeight="true" outlineLevel="0" collapsed="false">
      <c r="A38" s="6" t="s">
        <v>6697</v>
      </c>
    </row>
    <row r="39" customFormat="false" ht="15" hidden="false" customHeight="true" outlineLevel="0" collapsed="false">
      <c r="A39" s="3" t="s">
        <v>291</v>
      </c>
      <c r="B39" s="3" t="s">
        <v>4186</v>
      </c>
      <c r="C39" s="3" t="s">
        <v>4190</v>
      </c>
      <c r="D39" s="3" t="s">
        <v>4194</v>
      </c>
      <c r="E39" s="3" t="s">
        <v>4198</v>
      </c>
      <c r="F39" s="3" t="s">
        <v>4201</v>
      </c>
      <c r="G39" s="3" t="s">
        <v>4205</v>
      </c>
      <c r="H39" s="3" t="s">
        <v>855</v>
      </c>
    </row>
    <row r="40" customFormat="false" ht="15" hidden="false" customHeight="true" outlineLevel="0" collapsed="false">
      <c r="A40" s="4" t="s">
        <v>6698</v>
      </c>
      <c r="B40" s="4" t="n">
        <v>2</v>
      </c>
      <c r="C40" s="4" t="n">
        <v>2</v>
      </c>
      <c r="D40" s="4" t="n">
        <v>2</v>
      </c>
      <c r="E40" s="4" t="n">
        <v>1</v>
      </c>
      <c r="F40" s="4" t="n">
        <v>0</v>
      </c>
      <c r="G40" s="4" t="n">
        <v>1</v>
      </c>
      <c r="H40" s="4" t="n">
        <v>8</v>
      </c>
    </row>
    <row r="41" customFormat="false" ht="15" hidden="false" customHeight="true" outlineLevel="0" collapsed="false">
      <c r="A41" s="5" t="s">
        <v>6699</v>
      </c>
      <c r="B41" s="5" t="n">
        <v>270</v>
      </c>
      <c r="C41" s="5" t="n">
        <v>220</v>
      </c>
      <c r="D41" s="5" t="n">
        <v>330</v>
      </c>
      <c r="E41" s="5" t="n">
        <v>160</v>
      </c>
      <c r="F41" s="5" t="n">
        <v>0</v>
      </c>
      <c r="G41" s="5" t="n">
        <v>80</v>
      </c>
      <c r="H41" s="5" t="n">
        <v>1060</v>
      </c>
    </row>
    <row r="42" customFormat="false" ht="15" hidden="false" customHeight="true" outlineLevel="0" collapsed="false">
      <c r="A42" s="4" t="s">
        <v>6700</v>
      </c>
      <c r="B42" s="4" t="s">
        <v>6577</v>
      </c>
      <c r="C42" s="4" t="s">
        <v>6701</v>
      </c>
      <c r="D42" s="4" t="s">
        <v>6577</v>
      </c>
      <c r="E42" s="4" t="s">
        <v>6577</v>
      </c>
      <c r="F42" s="4" t="s">
        <v>550</v>
      </c>
      <c r="G42" s="4" t="s">
        <v>6577</v>
      </c>
      <c r="H42" s="4" t="s">
        <v>6577</v>
      </c>
    </row>
    <row r="43" customFormat="false" ht="15" hidden="false" customHeight="true" outlineLevel="0" collapsed="false">
      <c r="A43" s="5" t="s">
        <v>6702</v>
      </c>
      <c r="B43" s="5" t="n">
        <v>162</v>
      </c>
      <c r="C43" s="5" t="n">
        <v>137</v>
      </c>
      <c r="D43" s="5" t="n">
        <v>198</v>
      </c>
      <c r="E43" s="5" t="n">
        <v>96</v>
      </c>
      <c r="F43" s="5" t="n">
        <v>0</v>
      </c>
      <c r="G43" s="5" t="n">
        <v>48</v>
      </c>
      <c r="H43" s="5" t="n">
        <v>641</v>
      </c>
    </row>
    <row r="44" customFormat="false" ht="15" hidden="false" customHeight="true" outlineLevel="0" collapsed="false">
      <c r="A44" s="4" t="s">
        <v>6703</v>
      </c>
      <c r="B44" s="4" t="n">
        <v>65</v>
      </c>
      <c r="C44" s="4" t="n">
        <v>55</v>
      </c>
      <c r="D44" s="4" t="n">
        <v>79</v>
      </c>
      <c r="E44" s="4" t="n">
        <v>38</v>
      </c>
      <c r="F44" s="4" t="n">
        <v>0</v>
      </c>
      <c r="G44" s="4" t="n">
        <v>19</v>
      </c>
      <c r="H44" s="4" t="n">
        <v>256</v>
      </c>
    </row>
    <row r="45" customFormat="false" ht="15" hidden="false" customHeight="true" outlineLevel="0" collapsed="false">
      <c r="A45" s="5" t="s">
        <v>6704</v>
      </c>
      <c r="B45" s="5" t="n">
        <v>50000</v>
      </c>
      <c r="C45" s="5" t="n">
        <v>45000</v>
      </c>
      <c r="D45" s="5" t="n">
        <v>42000</v>
      </c>
      <c r="E45" s="5" t="n">
        <v>50000</v>
      </c>
      <c r="F45" s="5" t="s">
        <v>550</v>
      </c>
      <c r="G45" s="5" t="n">
        <v>31250</v>
      </c>
      <c r="H45" s="5" t="s">
        <v>550</v>
      </c>
    </row>
    <row r="46" customFormat="false" ht="15" hidden="false" customHeight="true" outlineLevel="0" collapsed="false">
      <c r="A46" s="4" t="s">
        <v>6568</v>
      </c>
      <c r="B46" s="4" t="n">
        <v>135000000</v>
      </c>
      <c r="C46" s="4" t="n">
        <v>90000000</v>
      </c>
      <c r="D46" s="4" t="n">
        <v>95000000</v>
      </c>
      <c r="E46" s="4" t="n">
        <v>80000000</v>
      </c>
      <c r="F46" s="4" t="n">
        <v>0</v>
      </c>
      <c r="G46" s="4" t="n">
        <v>25000000</v>
      </c>
      <c r="H46" s="4" t="n">
        <v>425000000</v>
      </c>
    </row>
    <row r="49" customFormat="false" ht="17.35" hidden="false" customHeight="false" outlineLevel="0" collapsed="false">
      <c r="A49" s="71" t="s">
        <v>6705</v>
      </c>
    </row>
    <row r="51" customFormat="false" ht="15" hidden="false" customHeight="false" outlineLevel="0" collapsed="false">
      <c r="A51" s="3" t="s">
        <v>566</v>
      </c>
      <c r="B51" s="3" t="s">
        <v>4740</v>
      </c>
      <c r="C51" s="3" t="s">
        <v>6706</v>
      </c>
      <c r="D51" s="3" t="s">
        <v>6707</v>
      </c>
      <c r="E51" s="3" t="s">
        <v>6708</v>
      </c>
      <c r="F51" s="3" t="s">
        <v>2639</v>
      </c>
      <c r="G51" s="3" t="s">
        <v>6709</v>
      </c>
      <c r="H51" s="3" t="s">
        <v>6710</v>
      </c>
      <c r="I51" s="3" t="s">
        <v>6711</v>
      </c>
      <c r="J51" s="3" t="s">
        <v>6712</v>
      </c>
      <c r="K51" s="3" t="s">
        <v>6713</v>
      </c>
      <c r="L51" s="3" t="s">
        <v>1940</v>
      </c>
    </row>
    <row r="52" customFormat="false" ht="46.25" hidden="false" customHeight="false" outlineLevel="0" collapsed="false">
      <c r="A52" s="8" t="s">
        <v>5931</v>
      </c>
      <c r="B52" s="8" t="s">
        <v>6714</v>
      </c>
      <c r="C52" s="8" t="s">
        <v>6715</v>
      </c>
      <c r="D52" s="8" t="s">
        <v>6716</v>
      </c>
      <c r="E52" s="8" t="s">
        <v>6620</v>
      </c>
      <c r="F52" s="8" t="s">
        <v>6717</v>
      </c>
      <c r="G52" s="8" t="s">
        <v>6718</v>
      </c>
      <c r="H52" s="116" t="n">
        <v>200</v>
      </c>
      <c r="I52" s="8" t="s">
        <v>6719</v>
      </c>
      <c r="J52" s="8" t="s">
        <v>6720</v>
      </c>
      <c r="K52" s="8" t="s">
        <v>6721</v>
      </c>
      <c r="L52" s="8" t="s">
        <v>6722</v>
      </c>
    </row>
    <row r="53" customFormat="false" ht="46.25" hidden="false" customHeight="false" outlineLevel="0" collapsed="false">
      <c r="A53" s="8" t="s">
        <v>6723</v>
      </c>
      <c r="B53" s="8" t="s">
        <v>6714</v>
      </c>
      <c r="C53" s="8" t="s">
        <v>6724</v>
      </c>
      <c r="D53" s="8" t="s">
        <v>6725</v>
      </c>
      <c r="E53" s="8" t="s">
        <v>6620</v>
      </c>
      <c r="F53" s="8" t="s">
        <v>6726</v>
      </c>
      <c r="G53" s="8" t="s">
        <v>6727</v>
      </c>
      <c r="H53" s="116" t="n">
        <v>150</v>
      </c>
      <c r="I53" s="8" t="s">
        <v>6728</v>
      </c>
      <c r="J53" s="8" t="s">
        <v>6729</v>
      </c>
      <c r="K53" s="8" t="s">
        <v>836</v>
      </c>
      <c r="L53" s="8" t="s">
        <v>6730</v>
      </c>
    </row>
    <row r="54" customFormat="false" ht="57.45" hidden="false" customHeight="false" outlineLevel="0" collapsed="false">
      <c r="A54" s="8" t="s">
        <v>5955</v>
      </c>
      <c r="B54" s="8" t="s">
        <v>6714</v>
      </c>
      <c r="C54" s="8" t="s">
        <v>6731</v>
      </c>
      <c r="D54" s="8" t="s">
        <v>6732</v>
      </c>
      <c r="E54" s="8" t="s">
        <v>6620</v>
      </c>
      <c r="F54" s="8" t="s">
        <v>2681</v>
      </c>
      <c r="G54" s="8" t="s">
        <v>6733</v>
      </c>
      <c r="H54" s="116" t="n">
        <v>180</v>
      </c>
      <c r="I54" s="8" t="s">
        <v>6734</v>
      </c>
      <c r="J54" s="8" t="s">
        <v>6735</v>
      </c>
      <c r="K54" s="8" t="s">
        <v>836</v>
      </c>
      <c r="L54" s="8" t="s">
        <v>6736</v>
      </c>
    </row>
    <row r="55" customFormat="false" ht="46.25" hidden="false" customHeight="false" outlineLevel="0" collapsed="false">
      <c r="A55" s="8" t="s">
        <v>6737</v>
      </c>
      <c r="B55" s="8" t="s">
        <v>6714</v>
      </c>
      <c r="C55" s="8" t="s">
        <v>6738</v>
      </c>
      <c r="D55" s="8" t="s">
        <v>6739</v>
      </c>
      <c r="E55" s="8" t="s">
        <v>6620</v>
      </c>
      <c r="F55" s="8" t="s">
        <v>2693</v>
      </c>
      <c r="G55" s="8" t="s">
        <v>6718</v>
      </c>
      <c r="H55" s="116" t="n">
        <v>220</v>
      </c>
      <c r="I55" s="8" t="s">
        <v>6740</v>
      </c>
      <c r="J55" s="8" t="s">
        <v>6741</v>
      </c>
      <c r="K55" s="8" t="s">
        <v>836</v>
      </c>
      <c r="L55" s="8" t="s">
        <v>6742</v>
      </c>
    </row>
    <row r="56" customFormat="false" ht="57.45" hidden="false" customHeight="false" outlineLevel="0" collapsed="false">
      <c r="A56" s="8" t="s">
        <v>6743</v>
      </c>
      <c r="B56" s="8" t="s">
        <v>6714</v>
      </c>
      <c r="C56" s="8" t="s">
        <v>6744</v>
      </c>
      <c r="D56" s="8" t="s">
        <v>6745</v>
      </c>
      <c r="E56" s="8" t="s">
        <v>6620</v>
      </c>
      <c r="F56" s="8" t="s">
        <v>6746</v>
      </c>
      <c r="G56" s="8" t="s">
        <v>6747</v>
      </c>
      <c r="H56" s="116" t="n">
        <v>250</v>
      </c>
      <c r="I56" s="8" t="s">
        <v>6748</v>
      </c>
      <c r="J56" s="8" t="s">
        <v>6749</v>
      </c>
      <c r="K56" s="8" t="s">
        <v>836</v>
      </c>
      <c r="L56" s="8" t="s">
        <v>6750</v>
      </c>
    </row>
    <row r="57" customFormat="false" ht="46.25" hidden="false" customHeight="false" outlineLevel="0" collapsed="false">
      <c r="A57" s="8" t="s">
        <v>6751</v>
      </c>
      <c r="B57" s="8" t="s">
        <v>6714</v>
      </c>
      <c r="C57" s="8" t="s">
        <v>6752</v>
      </c>
      <c r="D57" s="8" t="s">
        <v>6753</v>
      </c>
      <c r="E57" s="8" t="s">
        <v>6620</v>
      </c>
      <c r="F57" s="8" t="s">
        <v>6754</v>
      </c>
      <c r="G57" s="8" t="s">
        <v>6718</v>
      </c>
      <c r="H57" s="116" t="n">
        <v>300</v>
      </c>
      <c r="I57" s="8" t="s">
        <v>6755</v>
      </c>
      <c r="J57" s="8" t="s">
        <v>6756</v>
      </c>
      <c r="K57" s="8" t="s">
        <v>836</v>
      </c>
      <c r="L57" s="8" t="s">
        <v>6757</v>
      </c>
    </row>
    <row r="58" customFormat="false" ht="57.45" hidden="false" customHeight="false" outlineLevel="0" collapsed="false">
      <c r="A58" s="8" t="s">
        <v>6758</v>
      </c>
      <c r="B58" s="8" t="s">
        <v>1871</v>
      </c>
      <c r="C58" s="8" t="s">
        <v>6759</v>
      </c>
      <c r="D58" s="8" t="s">
        <v>6760</v>
      </c>
      <c r="E58" s="8" t="s">
        <v>6620</v>
      </c>
      <c r="F58" s="8" t="s">
        <v>2706</v>
      </c>
      <c r="G58" s="8" t="s">
        <v>6718</v>
      </c>
      <c r="H58" s="116" t="n">
        <v>180</v>
      </c>
      <c r="I58" s="8" t="s">
        <v>6761</v>
      </c>
      <c r="J58" s="8" t="s">
        <v>6762</v>
      </c>
      <c r="K58" s="8" t="s">
        <v>836</v>
      </c>
      <c r="L58" s="8" t="s">
        <v>6763</v>
      </c>
    </row>
    <row r="59" customFormat="false" ht="46.25" hidden="false" customHeight="false" outlineLevel="0" collapsed="false">
      <c r="A59" s="8" t="s">
        <v>6764</v>
      </c>
      <c r="B59" s="8" t="s">
        <v>1871</v>
      </c>
      <c r="C59" s="8" t="s">
        <v>6765</v>
      </c>
      <c r="D59" s="8" t="s">
        <v>6766</v>
      </c>
      <c r="E59" s="8" t="s">
        <v>6620</v>
      </c>
      <c r="F59" s="8" t="s">
        <v>2706</v>
      </c>
      <c r="G59" s="8" t="s">
        <v>6767</v>
      </c>
      <c r="H59" s="116" t="n">
        <v>200</v>
      </c>
      <c r="I59" s="8" t="s">
        <v>6768</v>
      </c>
      <c r="J59" s="8" t="s">
        <v>6769</v>
      </c>
      <c r="K59" s="8" t="s">
        <v>836</v>
      </c>
      <c r="L59" s="8" t="s">
        <v>6770</v>
      </c>
    </row>
    <row r="60" customFormat="false" ht="46.25" hidden="false" customHeight="false" outlineLevel="0" collapsed="false">
      <c r="A60" s="8" t="s">
        <v>5959</v>
      </c>
      <c r="B60" s="8" t="s">
        <v>1871</v>
      </c>
      <c r="C60" s="8" t="s">
        <v>6771</v>
      </c>
      <c r="D60" s="8" t="s">
        <v>6772</v>
      </c>
      <c r="E60" s="8" t="s">
        <v>6620</v>
      </c>
      <c r="F60" s="8" t="s">
        <v>6773</v>
      </c>
      <c r="G60" s="8" t="s">
        <v>6774</v>
      </c>
      <c r="H60" s="116" t="n">
        <v>150</v>
      </c>
      <c r="I60" s="8" t="s">
        <v>6775</v>
      </c>
      <c r="J60" s="8" t="s">
        <v>6776</v>
      </c>
      <c r="K60" s="8" t="s">
        <v>6777</v>
      </c>
      <c r="L60" s="8" t="s">
        <v>6778</v>
      </c>
    </row>
    <row r="61" customFormat="false" ht="46.25" hidden="false" customHeight="false" outlineLevel="0" collapsed="false">
      <c r="A61" s="8" t="s">
        <v>6779</v>
      </c>
      <c r="B61" s="8" t="s">
        <v>1871</v>
      </c>
      <c r="C61" s="8" t="s">
        <v>6780</v>
      </c>
      <c r="D61" s="8" t="s">
        <v>6781</v>
      </c>
      <c r="E61" s="8" t="s">
        <v>6620</v>
      </c>
      <c r="F61" s="8" t="s">
        <v>2706</v>
      </c>
      <c r="G61" s="8" t="s">
        <v>6718</v>
      </c>
      <c r="H61" s="116" t="n">
        <v>280</v>
      </c>
      <c r="I61" s="8" t="s">
        <v>6782</v>
      </c>
      <c r="J61" s="8" t="s">
        <v>6783</v>
      </c>
      <c r="K61" s="8" t="s">
        <v>836</v>
      </c>
      <c r="L61" s="8" t="s">
        <v>6784</v>
      </c>
    </row>
    <row r="62" customFormat="false" ht="68.65" hidden="false" customHeight="false" outlineLevel="0" collapsed="false">
      <c r="A62" s="8" t="s">
        <v>6785</v>
      </c>
      <c r="B62" s="8" t="s">
        <v>1866</v>
      </c>
      <c r="C62" s="8" t="s">
        <v>6786</v>
      </c>
      <c r="D62" s="8" t="s">
        <v>6787</v>
      </c>
      <c r="E62" s="8" t="s">
        <v>6620</v>
      </c>
      <c r="F62" s="8" t="s">
        <v>6788</v>
      </c>
      <c r="G62" s="8" t="s">
        <v>6733</v>
      </c>
      <c r="H62" s="116" t="n">
        <v>120</v>
      </c>
      <c r="I62" s="8" t="s">
        <v>6789</v>
      </c>
      <c r="J62" s="8" t="s">
        <v>6790</v>
      </c>
      <c r="K62" s="8" t="s">
        <v>836</v>
      </c>
      <c r="L62" s="8" t="s">
        <v>6791</v>
      </c>
    </row>
    <row r="63" customFormat="false" ht="46.25" hidden="false" customHeight="false" outlineLevel="0" collapsed="false">
      <c r="A63" s="8" t="s">
        <v>6792</v>
      </c>
      <c r="B63" s="8" t="s">
        <v>6793</v>
      </c>
      <c r="C63" s="8" t="s">
        <v>6794</v>
      </c>
      <c r="D63" s="8" t="s">
        <v>6795</v>
      </c>
      <c r="E63" s="8" t="s">
        <v>6620</v>
      </c>
      <c r="F63" s="8" t="s">
        <v>6796</v>
      </c>
      <c r="G63" s="8" t="s">
        <v>6797</v>
      </c>
      <c r="H63" s="116" t="n">
        <v>120</v>
      </c>
      <c r="I63" s="8" t="s">
        <v>6798</v>
      </c>
      <c r="J63" s="8" t="s">
        <v>6799</v>
      </c>
      <c r="K63" s="8" t="s">
        <v>836</v>
      </c>
      <c r="L63" s="8" t="s">
        <v>6800</v>
      </c>
    </row>
    <row r="64" customFormat="false" ht="46.25" hidden="false" customHeight="false" outlineLevel="0" collapsed="false">
      <c r="A64" s="8" t="s">
        <v>6801</v>
      </c>
      <c r="B64" s="8" t="s">
        <v>6714</v>
      </c>
      <c r="C64" s="8" t="s">
        <v>6802</v>
      </c>
      <c r="D64" s="8" t="s">
        <v>6803</v>
      </c>
      <c r="E64" s="8" t="s">
        <v>6620</v>
      </c>
      <c r="F64" s="8" t="s">
        <v>6804</v>
      </c>
      <c r="G64" s="8" t="s">
        <v>6718</v>
      </c>
      <c r="H64" s="116" t="n">
        <v>250</v>
      </c>
      <c r="I64" s="8" t="s">
        <v>6805</v>
      </c>
      <c r="J64" s="8" t="s">
        <v>6806</v>
      </c>
      <c r="K64" s="8" t="s">
        <v>836</v>
      </c>
      <c r="L64" s="8" t="s">
        <v>6807</v>
      </c>
    </row>
    <row r="67" customFormat="false" ht="15" hidden="false" customHeight="false" outlineLevel="0" collapsed="false">
      <c r="A67" s="7" t="s">
        <v>6808</v>
      </c>
      <c r="B67" s="7"/>
      <c r="C67" s="7"/>
      <c r="D67" s="7"/>
      <c r="E67" s="7"/>
      <c r="F67" s="7"/>
      <c r="G67" s="7"/>
      <c r="H67" s="7"/>
      <c r="I67" s="7"/>
      <c r="J67" s="7"/>
    </row>
    <row r="68" customFormat="false" ht="15" hidden="false" customHeight="false" outlineLevel="0" collapsed="false">
      <c r="A68" s="3" t="s">
        <v>566</v>
      </c>
      <c r="B68" s="3" t="s">
        <v>4740</v>
      </c>
      <c r="C68" s="3" t="s">
        <v>6809</v>
      </c>
      <c r="D68" s="3" t="s">
        <v>6707</v>
      </c>
      <c r="E68" s="3" t="s">
        <v>4451</v>
      </c>
      <c r="F68" s="3" t="s">
        <v>6810</v>
      </c>
      <c r="G68" s="3" t="s">
        <v>6811</v>
      </c>
      <c r="H68" s="3" t="s">
        <v>6812</v>
      </c>
      <c r="I68" s="3" t="s">
        <v>6813</v>
      </c>
      <c r="J68" s="3" t="s">
        <v>6814</v>
      </c>
    </row>
    <row r="69" customFormat="false" ht="23.85" hidden="false" customHeight="false" outlineLevel="0" collapsed="false">
      <c r="A69" s="8" t="s">
        <v>6815</v>
      </c>
      <c r="B69" s="8" t="s">
        <v>6816</v>
      </c>
      <c r="C69" s="8" t="s">
        <v>6817</v>
      </c>
      <c r="D69" s="8" t="s">
        <v>6818</v>
      </c>
      <c r="E69" s="8" t="s">
        <v>6819</v>
      </c>
      <c r="F69" s="8" t="s">
        <v>6046</v>
      </c>
      <c r="G69" s="8" t="s">
        <v>6820</v>
      </c>
      <c r="H69" s="8" t="s">
        <v>6821</v>
      </c>
      <c r="I69" s="8" t="s">
        <v>6822</v>
      </c>
      <c r="J69" s="8" t="n">
        <v>150</v>
      </c>
    </row>
    <row r="70" customFormat="false" ht="23.85" hidden="false" customHeight="false" outlineLevel="0" collapsed="false">
      <c r="A70" s="8" t="s">
        <v>6823</v>
      </c>
      <c r="B70" s="8" t="s">
        <v>6816</v>
      </c>
      <c r="C70" s="8" t="s">
        <v>6824</v>
      </c>
      <c r="D70" s="8" t="s">
        <v>6825</v>
      </c>
      <c r="E70" s="8" t="s">
        <v>6826</v>
      </c>
      <c r="F70" s="8" t="s">
        <v>6827</v>
      </c>
      <c r="G70" s="8" t="s">
        <v>6828</v>
      </c>
      <c r="H70" s="8" t="s">
        <v>6829</v>
      </c>
      <c r="I70" s="8" t="s">
        <v>6830</v>
      </c>
      <c r="J70" s="8" t="n">
        <v>200</v>
      </c>
    </row>
    <row r="71" customFormat="false" ht="23.85" hidden="false" customHeight="false" outlineLevel="0" collapsed="false">
      <c r="A71" s="8" t="s">
        <v>6572</v>
      </c>
      <c r="B71" s="8" t="s">
        <v>6816</v>
      </c>
      <c r="C71" s="8" t="s">
        <v>6831</v>
      </c>
      <c r="D71" s="8" t="s">
        <v>6832</v>
      </c>
      <c r="E71" s="8" t="s">
        <v>6833</v>
      </c>
      <c r="F71" s="8" t="s">
        <v>6834</v>
      </c>
      <c r="G71" s="8" t="s">
        <v>6835</v>
      </c>
      <c r="H71" s="8" t="s">
        <v>6836</v>
      </c>
      <c r="I71" s="8" t="s">
        <v>6837</v>
      </c>
      <c r="J71" s="8" t="n">
        <v>200</v>
      </c>
    </row>
    <row r="72" customFormat="false" ht="23.85" hidden="false" customHeight="false" outlineLevel="0" collapsed="false">
      <c r="A72" s="8" t="s">
        <v>6581</v>
      </c>
      <c r="B72" s="8" t="s">
        <v>6816</v>
      </c>
      <c r="C72" s="8" t="s">
        <v>6838</v>
      </c>
      <c r="D72" s="8" t="s">
        <v>6839</v>
      </c>
      <c r="E72" s="8" t="s">
        <v>6840</v>
      </c>
      <c r="F72" s="8" t="s">
        <v>6841</v>
      </c>
      <c r="G72" s="8" t="s">
        <v>6842</v>
      </c>
      <c r="H72" s="8" t="s">
        <v>6836</v>
      </c>
      <c r="I72" s="8" t="s">
        <v>6843</v>
      </c>
      <c r="J72" s="8" t="n">
        <v>180</v>
      </c>
    </row>
    <row r="73" customFormat="false" ht="23.85" hidden="false" customHeight="false" outlineLevel="0" collapsed="false">
      <c r="A73" s="8" t="s">
        <v>6844</v>
      </c>
      <c r="B73" s="8" t="s">
        <v>6816</v>
      </c>
      <c r="C73" s="8" t="s">
        <v>6845</v>
      </c>
      <c r="D73" s="8" t="s">
        <v>6846</v>
      </c>
      <c r="E73" s="8" t="s">
        <v>6847</v>
      </c>
      <c r="F73" s="8" t="s">
        <v>6848</v>
      </c>
      <c r="G73" s="8" t="s">
        <v>6835</v>
      </c>
      <c r="H73" s="8" t="s">
        <v>6849</v>
      </c>
      <c r="I73" s="8" t="s">
        <v>6850</v>
      </c>
      <c r="J73" s="8" t="n">
        <v>150</v>
      </c>
    </row>
    <row r="74" customFormat="false" ht="23.85" hidden="false" customHeight="false" outlineLevel="0" collapsed="false">
      <c r="A74" s="8" t="s">
        <v>6586</v>
      </c>
      <c r="B74" s="8" t="s">
        <v>6816</v>
      </c>
      <c r="C74" s="8" t="s">
        <v>6851</v>
      </c>
      <c r="D74" s="8" t="s">
        <v>6852</v>
      </c>
      <c r="E74" s="8" t="s">
        <v>6853</v>
      </c>
      <c r="F74" s="8" t="s">
        <v>6854</v>
      </c>
      <c r="G74" s="8" t="s">
        <v>6820</v>
      </c>
      <c r="H74" s="8" t="s">
        <v>6829</v>
      </c>
      <c r="I74" s="8" t="s">
        <v>6855</v>
      </c>
      <c r="J74" s="8" t="n">
        <v>220</v>
      </c>
    </row>
    <row r="75" customFormat="false" ht="23.85" hidden="false" customHeight="false" outlineLevel="0" collapsed="false">
      <c r="A75" s="8" t="s">
        <v>6856</v>
      </c>
      <c r="B75" s="8" t="s">
        <v>6816</v>
      </c>
      <c r="C75" s="8" t="s">
        <v>6857</v>
      </c>
      <c r="D75" s="8" t="s">
        <v>6858</v>
      </c>
      <c r="E75" s="8" t="s">
        <v>6847</v>
      </c>
      <c r="F75" s="8" t="s">
        <v>6859</v>
      </c>
      <c r="G75" s="8" t="s">
        <v>6828</v>
      </c>
      <c r="H75" s="8" t="s">
        <v>6836</v>
      </c>
      <c r="I75" s="8" t="s">
        <v>6860</v>
      </c>
      <c r="J75" s="8" t="n">
        <v>140</v>
      </c>
    </row>
    <row r="76" customFormat="false" ht="23.85" hidden="false" customHeight="false" outlineLevel="0" collapsed="false">
      <c r="A76" s="8" t="s">
        <v>6861</v>
      </c>
      <c r="B76" s="8" t="s">
        <v>6816</v>
      </c>
      <c r="C76" s="8" t="s">
        <v>6862</v>
      </c>
      <c r="D76" s="8" t="s">
        <v>6863</v>
      </c>
      <c r="E76" s="8" t="s">
        <v>6847</v>
      </c>
      <c r="F76" s="8" t="s">
        <v>6864</v>
      </c>
      <c r="G76" s="8" t="s">
        <v>6842</v>
      </c>
      <c r="H76" s="8" t="s">
        <v>6849</v>
      </c>
      <c r="I76" s="8" t="s">
        <v>6865</v>
      </c>
      <c r="J76" s="8" t="n">
        <v>130</v>
      </c>
    </row>
    <row r="77" customFormat="false" ht="23.85" hidden="false" customHeight="false" outlineLevel="0" collapsed="false">
      <c r="A77" s="8" t="s">
        <v>6866</v>
      </c>
      <c r="B77" s="8" t="s">
        <v>6816</v>
      </c>
      <c r="C77" s="8" t="s">
        <v>6867</v>
      </c>
      <c r="D77" s="8" t="s">
        <v>6868</v>
      </c>
      <c r="E77" s="8" t="s">
        <v>6853</v>
      </c>
      <c r="F77" s="8" t="s">
        <v>6869</v>
      </c>
      <c r="G77" s="8" t="s">
        <v>6820</v>
      </c>
      <c r="H77" s="8" t="s">
        <v>6836</v>
      </c>
      <c r="I77" s="8" t="s">
        <v>6870</v>
      </c>
      <c r="J77" s="8" t="n">
        <v>160</v>
      </c>
    </row>
    <row r="78" customFormat="false" ht="23.85" hidden="false" customHeight="false" outlineLevel="0" collapsed="false">
      <c r="A78" s="8" t="s">
        <v>6871</v>
      </c>
      <c r="B78" s="8" t="s">
        <v>6816</v>
      </c>
      <c r="C78" s="8" t="s">
        <v>6872</v>
      </c>
      <c r="D78" s="8" t="s">
        <v>6873</v>
      </c>
      <c r="E78" s="8" t="s">
        <v>6853</v>
      </c>
      <c r="F78" s="8" t="s">
        <v>6874</v>
      </c>
      <c r="G78" s="8" t="s">
        <v>6835</v>
      </c>
      <c r="H78" s="8" t="s">
        <v>6829</v>
      </c>
      <c r="I78" s="8" t="s">
        <v>6875</v>
      </c>
      <c r="J78" s="8" t="n">
        <v>180</v>
      </c>
    </row>
    <row r="79" customFormat="false" ht="23.85" hidden="false" customHeight="false" outlineLevel="0" collapsed="false">
      <c r="A79" s="8" t="s">
        <v>6876</v>
      </c>
      <c r="B79" s="8" t="s">
        <v>6816</v>
      </c>
      <c r="C79" s="8" t="s">
        <v>6877</v>
      </c>
      <c r="D79" s="8" t="s">
        <v>6878</v>
      </c>
      <c r="E79" s="8" t="s">
        <v>6879</v>
      </c>
      <c r="F79" s="8" t="s">
        <v>6880</v>
      </c>
      <c r="G79" s="8" t="s">
        <v>6828</v>
      </c>
      <c r="H79" s="8" t="s">
        <v>6836</v>
      </c>
      <c r="I79" s="8" t="s">
        <v>6881</v>
      </c>
      <c r="J79" s="8" t="n">
        <v>170</v>
      </c>
    </row>
    <row r="80" customFormat="false" ht="23.85" hidden="false" customHeight="false" outlineLevel="0" collapsed="false">
      <c r="A80" s="8" t="s">
        <v>6882</v>
      </c>
      <c r="B80" s="8" t="s">
        <v>6816</v>
      </c>
      <c r="C80" s="8" t="s">
        <v>6883</v>
      </c>
      <c r="D80" s="8" t="s">
        <v>6884</v>
      </c>
      <c r="E80" s="8" t="s">
        <v>6840</v>
      </c>
      <c r="F80" s="8" t="s">
        <v>6885</v>
      </c>
      <c r="G80" s="8" t="s">
        <v>6820</v>
      </c>
      <c r="H80" s="8" t="s">
        <v>6836</v>
      </c>
      <c r="I80" s="8" t="s">
        <v>6886</v>
      </c>
      <c r="J80" s="8" t="n">
        <v>140</v>
      </c>
    </row>
    <row r="81" customFormat="false" ht="23.85" hidden="false" customHeight="false" outlineLevel="0" collapsed="false">
      <c r="A81" s="8" t="s">
        <v>6887</v>
      </c>
      <c r="B81" s="8" t="s">
        <v>6816</v>
      </c>
      <c r="C81" s="8" t="s">
        <v>6888</v>
      </c>
      <c r="D81" s="8" t="s">
        <v>6889</v>
      </c>
      <c r="E81" s="8" t="s">
        <v>6890</v>
      </c>
      <c r="F81" s="8" t="s">
        <v>6891</v>
      </c>
      <c r="G81" s="8" t="s">
        <v>6835</v>
      </c>
      <c r="H81" s="8" t="s">
        <v>6849</v>
      </c>
      <c r="I81" s="8" t="s">
        <v>6892</v>
      </c>
      <c r="J81" s="8" t="n">
        <v>210</v>
      </c>
    </row>
    <row r="82" customFormat="false" ht="23.85" hidden="false" customHeight="false" outlineLevel="0" collapsed="false">
      <c r="A82" s="8" t="s">
        <v>6893</v>
      </c>
      <c r="B82" s="8" t="s">
        <v>6816</v>
      </c>
      <c r="C82" s="8" t="s">
        <v>6894</v>
      </c>
      <c r="D82" s="8" t="s">
        <v>6895</v>
      </c>
      <c r="E82" s="8" t="s">
        <v>6853</v>
      </c>
      <c r="F82" s="8" t="s">
        <v>6896</v>
      </c>
      <c r="G82" s="8" t="s">
        <v>6828</v>
      </c>
      <c r="H82" s="8" t="s">
        <v>6829</v>
      </c>
      <c r="I82" s="8" t="s">
        <v>6897</v>
      </c>
      <c r="J82" s="8" t="n">
        <v>190</v>
      </c>
    </row>
    <row r="83" customFormat="false" ht="23.85" hidden="false" customHeight="false" outlineLevel="0" collapsed="false">
      <c r="A83" s="8" t="s">
        <v>6898</v>
      </c>
      <c r="B83" s="8" t="s">
        <v>6816</v>
      </c>
      <c r="C83" s="8" t="s">
        <v>6899</v>
      </c>
      <c r="D83" s="8" t="s">
        <v>6900</v>
      </c>
      <c r="E83" s="8" t="s">
        <v>6853</v>
      </c>
      <c r="F83" s="8" t="s">
        <v>6901</v>
      </c>
      <c r="G83" s="8" t="s">
        <v>6820</v>
      </c>
      <c r="H83" s="8" t="s">
        <v>6836</v>
      </c>
      <c r="I83" s="8" t="s">
        <v>6902</v>
      </c>
      <c r="J83" s="8" t="n">
        <v>150</v>
      </c>
    </row>
  </sheetData>
  <mergeCells count="1">
    <mergeCell ref="A67:J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1E63"/>
    <pageSetUpPr fitToPage="false"/>
  </sheetPr>
  <dimension ref="A1:L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1" min="1" style="1" width="22"/>
  </cols>
  <sheetData>
    <row r="1" customFormat="false" ht="17.25" hidden="false" customHeight="true" outlineLevel="0" collapsed="false">
      <c r="A1" s="2" t="s">
        <v>6903</v>
      </c>
    </row>
    <row r="2" customFormat="false" ht="15" hidden="false" customHeight="true" outlineLevel="0" collapsed="false">
      <c r="A2" s="267" t="s">
        <v>6904</v>
      </c>
    </row>
    <row r="4" customFormat="false" ht="15" hidden="false" customHeight="true" outlineLevel="0" collapsed="false">
      <c r="A4" s="6" t="s">
        <v>6905</v>
      </c>
    </row>
    <row r="5" customFormat="false" ht="15" hidden="false" customHeight="true" outlineLevel="0" collapsed="false">
      <c r="A5" s="3" t="s">
        <v>6906</v>
      </c>
      <c r="B5" s="3" t="s">
        <v>802</v>
      </c>
      <c r="C5" s="3" t="s">
        <v>854</v>
      </c>
      <c r="D5" s="3" t="s">
        <v>845</v>
      </c>
      <c r="E5" s="3" t="s">
        <v>826</v>
      </c>
      <c r="F5" s="3" t="s">
        <v>836</v>
      </c>
      <c r="G5" s="3" t="s">
        <v>6907</v>
      </c>
      <c r="H5" s="3" t="s">
        <v>6908</v>
      </c>
      <c r="I5" s="3" t="s">
        <v>6909</v>
      </c>
      <c r="J5" s="3" t="s">
        <v>6910</v>
      </c>
      <c r="K5" s="3" t="s">
        <v>440</v>
      </c>
    </row>
    <row r="6" customFormat="false" ht="23.25" hidden="false" customHeight="true" outlineLevel="0" collapsed="false">
      <c r="A6" s="4" t="s">
        <v>4097</v>
      </c>
      <c r="B6" s="4" t="s">
        <v>6911</v>
      </c>
      <c r="C6" s="4" t="s">
        <v>6912</v>
      </c>
      <c r="D6" s="4" t="s">
        <v>6913</v>
      </c>
      <c r="E6" s="4" t="s">
        <v>6914</v>
      </c>
      <c r="F6" s="4" t="s">
        <v>550</v>
      </c>
      <c r="G6" s="4" t="s">
        <v>6915</v>
      </c>
      <c r="H6" s="4" t="s">
        <v>6916</v>
      </c>
      <c r="I6" s="4" t="s">
        <v>6917</v>
      </c>
      <c r="J6" s="4" t="s">
        <v>1801</v>
      </c>
      <c r="K6" s="4" t="s">
        <v>6918</v>
      </c>
    </row>
    <row r="7" customFormat="false" ht="23.25" hidden="false" customHeight="true" outlineLevel="0" collapsed="false">
      <c r="A7" s="5" t="s">
        <v>4341</v>
      </c>
      <c r="B7" s="5" t="s">
        <v>6919</v>
      </c>
      <c r="C7" s="5" t="s">
        <v>6920</v>
      </c>
      <c r="D7" s="5" t="s">
        <v>6921</v>
      </c>
      <c r="E7" s="5" t="s">
        <v>6922</v>
      </c>
      <c r="F7" s="5" t="s">
        <v>550</v>
      </c>
      <c r="G7" s="5" t="s">
        <v>550</v>
      </c>
      <c r="H7" s="5" t="s">
        <v>6923</v>
      </c>
      <c r="I7" s="5" t="s">
        <v>6924</v>
      </c>
      <c r="J7" s="5" t="s">
        <v>6925</v>
      </c>
      <c r="K7" s="5" t="s">
        <v>6926</v>
      </c>
    </row>
    <row r="8" customFormat="false" ht="23.25" hidden="false" customHeight="true" outlineLevel="0" collapsed="false">
      <c r="A8" s="4" t="s">
        <v>4776</v>
      </c>
      <c r="B8" s="4" t="s">
        <v>6927</v>
      </c>
      <c r="C8" s="4" t="s">
        <v>6928</v>
      </c>
      <c r="D8" s="4" t="s">
        <v>6929</v>
      </c>
      <c r="E8" s="4" t="s">
        <v>550</v>
      </c>
      <c r="F8" s="4" t="s">
        <v>6930</v>
      </c>
      <c r="G8" s="4" t="s">
        <v>6931</v>
      </c>
      <c r="H8" s="4" t="s">
        <v>6932</v>
      </c>
      <c r="I8" s="4" t="s">
        <v>6933</v>
      </c>
      <c r="J8" s="4" t="s">
        <v>1801</v>
      </c>
      <c r="K8" s="4" t="s">
        <v>6934</v>
      </c>
    </row>
    <row r="9" customFormat="false" ht="23.25" hidden="false" customHeight="true" outlineLevel="0" collapsed="false">
      <c r="A9" s="5" t="s">
        <v>4114</v>
      </c>
      <c r="B9" s="5" t="s">
        <v>6935</v>
      </c>
      <c r="C9" s="5" t="s">
        <v>6936</v>
      </c>
      <c r="D9" s="5" t="s">
        <v>6937</v>
      </c>
      <c r="E9" s="5" t="s">
        <v>6938</v>
      </c>
      <c r="F9" s="5" t="s">
        <v>550</v>
      </c>
      <c r="G9" s="5" t="s">
        <v>550</v>
      </c>
      <c r="H9" s="5" t="s">
        <v>6939</v>
      </c>
      <c r="I9" s="5" t="s">
        <v>6940</v>
      </c>
      <c r="J9" s="5" t="s">
        <v>1160</v>
      </c>
      <c r="K9" s="5" t="s">
        <v>6941</v>
      </c>
    </row>
    <row r="10" customFormat="false" ht="23.25" hidden="false" customHeight="true" outlineLevel="0" collapsed="false">
      <c r="A10" s="4" t="s">
        <v>4352</v>
      </c>
      <c r="B10" s="4" t="s">
        <v>6942</v>
      </c>
      <c r="C10" s="4" t="s">
        <v>6943</v>
      </c>
      <c r="D10" s="4" t="s">
        <v>6944</v>
      </c>
      <c r="E10" s="4" t="s">
        <v>6945</v>
      </c>
      <c r="F10" s="4" t="s">
        <v>6946</v>
      </c>
      <c r="G10" s="4" t="s">
        <v>6947</v>
      </c>
      <c r="H10" s="4" t="s">
        <v>6948</v>
      </c>
      <c r="I10" s="4" t="s">
        <v>6949</v>
      </c>
      <c r="J10" s="4" t="s">
        <v>6950</v>
      </c>
      <c r="K10" s="4" t="s">
        <v>6951</v>
      </c>
    </row>
    <row r="11" customFormat="false" ht="23.25" hidden="false" customHeight="true" outlineLevel="0" collapsed="false">
      <c r="A11" s="5" t="s">
        <v>4358</v>
      </c>
      <c r="B11" s="5" t="s">
        <v>6952</v>
      </c>
      <c r="C11" s="5" t="s">
        <v>6953</v>
      </c>
      <c r="D11" s="5" t="s">
        <v>6954</v>
      </c>
      <c r="E11" s="5" t="s">
        <v>550</v>
      </c>
      <c r="F11" s="5" t="s">
        <v>550</v>
      </c>
      <c r="G11" s="5" t="s">
        <v>6955</v>
      </c>
      <c r="H11" s="5" t="s">
        <v>6956</v>
      </c>
      <c r="I11" s="5" t="s">
        <v>6957</v>
      </c>
      <c r="J11" s="5" t="s">
        <v>6958</v>
      </c>
      <c r="K11" s="5" t="s">
        <v>6959</v>
      </c>
    </row>
    <row r="12" customFormat="false" ht="23.25" hidden="false" customHeight="true" outlineLevel="0" collapsed="false">
      <c r="A12" s="4" t="s">
        <v>6960</v>
      </c>
      <c r="B12" s="4" t="s">
        <v>6961</v>
      </c>
      <c r="C12" s="4" t="s">
        <v>6962</v>
      </c>
      <c r="D12" s="4" t="s">
        <v>6963</v>
      </c>
      <c r="E12" s="4" t="s">
        <v>550</v>
      </c>
      <c r="F12" s="4" t="s">
        <v>550</v>
      </c>
      <c r="G12" s="4" t="s">
        <v>550</v>
      </c>
      <c r="H12" s="4" t="s">
        <v>6964</v>
      </c>
      <c r="I12" s="4" t="s">
        <v>6965</v>
      </c>
      <c r="J12" s="4" t="s">
        <v>481</v>
      </c>
      <c r="K12" s="4" t="s">
        <v>6966</v>
      </c>
    </row>
    <row r="15" customFormat="false" ht="15" hidden="false" customHeight="true" outlineLevel="0" collapsed="false">
      <c r="A15" s="6" t="s">
        <v>6967</v>
      </c>
    </row>
    <row r="16" customFormat="false" ht="26.25" hidden="false" customHeight="true" outlineLevel="0" collapsed="false">
      <c r="A16" s="3" t="s">
        <v>500</v>
      </c>
      <c r="B16" s="3" t="s">
        <v>6562</v>
      </c>
      <c r="C16" s="3" t="s">
        <v>6968</v>
      </c>
      <c r="D16" s="3" t="s">
        <v>6969</v>
      </c>
      <c r="E16" s="3" t="s">
        <v>6970</v>
      </c>
      <c r="F16" s="3" t="s">
        <v>6971</v>
      </c>
      <c r="G16" s="3" t="s">
        <v>6972</v>
      </c>
      <c r="H16" s="3" t="s">
        <v>6973</v>
      </c>
      <c r="I16" s="3" t="s">
        <v>6974</v>
      </c>
      <c r="J16" s="3" t="s">
        <v>6975</v>
      </c>
      <c r="K16" s="3" t="s">
        <v>6976</v>
      </c>
      <c r="L16" s="3" t="s">
        <v>412</v>
      </c>
    </row>
    <row r="17" customFormat="false" ht="23.25" hidden="false" customHeight="true" outlineLevel="0" collapsed="false">
      <c r="A17" s="4" t="s">
        <v>4186</v>
      </c>
      <c r="B17" s="4" t="s">
        <v>6977</v>
      </c>
      <c r="C17" s="4" t="s">
        <v>6978</v>
      </c>
      <c r="D17" s="4" t="s">
        <v>6979</v>
      </c>
      <c r="E17" s="4" t="s">
        <v>6980</v>
      </c>
      <c r="F17" s="4" t="s">
        <v>6981</v>
      </c>
      <c r="G17" s="4" t="n">
        <v>28</v>
      </c>
      <c r="H17" s="4" t="n">
        <v>28</v>
      </c>
      <c r="I17" s="4" t="n">
        <v>20</v>
      </c>
      <c r="J17" s="4" t="n">
        <v>8</v>
      </c>
      <c r="K17" s="4" t="n">
        <v>88</v>
      </c>
      <c r="L17" s="4" t="s">
        <v>1759</v>
      </c>
    </row>
    <row r="18" customFormat="false" ht="23.25" hidden="false" customHeight="true" outlineLevel="0" collapsed="false">
      <c r="A18" s="5" t="s">
        <v>4190</v>
      </c>
      <c r="B18" s="5" t="s">
        <v>6982</v>
      </c>
      <c r="C18" s="5" t="s">
        <v>6983</v>
      </c>
      <c r="D18" s="5" t="s">
        <v>6984</v>
      </c>
      <c r="E18" s="5" t="s">
        <v>6985</v>
      </c>
      <c r="F18" s="5" t="s">
        <v>6986</v>
      </c>
      <c r="G18" s="5" t="n">
        <v>30</v>
      </c>
      <c r="H18" s="5" t="n">
        <v>30</v>
      </c>
      <c r="I18" s="5" t="n">
        <v>22</v>
      </c>
      <c r="J18" s="5" t="n">
        <v>10</v>
      </c>
      <c r="K18" s="5" t="n">
        <v>96</v>
      </c>
      <c r="L18" s="5" t="s">
        <v>1759</v>
      </c>
    </row>
    <row r="19" customFormat="false" ht="23.25" hidden="false" customHeight="true" outlineLevel="0" collapsed="false">
      <c r="A19" s="4" t="s">
        <v>4194</v>
      </c>
      <c r="B19" s="4" t="s">
        <v>6987</v>
      </c>
      <c r="C19" s="4" t="s">
        <v>6988</v>
      </c>
      <c r="D19" s="4" t="s">
        <v>6989</v>
      </c>
      <c r="E19" s="4" t="s">
        <v>6990</v>
      </c>
      <c r="F19" s="4" t="s">
        <v>6991</v>
      </c>
      <c r="G19" s="4" t="n">
        <v>30</v>
      </c>
      <c r="H19" s="4" t="n">
        <v>30</v>
      </c>
      <c r="I19" s="4" t="n">
        <v>24</v>
      </c>
      <c r="J19" s="4" t="n">
        <v>12</v>
      </c>
      <c r="K19" s="4" t="n">
        <v>100</v>
      </c>
      <c r="L19" s="4" t="s">
        <v>1759</v>
      </c>
    </row>
    <row r="20" customFormat="false" ht="23.25" hidden="false" customHeight="true" outlineLevel="0" collapsed="false">
      <c r="A20" s="5" t="s">
        <v>4198</v>
      </c>
      <c r="B20" s="5" t="s">
        <v>6992</v>
      </c>
      <c r="C20" s="5" t="s">
        <v>6993</v>
      </c>
      <c r="D20" s="5" t="s">
        <v>6994</v>
      </c>
      <c r="E20" s="5" t="s">
        <v>6995</v>
      </c>
      <c r="F20" s="5" t="s">
        <v>6996</v>
      </c>
      <c r="G20" s="5" t="n">
        <v>28</v>
      </c>
      <c r="H20" s="5" t="n">
        <v>28</v>
      </c>
      <c r="I20" s="5" t="n">
        <v>20</v>
      </c>
      <c r="J20" s="5" t="n">
        <v>10</v>
      </c>
      <c r="K20" s="5" t="n">
        <v>90</v>
      </c>
      <c r="L20" s="5" t="s">
        <v>1759</v>
      </c>
    </row>
    <row r="21" customFormat="false" ht="23.25" hidden="false" customHeight="true" outlineLevel="0" collapsed="false">
      <c r="A21" s="4" t="s">
        <v>4201</v>
      </c>
      <c r="B21" s="4" t="s">
        <v>6997</v>
      </c>
      <c r="C21" s="4" t="s">
        <v>6998</v>
      </c>
      <c r="D21" s="4" t="s">
        <v>6999</v>
      </c>
      <c r="E21" s="4" t="s">
        <v>7000</v>
      </c>
      <c r="F21" s="4" t="s">
        <v>7001</v>
      </c>
      <c r="G21" s="4" t="n">
        <v>24</v>
      </c>
      <c r="H21" s="4" t="n">
        <v>24</v>
      </c>
      <c r="I21" s="4" t="n">
        <v>16</v>
      </c>
      <c r="J21" s="4" t="n">
        <v>8</v>
      </c>
      <c r="K21" s="4" t="n">
        <v>74</v>
      </c>
      <c r="L21" s="4" t="s">
        <v>1759</v>
      </c>
    </row>
    <row r="22" customFormat="false" ht="23.25" hidden="false" customHeight="true" outlineLevel="0" collapsed="false">
      <c r="A22" s="5" t="s">
        <v>4205</v>
      </c>
      <c r="B22" s="5" t="s">
        <v>7002</v>
      </c>
      <c r="C22" s="5" t="s">
        <v>7003</v>
      </c>
      <c r="D22" s="5" t="s">
        <v>7004</v>
      </c>
      <c r="E22" s="5" t="s">
        <v>7005</v>
      </c>
      <c r="F22" s="5" t="s">
        <v>7006</v>
      </c>
      <c r="G22" s="5" t="n">
        <v>20</v>
      </c>
      <c r="H22" s="5" t="n">
        <v>20</v>
      </c>
      <c r="I22" s="5" t="n">
        <v>14</v>
      </c>
      <c r="J22" s="5" t="n">
        <v>6</v>
      </c>
      <c r="K22" s="5" t="n">
        <v>62</v>
      </c>
      <c r="L22" s="5" t="s">
        <v>1759</v>
      </c>
    </row>
    <row r="25" customFormat="false" ht="15" hidden="false" customHeight="true" outlineLevel="0" collapsed="false">
      <c r="A25" s="6" t="s">
        <v>7007</v>
      </c>
    </row>
    <row r="26" customFormat="false" ht="15" hidden="false" customHeight="true" outlineLevel="0" collapsed="false">
      <c r="A26" s="3" t="s">
        <v>472</v>
      </c>
      <c r="B26" s="3" t="s">
        <v>473</v>
      </c>
      <c r="C26" s="3" t="s">
        <v>4210</v>
      </c>
      <c r="D26" s="3" t="s">
        <v>7008</v>
      </c>
      <c r="E26" s="3" t="s">
        <v>7009</v>
      </c>
      <c r="F26" s="3" t="s">
        <v>7010</v>
      </c>
      <c r="G26" s="3" t="s">
        <v>7011</v>
      </c>
      <c r="H26" s="3" t="s">
        <v>7012</v>
      </c>
      <c r="I26" s="3" t="s">
        <v>7013</v>
      </c>
      <c r="J26" s="3" t="s">
        <v>7014</v>
      </c>
      <c r="K26" s="3" t="s">
        <v>7015</v>
      </c>
    </row>
    <row r="27" customFormat="false" ht="23.25" hidden="false" customHeight="true" outlineLevel="0" collapsed="false">
      <c r="A27" s="4" t="s">
        <v>151</v>
      </c>
      <c r="B27" s="4" t="s">
        <v>153</v>
      </c>
      <c r="C27" s="4" t="s">
        <v>7016</v>
      </c>
      <c r="D27" s="4" t="n">
        <v>12</v>
      </c>
      <c r="E27" s="4" t="n">
        <v>12</v>
      </c>
      <c r="F27" s="4" t="n">
        <v>8</v>
      </c>
      <c r="G27" s="4" t="n">
        <v>4</v>
      </c>
      <c r="H27" s="4" t="n">
        <v>4</v>
      </c>
      <c r="I27" s="4" t="s">
        <v>7017</v>
      </c>
      <c r="J27" s="4" t="s">
        <v>7018</v>
      </c>
      <c r="K27" s="4" t="s">
        <v>7019</v>
      </c>
    </row>
    <row r="28" customFormat="false" ht="34.5" hidden="false" customHeight="true" outlineLevel="0" collapsed="false">
      <c r="A28" s="5" t="s">
        <v>162</v>
      </c>
      <c r="B28" s="5" t="s">
        <v>153</v>
      </c>
      <c r="C28" s="5" t="s">
        <v>7020</v>
      </c>
      <c r="D28" s="5" t="n">
        <v>6</v>
      </c>
      <c r="E28" s="5" t="n">
        <v>4</v>
      </c>
      <c r="F28" s="5" t="n">
        <v>4</v>
      </c>
      <c r="G28" s="5" t="n">
        <v>4</v>
      </c>
      <c r="H28" s="5" t="n">
        <v>2</v>
      </c>
      <c r="I28" s="5" t="s">
        <v>7021</v>
      </c>
      <c r="J28" s="5" t="s">
        <v>7022</v>
      </c>
      <c r="K28" s="5" t="s">
        <v>7023</v>
      </c>
    </row>
    <row r="29" customFormat="false" ht="34.5" hidden="false" customHeight="true" outlineLevel="0" collapsed="false">
      <c r="A29" s="4" t="s">
        <v>1049</v>
      </c>
      <c r="B29" s="4" t="s">
        <v>174</v>
      </c>
      <c r="C29" s="4" t="s">
        <v>7020</v>
      </c>
      <c r="D29" s="4" t="n">
        <v>6</v>
      </c>
      <c r="E29" s="4" t="n">
        <v>4</v>
      </c>
      <c r="F29" s="4" t="n">
        <v>4</v>
      </c>
      <c r="G29" s="4" t="n">
        <v>4</v>
      </c>
      <c r="H29" s="4" t="n">
        <v>2</v>
      </c>
      <c r="I29" s="4" t="s">
        <v>7024</v>
      </c>
      <c r="J29" s="4" t="s">
        <v>7025</v>
      </c>
      <c r="K29" s="4" t="s">
        <v>7026</v>
      </c>
    </row>
    <row r="30" customFormat="false" ht="34.5" hidden="false" customHeight="true" outlineLevel="0" collapsed="false">
      <c r="A30" s="5" t="s">
        <v>1051</v>
      </c>
      <c r="B30" s="5" t="s">
        <v>174</v>
      </c>
      <c r="C30" s="5" t="s">
        <v>7027</v>
      </c>
      <c r="D30" s="5" t="n">
        <v>6</v>
      </c>
      <c r="E30" s="5" t="n">
        <v>4</v>
      </c>
      <c r="F30" s="5" t="n">
        <v>4</v>
      </c>
      <c r="G30" s="5" t="n">
        <v>4</v>
      </c>
      <c r="H30" s="5" t="n">
        <v>2</v>
      </c>
      <c r="I30" s="5" t="s">
        <v>7028</v>
      </c>
      <c r="J30" s="5" t="s">
        <v>7029</v>
      </c>
      <c r="K30" s="5" t="s">
        <v>7030</v>
      </c>
    </row>
    <row r="31" customFormat="false" ht="23.25" hidden="false" customHeight="true" outlineLevel="0" collapsed="false">
      <c r="A31" s="4" t="s">
        <v>194</v>
      </c>
      <c r="B31" s="4" t="s">
        <v>195</v>
      </c>
      <c r="C31" s="4" t="s">
        <v>7016</v>
      </c>
      <c r="D31" s="4" t="n">
        <v>12</v>
      </c>
      <c r="E31" s="4" t="n">
        <v>12</v>
      </c>
      <c r="F31" s="4" t="n">
        <v>8</v>
      </c>
      <c r="G31" s="4" t="n">
        <v>4</v>
      </c>
      <c r="H31" s="4" t="n">
        <v>4</v>
      </c>
      <c r="I31" s="4" t="s">
        <v>7031</v>
      </c>
      <c r="J31" s="4" t="s">
        <v>7032</v>
      </c>
      <c r="K31" s="4" t="s">
        <v>7033</v>
      </c>
    </row>
    <row r="32" customFormat="false" ht="23.25" hidden="false" customHeight="true" outlineLevel="0" collapsed="false">
      <c r="A32" s="5" t="s">
        <v>204</v>
      </c>
      <c r="B32" s="5" t="s">
        <v>195</v>
      </c>
      <c r="C32" s="5" t="s">
        <v>7034</v>
      </c>
      <c r="D32" s="5" t="n">
        <v>10</v>
      </c>
      <c r="E32" s="5" t="n">
        <v>8</v>
      </c>
      <c r="F32" s="5" t="n">
        <v>6</v>
      </c>
      <c r="G32" s="5" t="n">
        <v>4</v>
      </c>
      <c r="H32" s="5" t="n">
        <v>4</v>
      </c>
      <c r="I32" s="5" t="s">
        <v>7035</v>
      </c>
      <c r="J32" s="5" t="s">
        <v>7036</v>
      </c>
      <c r="K32" s="5" t="s">
        <v>7037</v>
      </c>
    </row>
    <row r="33" customFormat="false" ht="23.25" hidden="false" customHeight="true" outlineLevel="0" collapsed="false">
      <c r="A33" s="4" t="s">
        <v>232</v>
      </c>
      <c r="B33" s="4" t="s">
        <v>233</v>
      </c>
      <c r="C33" s="4" t="s">
        <v>7016</v>
      </c>
      <c r="D33" s="4" t="n">
        <v>12</v>
      </c>
      <c r="E33" s="4" t="n">
        <v>12</v>
      </c>
      <c r="F33" s="4" t="n">
        <v>10</v>
      </c>
      <c r="G33" s="4" t="n">
        <v>4</v>
      </c>
      <c r="H33" s="4" t="n">
        <v>4</v>
      </c>
      <c r="I33" s="4" t="s">
        <v>7038</v>
      </c>
      <c r="J33" s="4" t="s">
        <v>7039</v>
      </c>
      <c r="K33" s="4" t="s">
        <v>7040</v>
      </c>
    </row>
    <row r="34" customFormat="false" ht="23.25" hidden="false" customHeight="true" outlineLevel="0" collapsed="false">
      <c r="A34" s="5" t="s">
        <v>242</v>
      </c>
      <c r="B34" s="5" t="s">
        <v>243</v>
      </c>
      <c r="C34" s="5" t="s">
        <v>7016</v>
      </c>
      <c r="D34" s="5" t="n">
        <v>12</v>
      </c>
      <c r="E34" s="5" t="n">
        <v>12</v>
      </c>
      <c r="F34" s="5" t="n">
        <v>10</v>
      </c>
      <c r="G34" s="5" t="n">
        <v>4</v>
      </c>
      <c r="H34" s="5" t="n">
        <v>4</v>
      </c>
      <c r="I34" s="5" t="s">
        <v>7041</v>
      </c>
      <c r="J34" s="5" t="s">
        <v>7042</v>
      </c>
      <c r="K34" s="5" t="s">
        <v>7043</v>
      </c>
    </row>
    <row r="35" customFormat="false" ht="23.25" hidden="false" customHeight="true" outlineLevel="0" collapsed="false">
      <c r="A35" s="4" t="s">
        <v>480</v>
      </c>
      <c r="B35" s="4" t="s">
        <v>1160</v>
      </c>
      <c r="C35" s="4" t="s">
        <v>481</v>
      </c>
      <c r="D35" s="4" t="n">
        <v>8</v>
      </c>
      <c r="E35" s="4" t="n">
        <v>8</v>
      </c>
      <c r="F35" s="4" t="n">
        <v>6</v>
      </c>
      <c r="G35" s="4" t="n">
        <v>4</v>
      </c>
      <c r="H35" s="4" t="n">
        <v>0</v>
      </c>
      <c r="I35" s="4" t="s">
        <v>7044</v>
      </c>
      <c r="J35" s="4" t="s">
        <v>7045</v>
      </c>
      <c r="K35" s="4" t="s">
        <v>7046</v>
      </c>
    </row>
    <row r="38" customFormat="false" ht="15" hidden="false" customHeight="false" outlineLevel="0" collapsed="false">
      <c r="A38" s="72" t="s">
        <v>7047</v>
      </c>
    </row>
    <row r="39" customFormat="false" ht="15" hidden="false" customHeight="false" outlineLevel="0" collapsed="false">
      <c r="A39" s="266" t="s">
        <v>7048</v>
      </c>
    </row>
    <row r="41" customFormat="false" ht="15" hidden="false" customHeight="false" outlineLevel="0" collapsed="false">
      <c r="A41" s="72" t="s">
        <v>7049</v>
      </c>
    </row>
    <row r="42" customFormat="false" ht="15" hidden="false" customHeight="false" outlineLevel="0" collapsed="false">
      <c r="A42" s="3" t="s">
        <v>1838</v>
      </c>
      <c r="B42" s="3" t="s">
        <v>7050</v>
      </c>
      <c r="C42" s="3" t="s">
        <v>7051</v>
      </c>
      <c r="D42" s="3" t="s">
        <v>717</v>
      </c>
      <c r="E42" s="3" t="s">
        <v>718</v>
      </c>
      <c r="F42" s="3" t="s">
        <v>719</v>
      </c>
      <c r="G42" s="3" t="s">
        <v>720</v>
      </c>
      <c r="H42" s="3" t="s">
        <v>7052</v>
      </c>
    </row>
    <row r="43" customFormat="false" ht="23.85" hidden="false" customHeight="false" outlineLevel="0" collapsed="false">
      <c r="A43" s="73" t="s">
        <v>5433</v>
      </c>
      <c r="B43" s="73" t="s">
        <v>7053</v>
      </c>
      <c r="C43" s="73" t="s">
        <v>7054</v>
      </c>
      <c r="D43" s="73" t="s">
        <v>7054</v>
      </c>
      <c r="E43" s="73" t="s">
        <v>7054</v>
      </c>
      <c r="F43" s="73" t="s">
        <v>7054</v>
      </c>
      <c r="G43" s="73" t="s">
        <v>7055</v>
      </c>
      <c r="H43" s="73" t="s">
        <v>7055</v>
      </c>
    </row>
    <row r="44" customFormat="false" ht="23.85" hidden="false" customHeight="false" outlineLevel="0" collapsed="false">
      <c r="A44" s="75" t="s">
        <v>5322</v>
      </c>
      <c r="B44" s="75" t="s">
        <v>7056</v>
      </c>
      <c r="C44" s="75" t="s">
        <v>7056</v>
      </c>
      <c r="D44" s="75" t="s">
        <v>7056</v>
      </c>
      <c r="E44" s="75" t="s">
        <v>7056</v>
      </c>
      <c r="F44" s="75" t="s">
        <v>7056</v>
      </c>
      <c r="G44" s="75" t="s">
        <v>7057</v>
      </c>
      <c r="H44" s="75" t="s">
        <v>7058</v>
      </c>
    </row>
    <row r="45" customFormat="false" ht="23.85" hidden="false" customHeight="false" outlineLevel="0" collapsed="false">
      <c r="A45" s="73" t="s">
        <v>5322</v>
      </c>
      <c r="B45" s="73" t="s">
        <v>7059</v>
      </c>
      <c r="C45" s="73" t="s">
        <v>7060</v>
      </c>
      <c r="D45" s="73" t="s">
        <v>7059</v>
      </c>
      <c r="E45" s="73" t="s">
        <v>7060</v>
      </c>
      <c r="F45" s="73" t="s">
        <v>7059</v>
      </c>
      <c r="G45" s="73" t="s">
        <v>7061</v>
      </c>
      <c r="H45" s="73" t="s">
        <v>7062</v>
      </c>
    </row>
    <row r="46" customFormat="false" ht="23.85" hidden="false" customHeight="false" outlineLevel="0" collapsed="false">
      <c r="A46" s="75" t="s">
        <v>7063</v>
      </c>
      <c r="B46" s="75" t="s">
        <v>7064</v>
      </c>
      <c r="C46" s="75" t="s">
        <v>7064</v>
      </c>
      <c r="D46" s="75" t="s">
        <v>7064</v>
      </c>
      <c r="E46" s="75" t="s">
        <v>7064</v>
      </c>
      <c r="F46" s="75" t="s">
        <v>7064</v>
      </c>
      <c r="G46" s="75" t="s">
        <v>7065</v>
      </c>
      <c r="H46" s="75" t="s">
        <v>550</v>
      </c>
    </row>
    <row r="47" customFormat="false" ht="15" hidden="false" customHeight="false" outlineLevel="0" collapsed="false">
      <c r="A47" s="73" t="s">
        <v>4935</v>
      </c>
      <c r="B47" s="73" t="s">
        <v>7066</v>
      </c>
      <c r="C47" s="73" t="s">
        <v>7067</v>
      </c>
      <c r="D47" s="73" t="s">
        <v>7066</v>
      </c>
      <c r="E47" s="73" t="s">
        <v>7068</v>
      </c>
      <c r="F47" s="73" t="s">
        <v>7067</v>
      </c>
      <c r="G47" s="73" t="s">
        <v>7069</v>
      </c>
      <c r="H47" s="73" t="s">
        <v>550</v>
      </c>
    </row>
    <row r="48" customFormat="false" ht="23.85" hidden="false" customHeight="false" outlineLevel="0" collapsed="false">
      <c r="A48" s="75" t="s">
        <v>1871</v>
      </c>
      <c r="B48" s="75" t="s">
        <v>7070</v>
      </c>
      <c r="C48" s="75" t="s">
        <v>7071</v>
      </c>
      <c r="D48" s="75" t="s">
        <v>7072</v>
      </c>
      <c r="E48" s="75" t="s">
        <v>7073</v>
      </c>
      <c r="F48" s="75" t="s">
        <v>7074</v>
      </c>
      <c r="G48" s="75" t="s">
        <v>7075</v>
      </c>
      <c r="H48" s="75" t="s">
        <v>550</v>
      </c>
    </row>
    <row r="49" customFormat="false" ht="23.85" hidden="false" customHeight="false" outlineLevel="0" collapsed="false">
      <c r="A49" s="73" t="s">
        <v>1876</v>
      </c>
      <c r="B49" s="73" t="s">
        <v>7076</v>
      </c>
      <c r="C49" s="73" t="s">
        <v>7077</v>
      </c>
      <c r="D49" s="73" t="s">
        <v>7078</v>
      </c>
      <c r="E49" s="73" t="s">
        <v>7079</v>
      </c>
      <c r="F49" s="73" t="s">
        <v>7078</v>
      </c>
      <c r="G49" s="73" t="s">
        <v>550</v>
      </c>
      <c r="H49" s="73" t="s">
        <v>550</v>
      </c>
    </row>
    <row r="50" customFormat="false" ht="23.85" hidden="false" customHeight="false" outlineLevel="0" collapsed="false">
      <c r="A50" s="75" t="s">
        <v>7080</v>
      </c>
      <c r="B50" s="75" t="s">
        <v>7081</v>
      </c>
      <c r="C50" s="75" t="s">
        <v>7082</v>
      </c>
      <c r="D50" s="75" t="s">
        <v>7083</v>
      </c>
      <c r="E50" s="75" t="s">
        <v>7084</v>
      </c>
      <c r="F50" s="75" t="s">
        <v>7085</v>
      </c>
      <c r="G50" s="75" t="s">
        <v>7086</v>
      </c>
      <c r="H50" s="75" t="s">
        <v>550</v>
      </c>
    </row>
  </sheetData>
  <hyperlinks>
    <hyperlink ref="A39" r:id="rId1" location="'O.%20Nuôi%20Kênh%20Social%20Media'!A1" display="Chi tiết nuôi kênh từng platform → Xem Sheet &quot;O. Nuôi Kênh Social Media&quo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CD4"/>
    <pageSetUpPr fitToPage="false"/>
  </sheetPr>
  <dimension ref="A1:N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9" min="1" style="1" width="20"/>
    <col collapsed="false" customWidth="true" hidden="false" outlineLevel="0" max="10" min="10" style="0" width="30"/>
    <col collapsed="false" customWidth="true" hidden="false" outlineLevel="0" max="11" min="11" style="0" width="35"/>
    <col collapsed="false" customWidth="true" hidden="false" outlineLevel="0" max="12" min="12" style="0" width="30"/>
    <col collapsed="false" customWidth="true" hidden="false" outlineLevel="0" max="13" min="13" style="0" width="40"/>
    <col collapsed="false" customWidth="true" hidden="false" outlineLevel="0" max="14" min="14" style="0" width="30"/>
  </cols>
  <sheetData>
    <row r="1" customFormat="false" ht="17.25" hidden="false" customHeight="true" outlineLevel="0" collapsed="false">
      <c r="A1" s="104" t="s">
        <v>7087</v>
      </c>
      <c r="B1" s="104"/>
      <c r="C1" s="104"/>
      <c r="D1" s="104"/>
      <c r="E1" s="104"/>
      <c r="F1" s="104"/>
      <c r="G1" s="104"/>
      <c r="H1" s="104"/>
      <c r="I1" s="104"/>
      <c r="J1" s="104"/>
      <c r="K1" s="104"/>
      <c r="L1" s="104"/>
      <c r="M1" s="104"/>
      <c r="N1" s="104"/>
    </row>
    <row r="2" customFormat="false" ht="15" hidden="false" customHeight="true" outlineLevel="0" collapsed="false">
      <c r="A2" s="267"/>
      <c r="B2" s="79"/>
      <c r="C2" s="79"/>
      <c r="D2" s="79"/>
      <c r="E2" s="79"/>
      <c r="F2" s="79"/>
      <c r="G2" s="79"/>
      <c r="H2" s="79"/>
      <c r="I2" s="79"/>
    </row>
    <row r="3" customFormat="false" ht="15" hidden="false" customHeight="false" outlineLevel="0" collapsed="false">
      <c r="A3" s="72" t="s">
        <v>7088</v>
      </c>
      <c r="B3" s="79"/>
      <c r="C3" s="79"/>
      <c r="D3" s="79"/>
      <c r="E3" s="79"/>
      <c r="F3" s="79"/>
      <c r="G3" s="79"/>
      <c r="H3" s="79"/>
      <c r="I3" s="79"/>
    </row>
    <row r="4" customFormat="false" ht="15" hidden="false" customHeight="true" outlineLevel="0" collapsed="false">
      <c r="A4" s="267" t="s">
        <v>7089</v>
      </c>
      <c r="B4" s="79"/>
      <c r="C4" s="79"/>
      <c r="D4" s="79"/>
      <c r="E4" s="79"/>
      <c r="F4" s="79"/>
      <c r="G4" s="79"/>
      <c r="H4" s="79"/>
      <c r="I4" s="79"/>
    </row>
    <row r="5" customFormat="false" ht="15" hidden="false" customHeight="true" outlineLevel="0" collapsed="false">
      <c r="A5" s="268"/>
      <c r="B5" s="268"/>
      <c r="C5" s="268"/>
      <c r="D5" s="268"/>
      <c r="E5" s="268"/>
      <c r="F5" s="268"/>
      <c r="G5" s="268"/>
      <c r="H5" s="268"/>
      <c r="I5" s="79"/>
    </row>
    <row r="6" customFormat="false" ht="23.25" hidden="false" customHeight="true" outlineLevel="0" collapsed="false">
      <c r="A6" s="3" t="s">
        <v>7090</v>
      </c>
      <c r="B6" s="3" t="s">
        <v>7091</v>
      </c>
      <c r="C6" s="3" t="s">
        <v>3596</v>
      </c>
      <c r="D6" s="3" t="s">
        <v>7092</v>
      </c>
      <c r="E6" s="3" t="s">
        <v>7093</v>
      </c>
      <c r="F6" s="3" t="s">
        <v>1326</v>
      </c>
      <c r="G6" s="3" t="s">
        <v>6280</v>
      </c>
      <c r="H6" s="3" t="s">
        <v>412</v>
      </c>
      <c r="I6" s="79"/>
    </row>
    <row r="7" customFormat="false" ht="23.25" hidden="false" customHeight="true" outlineLevel="0" collapsed="false">
      <c r="A7" s="73" t="s">
        <v>7094</v>
      </c>
      <c r="B7" s="73" t="s">
        <v>7095</v>
      </c>
      <c r="C7" s="73" t="s">
        <v>3916</v>
      </c>
      <c r="D7" s="73" t="s">
        <v>7096</v>
      </c>
      <c r="E7" s="73" t="s">
        <v>7097</v>
      </c>
      <c r="F7" s="73" t="s">
        <v>7098</v>
      </c>
      <c r="G7" s="73" t="s">
        <v>7099</v>
      </c>
      <c r="H7" s="73" t="s">
        <v>1180</v>
      </c>
      <c r="I7" s="79"/>
    </row>
    <row r="8" customFormat="false" ht="23.25" hidden="false" customHeight="true" outlineLevel="0" collapsed="false">
      <c r="A8" s="75" t="s">
        <v>7100</v>
      </c>
      <c r="B8" s="75" t="s">
        <v>3919</v>
      </c>
      <c r="C8" s="75" t="s">
        <v>7101</v>
      </c>
      <c r="D8" s="75" t="s">
        <v>7102</v>
      </c>
      <c r="E8" s="75" t="s">
        <v>7103</v>
      </c>
      <c r="F8" s="75" t="s">
        <v>7104</v>
      </c>
      <c r="G8" s="75" t="s">
        <v>7099</v>
      </c>
      <c r="H8" s="75" t="s">
        <v>7105</v>
      </c>
      <c r="I8" s="79"/>
    </row>
    <row r="9" customFormat="false" ht="15" hidden="false" customHeight="true" outlineLevel="0" collapsed="false">
      <c r="A9" s="73" t="s">
        <v>7106</v>
      </c>
      <c r="B9" s="73" t="s">
        <v>3919</v>
      </c>
      <c r="C9" s="73" t="s">
        <v>7107</v>
      </c>
      <c r="D9" s="73" t="s">
        <v>7108</v>
      </c>
      <c r="E9" s="73" t="s">
        <v>7109</v>
      </c>
      <c r="F9" s="73" t="s">
        <v>7110</v>
      </c>
      <c r="G9" s="73" t="s">
        <v>7099</v>
      </c>
      <c r="H9" s="73" t="s">
        <v>7105</v>
      </c>
      <c r="I9" s="79"/>
    </row>
    <row r="10" customFormat="false" ht="15" hidden="false" customHeight="true" outlineLevel="0" collapsed="false">
      <c r="A10" s="75" t="s">
        <v>7111</v>
      </c>
      <c r="B10" s="75" t="s">
        <v>3919</v>
      </c>
      <c r="C10" s="75" t="s">
        <v>7112</v>
      </c>
      <c r="D10" s="75" t="s">
        <v>7113</v>
      </c>
      <c r="E10" s="75" t="s">
        <v>7114</v>
      </c>
      <c r="F10" s="75" t="s">
        <v>7115</v>
      </c>
      <c r="G10" s="75" t="s">
        <v>7116</v>
      </c>
      <c r="H10" s="75" t="s">
        <v>7105</v>
      </c>
      <c r="I10" s="79"/>
    </row>
    <row r="11" customFormat="false" ht="15" hidden="false" customHeight="true" outlineLevel="0" collapsed="false">
      <c r="A11" s="73" t="s">
        <v>7117</v>
      </c>
      <c r="B11" s="73" t="s">
        <v>3919</v>
      </c>
      <c r="C11" s="73" t="s">
        <v>7118</v>
      </c>
      <c r="D11" s="73" t="s">
        <v>7119</v>
      </c>
      <c r="E11" s="73" t="s">
        <v>7120</v>
      </c>
      <c r="F11" s="73" t="s">
        <v>7121</v>
      </c>
      <c r="G11" s="73" t="s">
        <v>7116</v>
      </c>
      <c r="H11" s="73" t="s">
        <v>7105</v>
      </c>
      <c r="I11" s="79"/>
    </row>
    <row r="12" customFormat="false" ht="23.25" hidden="false" customHeight="true" outlineLevel="0" collapsed="false">
      <c r="A12" s="75" t="s">
        <v>7122</v>
      </c>
      <c r="B12" s="75" t="s">
        <v>3919</v>
      </c>
      <c r="C12" s="75" t="s">
        <v>7123</v>
      </c>
      <c r="D12" s="75" t="s">
        <v>7124</v>
      </c>
      <c r="E12" s="75" t="s">
        <v>7125</v>
      </c>
      <c r="F12" s="75" t="s">
        <v>7126</v>
      </c>
      <c r="G12" s="75" t="s">
        <v>7116</v>
      </c>
      <c r="H12" s="75" t="s">
        <v>7105</v>
      </c>
      <c r="I12" s="79"/>
    </row>
    <row r="13" customFormat="false" ht="15" hidden="false" customHeight="true" outlineLevel="0" collapsed="false">
      <c r="A13" s="73" t="s">
        <v>7127</v>
      </c>
      <c r="B13" s="73" t="s">
        <v>3919</v>
      </c>
      <c r="C13" s="73" t="s">
        <v>7128</v>
      </c>
      <c r="D13" s="73" t="s">
        <v>7129</v>
      </c>
      <c r="E13" s="73" t="s">
        <v>7130</v>
      </c>
      <c r="F13" s="73" t="s">
        <v>7131</v>
      </c>
      <c r="G13" s="73" t="s">
        <v>7116</v>
      </c>
      <c r="H13" s="73" t="s">
        <v>7105</v>
      </c>
      <c r="I13" s="79"/>
    </row>
    <row r="14" customFormat="false" ht="23.25" hidden="false" customHeight="true" outlineLevel="0" collapsed="false">
      <c r="A14" s="75" t="s">
        <v>7132</v>
      </c>
      <c r="B14" s="75" t="s">
        <v>7133</v>
      </c>
      <c r="C14" s="75" t="s">
        <v>3916</v>
      </c>
      <c r="D14" s="75" t="s">
        <v>7134</v>
      </c>
      <c r="E14" s="75" t="s">
        <v>7135</v>
      </c>
      <c r="F14" s="75" t="s">
        <v>7136</v>
      </c>
      <c r="G14" s="75" t="s">
        <v>7099</v>
      </c>
      <c r="H14" s="75" t="s">
        <v>7105</v>
      </c>
      <c r="I14" s="79"/>
    </row>
    <row r="15" customFormat="false" ht="15" hidden="false" customHeight="true" outlineLevel="0" collapsed="false">
      <c r="A15" s="73" t="s">
        <v>7137</v>
      </c>
      <c r="B15" s="73" t="s">
        <v>7138</v>
      </c>
      <c r="C15" s="73" t="s">
        <v>7139</v>
      </c>
      <c r="D15" s="73" t="s">
        <v>7140</v>
      </c>
      <c r="E15" s="73" t="s">
        <v>7141</v>
      </c>
      <c r="F15" s="73" t="s">
        <v>7142</v>
      </c>
      <c r="G15" s="73" t="s">
        <v>7099</v>
      </c>
      <c r="H15" s="73" t="s">
        <v>7105</v>
      </c>
      <c r="I15" s="79"/>
    </row>
    <row r="16" customFormat="false" ht="15" hidden="false" customHeight="true" outlineLevel="0" collapsed="false">
      <c r="A16" s="75" t="s">
        <v>7143</v>
      </c>
      <c r="B16" s="75" t="s">
        <v>7144</v>
      </c>
      <c r="C16" s="75" t="s">
        <v>7145</v>
      </c>
      <c r="D16" s="75" t="s">
        <v>7146</v>
      </c>
      <c r="E16" s="75" t="s">
        <v>7147</v>
      </c>
      <c r="F16" s="75" t="s">
        <v>7148</v>
      </c>
      <c r="G16" s="75" t="s">
        <v>7099</v>
      </c>
      <c r="H16" s="75" t="s">
        <v>7105</v>
      </c>
      <c r="I16" s="79"/>
    </row>
    <row r="17" customFormat="false" ht="23.25" hidden="false" customHeight="true" outlineLevel="0" collapsed="false">
      <c r="A17" s="73" t="s">
        <v>7149</v>
      </c>
      <c r="B17" s="73" t="s">
        <v>7150</v>
      </c>
      <c r="C17" s="73" t="s">
        <v>7151</v>
      </c>
      <c r="D17" s="73" t="s">
        <v>7152</v>
      </c>
      <c r="E17" s="73" t="s">
        <v>7153</v>
      </c>
      <c r="F17" s="73" t="s">
        <v>7154</v>
      </c>
      <c r="G17" s="73" t="s">
        <v>7099</v>
      </c>
      <c r="H17" s="73" t="s">
        <v>7105</v>
      </c>
      <c r="I17" s="79"/>
    </row>
    <row r="18" customFormat="false" ht="15" hidden="false" customHeight="true" outlineLevel="0" collapsed="false">
      <c r="A18" s="75" t="s">
        <v>7155</v>
      </c>
      <c r="B18" s="75" t="s">
        <v>7156</v>
      </c>
      <c r="C18" s="75" t="s">
        <v>7157</v>
      </c>
      <c r="D18" s="75" t="s">
        <v>7158</v>
      </c>
      <c r="E18" s="75" t="s">
        <v>7159</v>
      </c>
      <c r="F18" s="75" t="s">
        <v>7160</v>
      </c>
      <c r="G18" s="75" t="s">
        <v>7099</v>
      </c>
      <c r="H18" s="75" t="s">
        <v>7105</v>
      </c>
      <c r="I18" s="79"/>
    </row>
    <row r="19" customFormat="false" ht="46.25" hidden="false" customHeight="false" outlineLevel="0" collapsed="false">
      <c r="A19" s="73" t="s">
        <v>7161</v>
      </c>
      <c r="B19" s="73" t="s">
        <v>7162</v>
      </c>
      <c r="C19" s="73" t="s">
        <v>7163</v>
      </c>
      <c r="D19" s="73" t="s">
        <v>7164</v>
      </c>
      <c r="E19" s="73" t="s">
        <v>7165</v>
      </c>
      <c r="F19" s="73" t="s">
        <v>7166</v>
      </c>
      <c r="G19" s="73" t="s">
        <v>7099</v>
      </c>
      <c r="H19" s="73" t="s">
        <v>7105</v>
      </c>
      <c r="I19" s="79"/>
    </row>
    <row r="20" customFormat="false" ht="35.05" hidden="false" customHeight="false" outlineLevel="0" collapsed="false">
      <c r="A20" s="75" t="s">
        <v>7167</v>
      </c>
      <c r="B20" s="75" t="s">
        <v>7168</v>
      </c>
      <c r="C20" s="75" t="s">
        <v>7169</v>
      </c>
      <c r="D20" s="75" t="s">
        <v>7170</v>
      </c>
      <c r="E20" s="75" t="s">
        <v>7171</v>
      </c>
      <c r="F20" s="75" t="s">
        <v>7172</v>
      </c>
      <c r="G20" s="75" t="s">
        <v>7116</v>
      </c>
      <c r="H20" s="75" t="s">
        <v>7105</v>
      </c>
      <c r="I20" s="79"/>
    </row>
    <row r="21" customFormat="false" ht="15" hidden="false" customHeight="true" outlineLevel="0" collapsed="false">
      <c r="A21" s="73" t="s">
        <v>7173</v>
      </c>
      <c r="B21" s="73" t="s">
        <v>7174</v>
      </c>
      <c r="C21" s="73" t="s">
        <v>7175</v>
      </c>
      <c r="D21" s="73" t="s">
        <v>7176</v>
      </c>
      <c r="E21" s="73" t="s">
        <v>7177</v>
      </c>
      <c r="F21" s="73" t="s">
        <v>7178</v>
      </c>
      <c r="G21" s="73" t="s">
        <v>7099</v>
      </c>
      <c r="H21" s="73" t="s">
        <v>7105</v>
      </c>
      <c r="I21" s="79"/>
    </row>
    <row r="22" customFormat="false" ht="15" hidden="false" customHeight="true" outlineLevel="0" collapsed="false">
      <c r="A22" s="75" t="s">
        <v>7179</v>
      </c>
      <c r="B22" s="75" t="s">
        <v>7174</v>
      </c>
      <c r="C22" s="75" t="s">
        <v>7180</v>
      </c>
      <c r="D22" s="75" t="s">
        <v>7181</v>
      </c>
      <c r="E22" s="75" t="s">
        <v>7182</v>
      </c>
      <c r="F22" s="75" t="s">
        <v>7183</v>
      </c>
      <c r="G22" s="75" t="s">
        <v>7099</v>
      </c>
      <c r="H22" s="75" t="s">
        <v>7105</v>
      </c>
      <c r="I22" s="268"/>
    </row>
    <row r="23" customFormat="false" ht="23.25" hidden="false" customHeight="true" outlineLevel="0" collapsed="false">
      <c r="A23" s="73" t="s">
        <v>7184</v>
      </c>
      <c r="B23" s="73" t="s">
        <v>7185</v>
      </c>
      <c r="C23" s="73" t="s">
        <v>7186</v>
      </c>
      <c r="D23" s="73" t="s">
        <v>7124</v>
      </c>
      <c r="E23" s="73" t="s">
        <v>7135</v>
      </c>
      <c r="F23" s="73" t="s">
        <v>7187</v>
      </c>
      <c r="G23" s="73" t="s">
        <v>7099</v>
      </c>
      <c r="H23" s="73" t="s">
        <v>7105</v>
      </c>
      <c r="I23" s="4"/>
    </row>
    <row r="24" customFormat="false" ht="23.25" hidden="false" customHeight="true" outlineLevel="0" collapsed="false">
      <c r="A24" s="75" t="s">
        <v>7188</v>
      </c>
      <c r="B24" s="75" t="s">
        <v>7189</v>
      </c>
      <c r="C24" s="75" t="s">
        <v>7190</v>
      </c>
      <c r="D24" s="75" t="s">
        <v>7191</v>
      </c>
      <c r="E24" s="75" t="s">
        <v>7192</v>
      </c>
      <c r="F24" s="75" t="s">
        <v>7193</v>
      </c>
      <c r="G24" s="75" t="s">
        <v>7099</v>
      </c>
      <c r="H24" s="75" t="s">
        <v>7105</v>
      </c>
      <c r="I24" s="4"/>
    </row>
    <row r="25" customFormat="false" ht="23.25" hidden="false" customHeight="true" outlineLevel="0" collapsed="false">
      <c r="A25" s="73" t="s">
        <v>7194</v>
      </c>
      <c r="B25" s="73" t="s">
        <v>7195</v>
      </c>
      <c r="C25" s="73" t="s">
        <v>6190</v>
      </c>
      <c r="D25" s="73" t="s">
        <v>7196</v>
      </c>
      <c r="E25" s="73" t="s">
        <v>7197</v>
      </c>
      <c r="F25" s="73" t="s">
        <v>7198</v>
      </c>
      <c r="G25" s="73" t="s">
        <v>7099</v>
      </c>
      <c r="H25" s="73" t="s">
        <v>7105</v>
      </c>
      <c r="I25" s="4"/>
    </row>
    <row r="26" customFormat="false" ht="23.25" hidden="false" customHeight="true" outlineLevel="0" collapsed="false">
      <c r="A26" s="75" t="s">
        <v>7199</v>
      </c>
      <c r="B26" s="75" t="s">
        <v>7200</v>
      </c>
      <c r="C26" s="75" t="s">
        <v>3916</v>
      </c>
      <c r="D26" s="75" t="s">
        <v>7134</v>
      </c>
      <c r="E26" s="75" t="s">
        <v>7201</v>
      </c>
      <c r="F26" s="75" t="s">
        <v>7202</v>
      </c>
      <c r="G26" s="75" t="s">
        <v>7099</v>
      </c>
      <c r="H26" s="75" t="s">
        <v>7105</v>
      </c>
      <c r="I26" s="4"/>
    </row>
    <row r="27" customFormat="false" ht="23.25" hidden="false" customHeight="true" outlineLevel="0" collapsed="false">
      <c r="A27" s="73" t="s">
        <v>7203</v>
      </c>
      <c r="B27" s="73" t="s">
        <v>7204</v>
      </c>
      <c r="C27" s="73" t="s">
        <v>7205</v>
      </c>
      <c r="D27" s="73" t="s">
        <v>7206</v>
      </c>
      <c r="E27" s="73" t="s">
        <v>7207</v>
      </c>
      <c r="F27" s="73" t="s">
        <v>7208</v>
      </c>
      <c r="G27" s="73" t="s">
        <v>7099</v>
      </c>
      <c r="H27" s="73" t="s">
        <v>7105</v>
      </c>
      <c r="I27" s="4"/>
    </row>
    <row r="28" customFormat="false" ht="23.25" hidden="false" customHeight="true" outlineLevel="0" collapsed="false">
      <c r="A28" s="75" t="s">
        <v>7209</v>
      </c>
      <c r="B28" s="75" t="s">
        <v>7210</v>
      </c>
      <c r="C28" s="75" t="s">
        <v>7190</v>
      </c>
      <c r="D28" s="75" t="s">
        <v>7196</v>
      </c>
      <c r="E28" s="75" t="s">
        <v>7211</v>
      </c>
      <c r="F28" s="75" t="s">
        <v>7212</v>
      </c>
      <c r="G28" s="75" t="s">
        <v>7099</v>
      </c>
      <c r="H28" s="75" t="s">
        <v>7105</v>
      </c>
      <c r="I28" s="4"/>
    </row>
    <row r="29" customFormat="false" ht="15" hidden="false" customHeight="true" outlineLevel="0" collapsed="false">
      <c r="A29" s="73" t="s">
        <v>7213</v>
      </c>
      <c r="B29" s="73" t="s">
        <v>7210</v>
      </c>
      <c r="C29" s="73" t="s">
        <v>6190</v>
      </c>
      <c r="D29" s="73" t="s">
        <v>7158</v>
      </c>
      <c r="E29" s="73" t="s">
        <v>7214</v>
      </c>
      <c r="F29" s="73" t="s">
        <v>7215</v>
      </c>
      <c r="G29" s="73" t="s">
        <v>7099</v>
      </c>
      <c r="H29" s="73" t="s">
        <v>7105</v>
      </c>
      <c r="I29" s="4"/>
    </row>
    <row r="30" customFormat="false" ht="15" hidden="false" customHeight="true" outlineLevel="0" collapsed="false">
      <c r="A30" s="75" t="s">
        <v>7216</v>
      </c>
      <c r="B30" s="75" t="s">
        <v>3956</v>
      </c>
      <c r="C30" s="75" t="s">
        <v>3916</v>
      </c>
      <c r="D30" s="75" t="s">
        <v>7134</v>
      </c>
      <c r="E30" s="75" t="s">
        <v>7217</v>
      </c>
      <c r="F30" s="75" t="s">
        <v>7218</v>
      </c>
      <c r="G30" s="75" t="s">
        <v>7099</v>
      </c>
      <c r="H30" s="75" t="s">
        <v>7105</v>
      </c>
      <c r="I30" s="4"/>
    </row>
    <row r="31" customFormat="false" ht="15" hidden="false" customHeight="true" outlineLevel="0" collapsed="false">
      <c r="A31" s="73" t="s">
        <v>7219</v>
      </c>
      <c r="B31" s="73" t="s">
        <v>7220</v>
      </c>
      <c r="C31" s="73" t="s">
        <v>7221</v>
      </c>
      <c r="D31" s="73" t="s">
        <v>7222</v>
      </c>
      <c r="E31" s="73" t="s">
        <v>7223</v>
      </c>
      <c r="F31" s="73" t="s">
        <v>7224</v>
      </c>
      <c r="G31" s="73" t="s">
        <v>7099</v>
      </c>
      <c r="H31" s="73" t="s">
        <v>7105</v>
      </c>
      <c r="I31" s="4"/>
    </row>
    <row r="32" customFormat="false" ht="15" hidden="false" customHeight="false" outlineLevel="0" collapsed="false">
      <c r="A32" s="79"/>
      <c r="B32" s="79"/>
      <c r="C32" s="79"/>
      <c r="D32" s="79"/>
      <c r="E32" s="79"/>
      <c r="F32" s="79"/>
      <c r="G32" s="79"/>
      <c r="H32" s="79"/>
      <c r="I32" s="79"/>
    </row>
    <row r="33" customFormat="false" ht="15" hidden="false" customHeight="false" outlineLevel="0" collapsed="false">
      <c r="A33" s="79"/>
      <c r="B33" s="79"/>
      <c r="C33" s="79"/>
      <c r="D33" s="79"/>
      <c r="E33" s="79"/>
      <c r="F33" s="79"/>
      <c r="G33" s="79"/>
      <c r="H33" s="79"/>
      <c r="I33" s="79"/>
    </row>
    <row r="34" customFormat="false" ht="15" hidden="false" customHeight="true" outlineLevel="0" collapsed="false">
      <c r="A34" s="6" t="s">
        <v>7225</v>
      </c>
      <c r="B34" s="79"/>
      <c r="C34" s="79"/>
      <c r="D34" s="79"/>
      <c r="E34" s="79"/>
      <c r="F34" s="79"/>
      <c r="G34" s="79"/>
      <c r="H34" s="79"/>
      <c r="I34" s="79"/>
    </row>
    <row r="35" customFormat="false" ht="15" hidden="false" customHeight="true" outlineLevel="0" collapsed="false">
      <c r="A35" s="268"/>
      <c r="B35" s="268"/>
      <c r="C35" s="268"/>
      <c r="D35" s="268"/>
      <c r="E35" s="268"/>
      <c r="F35" s="268"/>
      <c r="G35" s="268"/>
      <c r="H35" s="268"/>
      <c r="I35" s="79"/>
    </row>
    <row r="36" customFormat="false" ht="23.25" hidden="false" customHeight="true" outlineLevel="0" collapsed="false">
      <c r="A36" s="3" t="s">
        <v>7226</v>
      </c>
      <c r="B36" s="3" t="s">
        <v>7227</v>
      </c>
      <c r="C36" s="3" t="s">
        <v>6278</v>
      </c>
      <c r="D36" s="3" t="s">
        <v>7092</v>
      </c>
      <c r="E36" s="3" t="s">
        <v>7228</v>
      </c>
      <c r="F36" s="3" t="s">
        <v>440</v>
      </c>
      <c r="G36" s="4"/>
      <c r="H36" s="4"/>
      <c r="I36" s="79"/>
    </row>
    <row r="37" customFormat="false" ht="23.25" hidden="false" customHeight="true" outlineLevel="0" collapsed="false">
      <c r="A37" s="73" t="s">
        <v>3916</v>
      </c>
      <c r="B37" s="73" t="s">
        <v>3963</v>
      </c>
      <c r="C37" s="73" t="s">
        <v>7229</v>
      </c>
      <c r="D37" s="73" t="s">
        <v>505</v>
      </c>
      <c r="E37" s="73" t="s">
        <v>7230</v>
      </c>
      <c r="F37" s="73" t="s">
        <v>7231</v>
      </c>
      <c r="G37" s="4"/>
      <c r="H37" s="4"/>
      <c r="I37" s="79"/>
    </row>
    <row r="38" customFormat="false" ht="23.25" hidden="false" customHeight="true" outlineLevel="0" collapsed="false">
      <c r="A38" s="75" t="s">
        <v>7232</v>
      </c>
      <c r="B38" s="75" t="s">
        <v>3963</v>
      </c>
      <c r="C38" s="75" t="s">
        <v>7233</v>
      </c>
      <c r="D38" s="75" t="s">
        <v>7234</v>
      </c>
      <c r="E38" s="75" t="s">
        <v>7235</v>
      </c>
      <c r="F38" s="75" t="s">
        <v>7236</v>
      </c>
      <c r="G38" s="4"/>
      <c r="H38" s="4"/>
      <c r="I38" s="79"/>
    </row>
    <row r="39" customFormat="false" ht="23.25" hidden="false" customHeight="true" outlineLevel="0" collapsed="false">
      <c r="A39" s="73" t="s">
        <v>7237</v>
      </c>
      <c r="B39" s="73" t="s">
        <v>3963</v>
      </c>
      <c r="C39" s="73" t="s">
        <v>7238</v>
      </c>
      <c r="D39" s="73" t="s">
        <v>7239</v>
      </c>
      <c r="E39" s="73" t="s">
        <v>7240</v>
      </c>
      <c r="F39" s="73" t="s">
        <v>7241</v>
      </c>
      <c r="G39" s="4"/>
      <c r="H39" s="4"/>
      <c r="I39" s="79"/>
    </row>
    <row r="40" customFormat="false" ht="23.25" hidden="false" customHeight="true" outlineLevel="0" collapsed="false">
      <c r="A40" s="75" t="s">
        <v>7242</v>
      </c>
      <c r="B40" s="75" t="s">
        <v>7243</v>
      </c>
      <c r="C40" s="75" t="s">
        <v>7244</v>
      </c>
      <c r="D40" s="75" t="s">
        <v>7245</v>
      </c>
      <c r="E40" s="75" t="s">
        <v>7246</v>
      </c>
      <c r="F40" s="75" t="s">
        <v>7247</v>
      </c>
      <c r="G40" s="4"/>
      <c r="H40" s="4"/>
      <c r="I40" s="79"/>
    </row>
    <row r="41" customFormat="false" ht="23.25" hidden="false" customHeight="true" outlineLevel="0" collapsed="false">
      <c r="A41" s="73" t="s">
        <v>7248</v>
      </c>
      <c r="B41" s="73" t="s">
        <v>7249</v>
      </c>
      <c r="C41" s="73" t="s">
        <v>7250</v>
      </c>
      <c r="D41" s="73" t="s">
        <v>7146</v>
      </c>
      <c r="E41" s="73" t="s">
        <v>7251</v>
      </c>
      <c r="F41" s="73" t="s">
        <v>7252</v>
      </c>
      <c r="G41" s="4"/>
      <c r="H41" s="4"/>
      <c r="I41" s="79"/>
    </row>
    <row r="42" customFormat="false" ht="23.25" hidden="false" customHeight="true" outlineLevel="0" collapsed="false">
      <c r="A42" s="75" t="s">
        <v>7253</v>
      </c>
      <c r="B42" s="75" t="s">
        <v>7254</v>
      </c>
      <c r="C42" s="75" t="s">
        <v>7255</v>
      </c>
      <c r="D42" s="75" t="s">
        <v>7113</v>
      </c>
      <c r="E42" s="75" t="s">
        <v>7256</v>
      </c>
      <c r="F42" s="75" t="s">
        <v>7257</v>
      </c>
      <c r="G42" s="4"/>
      <c r="H42" s="4"/>
      <c r="I42" s="79"/>
    </row>
    <row r="43" customFormat="false" ht="23.25" hidden="false" customHeight="true" outlineLevel="0" collapsed="false">
      <c r="A43" s="73" t="s">
        <v>7258</v>
      </c>
      <c r="B43" s="73" t="s">
        <v>7254</v>
      </c>
      <c r="C43" s="73" t="s">
        <v>7259</v>
      </c>
      <c r="D43" s="73" t="s">
        <v>7260</v>
      </c>
      <c r="E43" s="73" t="s">
        <v>7261</v>
      </c>
      <c r="F43" s="73" t="s">
        <v>7262</v>
      </c>
      <c r="G43" s="4"/>
      <c r="H43" s="4"/>
      <c r="I43" s="79"/>
    </row>
    <row r="44" customFormat="false" ht="23.25" hidden="false" customHeight="true" outlineLevel="0" collapsed="false">
      <c r="A44" s="75" t="s">
        <v>7263</v>
      </c>
      <c r="B44" s="75" t="s">
        <v>7264</v>
      </c>
      <c r="C44" s="75" t="s">
        <v>7265</v>
      </c>
      <c r="D44" s="75" t="s">
        <v>7260</v>
      </c>
      <c r="E44" s="75" t="s">
        <v>7266</v>
      </c>
      <c r="F44" s="75" t="s">
        <v>7267</v>
      </c>
      <c r="G44" s="4"/>
      <c r="H44" s="4"/>
      <c r="I44" s="79"/>
    </row>
    <row r="45" customFormat="false" ht="23.25" hidden="false" customHeight="true" outlineLevel="0" collapsed="false">
      <c r="A45" s="73" t="s">
        <v>7268</v>
      </c>
      <c r="B45" s="73" t="s">
        <v>7269</v>
      </c>
      <c r="C45" s="73" t="s">
        <v>7270</v>
      </c>
      <c r="D45" s="73" t="s">
        <v>7119</v>
      </c>
      <c r="E45" s="73" t="s">
        <v>7271</v>
      </c>
      <c r="F45" s="73"/>
      <c r="G45" s="4"/>
      <c r="H45" s="4"/>
      <c r="I45" s="79"/>
    </row>
    <row r="46" customFormat="false" ht="23.25" hidden="false" customHeight="true" outlineLevel="0" collapsed="false">
      <c r="A46" s="75" t="s">
        <v>7272</v>
      </c>
      <c r="B46" s="75" t="s">
        <v>7269</v>
      </c>
      <c r="C46" s="75" t="s">
        <v>7273</v>
      </c>
      <c r="D46" s="75" t="s">
        <v>7274</v>
      </c>
      <c r="E46" s="75" t="s">
        <v>7271</v>
      </c>
      <c r="F46" s="75" t="s">
        <v>7275</v>
      </c>
      <c r="G46" s="4"/>
      <c r="H46" s="4"/>
      <c r="I46" s="79"/>
    </row>
    <row r="47" customFormat="false" ht="23.25" hidden="false" customHeight="true" outlineLevel="0" collapsed="false">
      <c r="A47" s="73" t="s">
        <v>7276</v>
      </c>
      <c r="B47" s="73" t="s">
        <v>3982</v>
      </c>
      <c r="C47" s="73" t="s">
        <v>7277</v>
      </c>
      <c r="D47" s="73" t="s">
        <v>505</v>
      </c>
      <c r="E47" s="73" t="s">
        <v>7278</v>
      </c>
      <c r="F47" s="73" t="s">
        <v>7279</v>
      </c>
      <c r="G47" s="4"/>
      <c r="H47" s="4"/>
      <c r="I47" s="79"/>
    </row>
    <row r="48" customFormat="false" ht="23.85" hidden="false" customHeight="false" outlineLevel="0" collapsed="false">
      <c r="A48" s="75" t="s">
        <v>7280</v>
      </c>
      <c r="B48" s="75" t="s">
        <v>3973</v>
      </c>
      <c r="C48" s="75" t="s">
        <v>7281</v>
      </c>
      <c r="D48" s="75" t="s">
        <v>7282</v>
      </c>
      <c r="E48" s="75" t="s">
        <v>7283</v>
      </c>
      <c r="F48" s="75"/>
    </row>
    <row r="49" customFormat="false" ht="23.85" hidden="false" customHeight="false" outlineLevel="0" collapsed="false">
      <c r="A49" s="73" t="s">
        <v>7284</v>
      </c>
      <c r="B49" s="73" t="s">
        <v>3973</v>
      </c>
      <c r="C49" s="73" t="s">
        <v>7285</v>
      </c>
      <c r="D49" s="73" t="s">
        <v>505</v>
      </c>
      <c r="E49" s="73" t="s">
        <v>7286</v>
      </c>
      <c r="F49" s="73" t="s">
        <v>7287</v>
      </c>
    </row>
    <row r="50" customFormat="false" ht="23.85" hidden="false" customHeight="false" outlineLevel="0" collapsed="false">
      <c r="A50" s="75" t="s">
        <v>7288</v>
      </c>
      <c r="B50" s="75" t="s">
        <v>3973</v>
      </c>
      <c r="C50" s="75" t="s">
        <v>7289</v>
      </c>
      <c r="D50" s="75" t="s">
        <v>505</v>
      </c>
      <c r="E50" s="75" t="s">
        <v>7290</v>
      </c>
      <c r="F50" s="75" t="s">
        <v>7291</v>
      </c>
    </row>
    <row r="51" customFormat="false" ht="46.25" hidden="false" customHeight="false" outlineLevel="0" collapsed="false">
      <c r="A51" s="73" t="s">
        <v>1497</v>
      </c>
      <c r="B51" s="73" t="s">
        <v>3963</v>
      </c>
      <c r="C51" s="73" t="s">
        <v>7292</v>
      </c>
      <c r="D51" s="73" t="s">
        <v>7158</v>
      </c>
      <c r="E51" s="73" t="s">
        <v>7293</v>
      </c>
      <c r="F51" s="73" t="s">
        <v>7294</v>
      </c>
    </row>
    <row r="52" customFormat="false" ht="46.25" hidden="false" customHeight="false" outlineLevel="0" collapsed="false">
      <c r="A52" s="75" t="s">
        <v>7295</v>
      </c>
      <c r="B52" s="75" t="s">
        <v>3963</v>
      </c>
      <c r="C52" s="75" t="s">
        <v>7296</v>
      </c>
      <c r="D52" s="75" t="s">
        <v>7297</v>
      </c>
      <c r="E52" s="75" t="s">
        <v>7298</v>
      </c>
      <c r="F52" s="75" t="s">
        <v>7299</v>
      </c>
    </row>
    <row r="55" customFormat="false" ht="15" hidden="false" customHeight="false" outlineLevel="0" collapsed="false">
      <c r="A55" s="72" t="s">
        <v>7300</v>
      </c>
    </row>
    <row r="57" customFormat="false" ht="26.85" hidden="false" customHeight="false" outlineLevel="0" collapsed="false">
      <c r="A57" s="3" t="s">
        <v>7301</v>
      </c>
      <c r="B57" s="3" t="s">
        <v>2574</v>
      </c>
      <c r="C57" s="3" t="s">
        <v>7302</v>
      </c>
      <c r="D57" s="3" t="s">
        <v>7303</v>
      </c>
      <c r="E57" s="3" t="s">
        <v>440</v>
      </c>
    </row>
    <row r="58" customFormat="false" ht="15" hidden="false" customHeight="false" outlineLevel="0" collapsed="false">
      <c r="A58" s="73" t="s">
        <v>7304</v>
      </c>
      <c r="B58" s="73" t="s">
        <v>7305</v>
      </c>
      <c r="C58" s="73" t="s">
        <v>7306</v>
      </c>
      <c r="D58" s="73" t="s">
        <v>3913</v>
      </c>
      <c r="E58" s="73" t="s">
        <v>7307</v>
      </c>
    </row>
    <row r="59" customFormat="false" ht="23.85" hidden="false" customHeight="false" outlineLevel="0" collapsed="false">
      <c r="A59" s="75" t="s">
        <v>7308</v>
      </c>
      <c r="B59" s="75" t="s">
        <v>7305</v>
      </c>
      <c r="C59" s="75" t="s">
        <v>7309</v>
      </c>
      <c r="D59" s="75" t="s">
        <v>7310</v>
      </c>
      <c r="E59" s="75"/>
    </row>
    <row r="60" customFormat="false" ht="23.85" hidden="false" customHeight="false" outlineLevel="0" collapsed="false">
      <c r="A60" s="73" t="s">
        <v>7311</v>
      </c>
      <c r="B60" s="73" t="s">
        <v>7305</v>
      </c>
      <c r="C60" s="73" t="s">
        <v>7309</v>
      </c>
      <c r="D60" s="73" t="s">
        <v>7312</v>
      </c>
      <c r="E60" s="73"/>
    </row>
    <row r="61" customFormat="false" ht="23.85" hidden="false" customHeight="false" outlineLevel="0" collapsed="false">
      <c r="A61" s="75" t="s">
        <v>7313</v>
      </c>
      <c r="B61" s="75" t="s">
        <v>7305</v>
      </c>
      <c r="C61" s="75" t="s">
        <v>7314</v>
      </c>
      <c r="D61" s="75" t="s">
        <v>7315</v>
      </c>
      <c r="E61" s="75"/>
    </row>
    <row r="62" customFormat="false" ht="23.85" hidden="false" customHeight="false" outlineLevel="0" collapsed="false">
      <c r="A62" s="73" t="s">
        <v>7316</v>
      </c>
      <c r="B62" s="73" t="s">
        <v>7317</v>
      </c>
      <c r="C62" s="73" t="s">
        <v>7318</v>
      </c>
      <c r="D62" s="73" t="s">
        <v>7319</v>
      </c>
      <c r="E62" s="73" t="s">
        <v>7320</v>
      </c>
    </row>
    <row r="63" customFormat="false" ht="23.85" hidden="false" customHeight="false" outlineLevel="0" collapsed="false">
      <c r="A63" s="75" t="s">
        <v>7321</v>
      </c>
      <c r="B63" s="75" t="s">
        <v>7317</v>
      </c>
      <c r="C63" s="75" t="s">
        <v>7322</v>
      </c>
      <c r="D63" s="75" t="s">
        <v>7323</v>
      </c>
      <c r="E63" s="75" t="s">
        <v>7324</v>
      </c>
    </row>
    <row r="64" customFormat="false" ht="23.85" hidden="false" customHeight="false" outlineLevel="0" collapsed="false">
      <c r="A64" s="73" t="s">
        <v>7325</v>
      </c>
      <c r="B64" s="73" t="s">
        <v>7317</v>
      </c>
      <c r="C64" s="73" t="s">
        <v>7326</v>
      </c>
      <c r="D64" s="73" t="s">
        <v>7327</v>
      </c>
      <c r="E64" s="73" t="s">
        <v>7328</v>
      </c>
    </row>
    <row r="65" customFormat="false" ht="23.85" hidden="false" customHeight="false" outlineLevel="0" collapsed="false">
      <c r="A65" s="75" t="s">
        <v>7329</v>
      </c>
      <c r="B65" s="75" t="s">
        <v>7317</v>
      </c>
      <c r="C65" s="75" t="s">
        <v>7330</v>
      </c>
      <c r="D65" s="75" t="s">
        <v>7331</v>
      </c>
      <c r="E65" s="75" t="s">
        <v>7332</v>
      </c>
    </row>
    <row r="66" customFormat="false" ht="15" hidden="false" customHeight="false" outlineLevel="0" collapsed="false">
      <c r="A66" s="73" t="s">
        <v>7333</v>
      </c>
      <c r="B66" s="73" t="s">
        <v>1551</v>
      </c>
      <c r="C66" s="73" t="s">
        <v>7334</v>
      </c>
      <c r="D66" s="73" t="s">
        <v>7335</v>
      </c>
      <c r="E66" s="73" t="s">
        <v>7336</v>
      </c>
    </row>
    <row r="67" customFormat="false" ht="23.85" hidden="false" customHeight="false" outlineLevel="0" collapsed="false">
      <c r="A67" s="75" t="s">
        <v>7337</v>
      </c>
      <c r="B67" s="75" t="s">
        <v>1551</v>
      </c>
      <c r="C67" s="75" t="s">
        <v>7338</v>
      </c>
      <c r="D67" s="75" t="s">
        <v>7323</v>
      </c>
      <c r="E67" s="75" t="s">
        <v>7339</v>
      </c>
    </row>
    <row r="68" customFormat="false" ht="23.85" hidden="false" customHeight="false" outlineLevel="0" collapsed="false">
      <c r="A68" s="73" t="s">
        <v>7340</v>
      </c>
      <c r="B68" s="73" t="s">
        <v>1551</v>
      </c>
      <c r="C68" s="73" t="s">
        <v>7341</v>
      </c>
      <c r="D68" s="73" t="s">
        <v>7323</v>
      </c>
      <c r="E68" s="73"/>
    </row>
    <row r="69" customFormat="false" ht="23.85" hidden="false" customHeight="false" outlineLevel="0" collapsed="false">
      <c r="A69" s="75" t="s">
        <v>7342</v>
      </c>
      <c r="B69" s="75" t="s">
        <v>1551</v>
      </c>
      <c r="C69" s="75" t="s">
        <v>7343</v>
      </c>
      <c r="D69" s="75" t="s">
        <v>7323</v>
      </c>
      <c r="E69" s="75"/>
    </row>
    <row r="70" customFormat="false" ht="23.85" hidden="false" customHeight="false" outlineLevel="0" collapsed="false">
      <c r="A70" s="73" t="s">
        <v>7344</v>
      </c>
      <c r="B70" s="73" t="s">
        <v>7345</v>
      </c>
      <c r="C70" s="73" t="s">
        <v>7346</v>
      </c>
      <c r="D70" s="73" t="s">
        <v>7347</v>
      </c>
      <c r="E70" s="73"/>
    </row>
    <row r="71" customFormat="false" ht="23.85" hidden="false" customHeight="false" outlineLevel="0" collapsed="false">
      <c r="A71" s="75" t="s">
        <v>7348</v>
      </c>
      <c r="B71" s="75" t="s">
        <v>7345</v>
      </c>
      <c r="C71" s="75" t="s">
        <v>7349</v>
      </c>
      <c r="D71" s="75" t="s">
        <v>7350</v>
      </c>
      <c r="E71" s="75"/>
    </row>
    <row r="72" customFormat="false" ht="23.85" hidden="false" customHeight="false" outlineLevel="0" collapsed="false">
      <c r="A72" s="73" t="s">
        <v>7351</v>
      </c>
      <c r="B72" s="73" t="s">
        <v>7345</v>
      </c>
      <c r="C72" s="73" t="s">
        <v>7352</v>
      </c>
      <c r="D72" s="73" t="s">
        <v>7353</v>
      </c>
      <c r="E72" s="73"/>
    </row>
    <row r="73" customFormat="false" ht="68.65" hidden="false" customHeight="false" outlineLevel="0" collapsed="false">
      <c r="A73" s="75" t="s">
        <v>7354</v>
      </c>
      <c r="B73" s="75" t="s">
        <v>7355</v>
      </c>
      <c r="C73" s="75" t="s">
        <v>7356</v>
      </c>
      <c r="D73" s="75" t="s">
        <v>7357</v>
      </c>
      <c r="E73" s="75" t="s">
        <v>7358</v>
      </c>
    </row>
    <row r="74" customFormat="false" ht="68.65" hidden="false" customHeight="false" outlineLevel="0" collapsed="false">
      <c r="A74" s="73" t="s">
        <v>7359</v>
      </c>
      <c r="B74" s="73" t="s">
        <v>7355</v>
      </c>
      <c r="C74" s="73" t="s">
        <v>7360</v>
      </c>
      <c r="D74" s="73" t="s">
        <v>7357</v>
      </c>
      <c r="E74" s="73" t="s">
        <v>7361</v>
      </c>
    </row>
    <row r="75" customFormat="false" ht="15" hidden="false" customHeight="false" outlineLevel="0" collapsed="false">
      <c r="A75" s="75" t="s">
        <v>7362</v>
      </c>
      <c r="B75" s="75" t="s">
        <v>7363</v>
      </c>
      <c r="C75" s="75" t="s">
        <v>7364</v>
      </c>
      <c r="D75" s="75" t="s">
        <v>7365</v>
      </c>
      <c r="E75" s="75" t="s">
        <v>7366</v>
      </c>
    </row>
    <row r="76" customFormat="false" ht="15" hidden="false" customHeight="false" outlineLevel="0" collapsed="false">
      <c r="A76" s="73" t="s">
        <v>7367</v>
      </c>
      <c r="B76" s="73" t="s">
        <v>7363</v>
      </c>
      <c r="C76" s="73" t="s">
        <v>7368</v>
      </c>
      <c r="D76" s="73" t="s">
        <v>7365</v>
      </c>
      <c r="E76" s="73" t="s">
        <v>7369</v>
      </c>
    </row>
    <row r="79" customFormat="false" ht="15" hidden="false" customHeight="false" outlineLevel="0" collapsed="false">
      <c r="A79" s="72" t="s">
        <v>7370</v>
      </c>
    </row>
    <row r="80" customFormat="false" ht="15" hidden="false" customHeight="false" outlineLevel="0" collapsed="false">
      <c r="A80" s="269" t="s">
        <v>7371</v>
      </c>
    </row>
    <row r="82" customFormat="false" ht="26.85" hidden="false" customHeight="false" outlineLevel="0" collapsed="false">
      <c r="A82" s="3" t="s">
        <v>2573</v>
      </c>
      <c r="B82" s="3" t="s">
        <v>3912</v>
      </c>
      <c r="C82" s="3" t="s">
        <v>7372</v>
      </c>
      <c r="D82" s="3" t="s">
        <v>7373</v>
      </c>
      <c r="E82" s="3" t="s">
        <v>1422</v>
      </c>
      <c r="F82" s="3" t="s">
        <v>7374</v>
      </c>
      <c r="G82" s="3" t="s">
        <v>7375</v>
      </c>
      <c r="H82" s="3" t="s">
        <v>7376</v>
      </c>
    </row>
    <row r="83" customFormat="false" ht="35.05" hidden="false" customHeight="false" outlineLevel="0" collapsed="false">
      <c r="A83" s="73" t="s">
        <v>7377</v>
      </c>
      <c r="B83" s="73" t="s">
        <v>7378</v>
      </c>
      <c r="C83" s="73" t="s">
        <v>7379</v>
      </c>
      <c r="D83" s="73" t="s">
        <v>810</v>
      </c>
      <c r="E83" s="73" t="s">
        <v>7380</v>
      </c>
      <c r="F83" s="73" t="s">
        <v>7381</v>
      </c>
      <c r="G83" s="73" t="s">
        <v>451</v>
      </c>
      <c r="H83" s="73" t="s">
        <v>7382</v>
      </c>
    </row>
    <row r="84" customFormat="false" ht="23.85" hidden="false" customHeight="false" outlineLevel="0" collapsed="false">
      <c r="A84" s="75" t="s">
        <v>7383</v>
      </c>
      <c r="B84" s="75" t="s">
        <v>7378</v>
      </c>
      <c r="C84" s="75" t="s">
        <v>7384</v>
      </c>
      <c r="D84" s="75" t="s">
        <v>805</v>
      </c>
      <c r="E84" s="75" t="s">
        <v>1479</v>
      </c>
      <c r="F84" s="75" t="s">
        <v>7385</v>
      </c>
      <c r="G84" s="75" t="s">
        <v>7386</v>
      </c>
      <c r="H84" s="75" t="s">
        <v>7387</v>
      </c>
    </row>
    <row r="85" customFormat="false" ht="15" hidden="false" customHeight="false" outlineLevel="0" collapsed="false">
      <c r="A85" s="73" t="s">
        <v>7388</v>
      </c>
      <c r="B85" s="73" t="s">
        <v>7378</v>
      </c>
      <c r="C85" s="73" t="s">
        <v>7389</v>
      </c>
      <c r="D85" s="73" t="s">
        <v>732</v>
      </c>
      <c r="E85" s="73" t="s">
        <v>1460</v>
      </c>
      <c r="F85" s="73" t="s">
        <v>7390</v>
      </c>
      <c r="G85" s="73" t="s">
        <v>7386</v>
      </c>
      <c r="H85" s="73" t="s">
        <v>7391</v>
      </c>
    </row>
    <row r="86" customFormat="false" ht="46.25" hidden="false" customHeight="false" outlineLevel="0" collapsed="false">
      <c r="A86" s="75" t="s">
        <v>7392</v>
      </c>
      <c r="B86" s="75" t="s">
        <v>1147</v>
      </c>
      <c r="C86" s="75" t="s">
        <v>7393</v>
      </c>
      <c r="D86" s="75" t="s">
        <v>785</v>
      </c>
      <c r="E86" s="75" t="s">
        <v>1479</v>
      </c>
      <c r="F86" s="75" t="s">
        <v>7394</v>
      </c>
      <c r="G86" s="75" t="s">
        <v>7395</v>
      </c>
      <c r="H86" s="75" t="s">
        <v>7396</v>
      </c>
    </row>
    <row r="87" customFormat="false" ht="57.45" hidden="false" customHeight="false" outlineLevel="0" collapsed="false">
      <c r="A87" s="73" t="s">
        <v>7397</v>
      </c>
      <c r="B87" s="73" t="s">
        <v>1147</v>
      </c>
      <c r="C87" s="73" t="s">
        <v>7398</v>
      </c>
      <c r="D87" s="73" t="s">
        <v>784</v>
      </c>
      <c r="E87" s="73" t="s">
        <v>1479</v>
      </c>
      <c r="F87" s="73" t="s">
        <v>7399</v>
      </c>
      <c r="G87" s="73" t="s">
        <v>7395</v>
      </c>
      <c r="H87" s="73" t="s">
        <v>7400</v>
      </c>
    </row>
    <row r="88" customFormat="false" ht="35.05" hidden="false" customHeight="false" outlineLevel="0" collapsed="false">
      <c r="A88" s="75" t="s">
        <v>7401</v>
      </c>
      <c r="B88" s="75" t="s">
        <v>1147</v>
      </c>
      <c r="C88" s="75" t="s">
        <v>7402</v>
      </c>
      <c r="D88" s="75" t="s">
        <v>728</v>
      </c>
      <c r="E88" s="75" t="s">
        <v>1431</v>
      </c>
      <c r="F88" s="75" t="s">
        <v>7403</v>
      </c>
      <c r="G88" s="75" t="s">
        <v>7395</v>
      </c>
      <c r="H88" s="75" t="s">
        <v>7404</v>
      </c>
    </row>
    <row r="89" customFormat="false" ht="46.25" hidden="false" customHeight="false" outlineLevel="0" collapsed="false">
      <c r="A89" s="73" t="s">
        <v>7395</v>
      </c>
      <c r="B89" s="73" t="s">
        <v>1147</v>
      </c>
      <c r="C89" s="73" t="s">
        <v>7405</v>
      </c>
      <c r="D89" s="73" t="s">
        <v>740</v>
      </c>
      <c r="E89" s="73" t="s">
        <v>7406</v>
      </c>
      <c r="F89" s="73" t="s">
        <v>7407</v>
      </c>
      <c r="G89" s="73" t="s">
        <v>7408</v>
      </c>
      <c r="H89" s="73" t="s">
        <v>7409</v>
      </c>
    </row>
    <row r="90" customFormat="false" ht="35.05" hidden="false" customHeight="false" outlineLevel="0" collapsed="false">
      <c r="A90" s="75" t="s">
        <v>7408</v>
      </c>
      <c r="B90" s="75" t="s">
        <v>1147</v>
      </c>
      <c r="C90" s="75" t="s">
        <v>7410</v>
      </c>
      <c r="D90" s="75" t="s">
        <v>769</v>
      </c>
      <c r="E90" s="75" t="s">
        <v>7406</v>
      </c>
      <c r="F90" s="75" t="s">
        <v>7411</v>
      </c>
      <c r="G90" s="75" t="s">
        <v>7412</v>
      </c>
      <c r="H90" s="75" t="s">
        <v>7413</v>
      </c>
    </row>
    <row r="91" customFormat="false" ht="46.25" hidden="false" customHeight="false" outlineLevel="0" collapsed="false">
      <c r="A91" s="73" t="s">
        <v>7412</v>
      </c>
      <c r="B91" s="73" t="s">
        <v>1147</v>
      </c>
      <c r="C91" s="73" t="s">
        <v>7414</v>
      </c>
      <c r="D91" s="73" t="s">
        <v>738</v>
      </c>
      <c r="E91" s="73" t="s">
        <v>7415</v>
      </c>
      <c r="F91" s="73" t="s">
        <v>7416</v>
      </c>
      <c r="G91" s="73" t="s">
        <v>7417</v>
      </c>
      <c r="H91" s="73" t="s">
        <v>7418</v>
      </c>
    </row>
    <row r="92" customFormat="false" ht="35.05" hidden="false" customHeight="false" outlineLevel="0" collapsed="false">
      <c r="A92" s="75" t="s">
        <v>7417</v>
      </c>
      <c r="B92" s="75" t="s">
        <v>1147</v>
      </c>
      <c r="C92" s="75" t="s">
        <v>7419</v>
      </c>
      <c r="D92" s="75" t="s">
        <v>755</v>
      </c>
      <c r="E92" s="75" t="s">
        <v>7380</v>
      </c>
      <c r="F92" s="75" t="s">
        <v>7420</v>
      </c>
      <c r="G92" s="75" t="s">
        <v>451</v>
      </c>
      <c r="H92" s="75" t="s">
        <v>7421</v>
      </c>
    </row>
    <row r="93" customFormat="false" ht="46.25" hidden="false" customHeight="false" outlineLevel="0" collapsed="false">
      <c r="A93" s="73" t="s">
        <v>7422</v>
      </c>
      <c r="B93" s="73" t="s">
        <v>1147</v>
      </c>
      <c r="C93" s="73" t="s">
        <v>7423</v>
      </c>
      <c r="D93" s="73" t="s">
        <v>789</v>
      </c>
      <c r="E93" s="73" t="s">
        <v>1479</v>
      </c>
      <c r="F93" s="73" t="s">
        <v>7424</v>
      </c>
      <c r="G93" s="73" t="s">
        <v>7395</v>
      </c>
      <c r="H93" s="73" t="s">
        <v>7425</v>
      </c>
    </row>
    <row r="94" customFormat="false" ht="46.25" hidden="false" customHeight="false" outlineLevel="0" collapsed="false">
      <c r="A94" s="75" t="s">
        <v>7426</v>
      </c>
      <c r="B94" s="75" t="s">
        <v>1147</v>
      </c>
      <c r="C94" s="75" t="s">
        <v>7427</v>
      </c>
      <c r="D94" s="75" t="s">
        <v>7428</v>
      </c>
      <c r="E94" s="75" t="s">
        <v>1479</v>
      </c>
      <c r="F94" s="75" t="s">
        <v>7429</v>
      </c>
      <c r="G94" s="75" t="s">
        <v>7395</v>
      </c>
      <c r="H94" s="75" t="s">
        <v>7430</v>
      </c>
    </row>
    <row r="95" customFormat="false" ht="46.25" hidden="false" customHeight="false" outlineLevel="0" collapsed="false">
      <c r="A95" s="73" t="s">
        <v>7431</v>
      </c>
      <c r="B95" s="73" t="s">
        <v>1147</v>
      </c>
      <c r="C95" s="73" t="s">
        <v>7432</v>
      </c>
      <c r="D95" s="73" t="s">
        <v>790</v>
      </c>
      <c r="E95" s="73" t="s">
        <v>1431</v>
      </c>
      <c r="F95" s="73" t="s">
        <v>7433</v>
      </c>
      <c r="G95" s="73" t="s">
        <v>7395</v>
      </c>
      <c r="H95" s="73" t="s">
        <v>7434</v>
      </c>
    </row>
    <row r="96" customFormat="false" ht="23.85" hidden="false" customHeight="false" outlineLevel="0" collapsed="false">
      <c r="A96" s="75" t="s">
        <v>7435</v>
      </c>
      <c r="B96" s="75" t="s">
        <v>1147</v>
      </c>
      <c r="C96" s="75" t="s">
        <v>7436</v>
      </c>
      <c r="D96" s="75" t="s">
        <v>742</v>
      </c>
      <c r="E96" s="75" t="s">
        <v>1479</v>
      </c>
      <c r="F96" s="75" t="s">
        <v>7437</v>
      </c>
      <c r="G96" s="75" t="s">
        <v>7395</v>
      </c>
      <c r="H96" s="75" t="s">
        <v>7438</v>
      </c>
    </row>
    <row r="97" customFormat="false" ht="35.05" hidden="false" customHeight="false" outlineLevel="0" collapsed="false">
      <c r="A97" s="73" t="s">
        <v>7439</v>
      </c>
      <c r="B97" s="73" t="s">
        <v>1147</v>
      </c>
      <c r="C97" s="73" t="s">
        <v>7440</v>
      </c>
      <c r="D97" s="73" t="s">
        <v>730</v>
      </c>
      <c r="E97" s="73" t="s">
        <v>1479</v>
      </c>
      <c r="F97" s="73" t="s">
        <v>7441</v>
      </c>
      <c r="G97" s="73" t="s">
        <v>7442</v>
      </c>
      <c r="H97" s="73" t="s">
        <v>7443</v>
      </c>
    </row>
    <row r="98" customFormat="false" ht="35.05" hidden="false" customHeight="false" outlineLevel="0" collapsed="false">
      <c r="A98" s="75" t="s">
        <v>7444</v>
      </c>
      <c r="B98" s="75" t="s">
        <v>1147</v>
      </c>
      <c r="C98" s="75" t="s">
        <v>7445</v>
      </c>
      <c r="D98" s="75" t="s">
        <v>784</v>
      </c>
      <c r="E98" s="75" t="s">
        <v>1479</v>
      </c>
      <c r="F98" s="75" t="s">
        <v>7446</v>
      </c>
      <c r="G98" s="75" t="s">
        <v>7447</v>
      </c>
      <c r="H98" s="75" t="s">
        <v>7448</v>
      </c>
    </row>
    <row r="99" customFormat="false" ht="35.05" hidden="false" customHeight="false" outlineLevel="0" collapsed="false">
      <c r="A99" s="73" t="s">
        <v>7449</v>
      </c>
      <c r="B99" s="73" t="s">
        <v>1147</v>
      </c>
      <c r="C99" s="73" t="s">
        <v>7450</v>
      </c>
      <c r="D99" s="73" t="s">
        <v>786</v>
      </c>
      <c r="E99" s="73" t="s">
        <v>1479</v>
      </c>
      <c r="F99" s="73" t="s">
        <v>7451</v>
      </c>
      <c r="G99" s="73" t="s">
        <v>7452</v>
      </c>
      <c r="H99" s="73" t="s">
        <v>7453</v>
      </c>
    </row>
    <row r="100" customFormat="false" ht="23.85" hidden="false" customHeight="false" outlineLevel="0" collapsed="false">
      <c r="A100" s="75" t="s">
        <v>7454</v>
      </c>
      <c r="B100" s="75" t="s">
        <v>1147</v>
      </c>
      <c r="C100" s="75" t="s">
        <v>7455</v>
      </c>
      <c r="D100" s="75" t="s">
        <v>732</v>
      </c>
      <c r="E100" s="75" t="s">
        <v>1479</v>
      </c>
      <c r="F100" s="75" t="s">
        <v>7456</v>
      </c>
      <c r="G100" s="75" t="s">
        <v>7457</v>
      </c>
      <c r="H100" s="75" t="s">
        <v>7458</v>
      </c>
    </row>
    <row r="101" customFormat="false" ht="23.85" hidden="false" customHeight="false" outlineLevel="0" collapsed="false">
      <c r="A101" s="73" t="s">
        <v>7457</v>
      </c>
      <c r="B101" s="73" t="s">
        <v>1147</v>
      </c>
      <c r="C101" s="73" t="s">
        <v>7459</v>
      </c>
      <c r="D101" s="73" t="s">
        <v>794</v>
      </c>
      <c r="E101" s="73" t="s">
        <v>1479</v>
      </c>
      <c r="F101" s="73" t="s">
        <v>7460</v>
      </c>
      <c r="G101" s="73" t="s">
        <v>7461</v>
      </c>
      <c r="H101" s="73" t="s">
        <v>7462</v>
      </c>
    </row>
    <row r="102" customFormat="false" ht="23.85" hidden="false" customHeight="false" outlineLevel="0" collapsed="false">
      <c r="A102" s="75" t="s">
        <v>7463</v>
      </c>
      <c r="B102" s="75" t="s">
        <v>1147</v>
      </c>
      <c r="C102" s="75" t="s">
        <v>7464</v>
      </c>
      <c r="D102" s="75" t="s">
        <v>784</v>
      </c>
      <c r="E102" s="75" t="s">
        <v>1479</v>
      </c>
      <c r="F102" s="75" t="s">
        <v>7465</v>
      </c>
      <c r="G102" s="75" t="s">
        <v>451</v>
      </c>
      <c r="H102" s="75" t="s">
        <v>7466</v>
      </c>
    </row>
    <row r="103" customFormat="false" ht="35.05" hidden="false" customHeight="false" outlineLevel="0" collapsed="false">
      <c r="A103" s="73" t="s">
        <v>2773</v>
      </c>
      <c r="B103" s="73" t="s">
        <v>1147</v>
      </c>
      <c r="C103" s="73" t="s">
        <v>7467</v>
      </c>
      <c r="D103" s="73" t="s">
        <v>7468</v>
      </c>
      <c r="E103" s="73" t="s">
        <v>7469</v>
      </c>
      <c r="F103" s="73" t="s">
        <v>7470</v>
      </c>
      <c r="G103" s="73" t="s">
        <v>7471</v>
      </c>
      <c r="H103" s="73" t="s">
        <v>7472</v>
      </c>
    </row>
    <row r="104" customFormat="false" ht="23.85" hidden="false" customHeight="false" outlineLevel="0" collapsed="false">
      <c r="A104" s="75" t="s">
        <v>7473</v>
      </c>
      <c r="B104" s="75" t="s">
        <v>1147</v>
      </c>
      <c r="C104" s="75" t="s">
        <v>7474</v>
      </c>
      <c r="D104" s="75" t="s">
        <v>1592</v>
      </c>
      <c r="E104" s="75" t="s">
        <v>7469</v>
      </c>
      <c r="F104" s="75" t="s">
        <v>7475</v>
      </c>
      <c r="G104" s="75" t="s">
        <v>7471</v>
      </c>
      <c r="H104" s="75" t="s">
        <v>7476</v>
      </c>
    </row>
    <row r="105" customFormat="false" ht="35.05" hidden="false" customHeight="false" outlineLevel="0" collapsed="false">
      <c r="A105" s="73" t="s">
        <v>7477</v>
      </c>
      <c r="B105" s="73" t="s">
        <v>1147</v>
      </c>
      <c r="C105" s="73" t="s">
        <v>7478</v>
      </c>
      <c r="D105" s="73" t="s">
        <v>1592</v>
      </c>
      <c r="E105" s="73" t="s">
        <v>7469</v>
      </c>
      <c r="F105" s="73" t="s">
        <v>7479</v>
      </c>
      <c r="G105" s="73" t="s">
        <v>7480</v>
      </c>
      <c r="H105" s="73" t="s">
        <v>7481</v>
      </c>
    </row>
    <row r="106" customFormat="false" ht="35.05" hidden="false" customHeight="false" outlineLevel="0" collapsed="false">
      <c r="A106" s="75" t="s">
        <v>7482</v>
      </c>
      <c r="B106" s="75" t="s">
        <v>904</v>
      </c>
      <c r="C106" s="75" t="s">
        <v>7483</v>
      </c>
      <c r="D106" s="75" t="s">
        <v>1592</v>
      </c>
      <c r="E106" s="75" t="s">
        <v>7415</v>
      </c>
      <c r="F106" s="75" t="s">
        <v>7484</v>
      </c>
      <c r="G106" s="75" t="s">
        <v>451</v>
      </c>
      <c r="H106" s="75" t="s">
        <v>7485</v>
      </c>
    </row>
    <row r="107" customFormat="false" ht="23.85" hidden="false" customHeight="false" outlineLevel="0" collapsed="false">
      <c r="A107" s="73" t="s">
        <v>7486</v>
      </c>
      <c r="B107" s="73" t="s">
        <v>904</v>
      </c>
      <c r="C107" s="73" t="s">
        <v>7487</v>
      </c>
      <c r="D107" s="73" t="s">
        <v>1592</v>
      </c>
      <c r="E107" s="73" t="s">
        <v>7469</v>
      </c>
      <c r="F107" s="73" t="s">
        <v>7488</v>
      </c>
      <c r="G107" s="73" t="s">
        <v>7482</v>
      </c>
      <c r="H107" s="73" t="s">
        <v>7489</v>
      </c>
    </row>
    <row r="110" customFormat="false" ht="15" hidden="false" customHeight="false" outlineLevel="0" collapsed="false">
      <c r="A110" s="72" t="s">
        <v>7490</v>
      </c>
    </row>
    <row r="111" customFormat="false" ht="15" hidden="false" customHeight="false" outlineLevel="0" collapsed="false">
      <c r="A111" s="107" t="s">
        <v>7491</v>
      </c>
    </row>
    <row r="113" customFormat="false" ht="26.85" hidden="false" customHeight="false" outlineLevel="0" collapsed="false">
      <c r="A113" s="3" t="s">
        <v>1752</v>
      </c>
      <c r="B113" s="3" t="s">
        <v>1414</v>
      </c>
      <c r="C113" s="3" t="s">
        <v>7492</v>
      </c>
      <c r="D113" s="3" t="s">
        <v>7493</v>
      </c>
      <c r="E113" s="3" t="s">
        <v>7494</v>
      </c>
      <c r="F113" s="3" t="s">
        <v>7495</v>
      </c>
      <c r="G113" s="3" t="s">
        <v>7496</v>
      </c>
      <c r="H113" s="3" t="s">
        <v>1420</v>
      </c>
      <c r="I113" s="3" t="s">
        <v>7497</v>
      </c>
      <c r="J113" s="3" t="s">
        <v>434</v>
      </c>
    </row>
    <row r="114" customFormat="false" ht="57.45" hidden="false" customHeight="false" outlineLevel="0" collapsed="false">
      <c r="A114" s="270" t="s">
        <v>490</v>
      </c>
      <c r="B114" s="73" t="s">
        <v>7498</v>
      </c>
      <c r="C114" s="73" t="s">
        <v>7392</v>
      </c>
      <c r="D114" s="73" t="s">
        <v>7499</v>
      </c>
      <c r="E114" s="73" t="s">
        <v>7500</v>
      </c>
      <c r="F114" s="73" t="s">
        <v>7501</v>
      </c>
      <c r="G114" s="73" t="s">
        <v>7502</v>
      </c>
      <c r="H114" s="73" t="s">
        <v>7503</v>
      </c>
      <c r="I114" s="73" t="s">
        <v>7504</v>
      </c>
      <c r="J114" s="73" t="s">
        <v>7505</v>
      </c>
    </row>
    <row r="115" customFormat="false" ht="57.45" hidden="false" customHeight="false" outlineLevel="0" collapsed="false">
      <c r="A115" s="270" t="s">
        <v>496</v>
      </c>
      <c r="B115" s="75" t="s">
        <v>7506</v>
      </c>
      <c r="C115" s="75" t="s">
        <v>7422</v>
      </c>
      <c r="D115" s="75" t="s">
        <v>7507</v>
      </c>
      <c r="E115" s="75" t="s">
        <v>7508</v>
      </c>
      <c r="F115" s="75" t="s">
        <v>7509</v>
      </c>
      <c r="G115" s="75" t="s">
        <v>3860</v>
      </c>
      <c r="H115" s="75" t="s">
        <v>7510</v>
      </c>
      <c r="I115" s="75" t="s">
        <v>7511</v>
      </c>
      <c r="J115" s="75" t="s">
        <v>1147</v>
      </c>
    </row>
    <row r="116" customFormat="false" ht="46.25" hidden="false" customHeight="false" outlineLevel="0" collapsed="false">
      <c r="A116" s="270" t="s">
        <v>502</v>
      </c>
      <c r="B116" s="73" t="s">
        <v>7512</v>
      </c>
      <c r="C116" s="73" t="s">
        <v>7426</v>
      </c>
      <c r="D116" s="73" t="s">
        <v>7513</v>
      </c>
      <c r="E116" s="73" t="s">
        <v>7514</v>
      </c>
      <c r="F116" s="73" t="s">
        <v>7515</v>
      </c>
      <c r="G116" s="73" t="s">
        <v>3860</v>
      </c>
      <c r="H116" s="73" t="s">
        <v>7503</v>
      </c>
      <c r="I116" s="73" t="s">
        <v>7516</v>
      </c>
      <c r="J116" s="73" t="s">
        <v>1473</v>
      </c>
    </row>
    <row r="117" customFormat="false" ht="91" hidden="false" customHeight="false" outlineLevel="0" collapsed="false">
      <c r="A117" s="270" t="s">
        <v>507</v>
      </c>
      <c r="B117" s="75" t="s">
        <v>7517</v>
      </c>
      <c r="C117" s="75" t="s">
        <v>7431</v>
      </c>
      <c r="D117" s="75" t="s">
        <v>7395</v>
      </c>
      <c r="E117" s="75" t="s">
        <v>7518</v>
      </c>
      <c r="F117" s="75" t="s">
        <v>7519</v>
      </c>
      <c r="G117" s="75" t="s">
        <v>3857</v>
      </c>
      <c r="H117" s="75" t="s">
        <v>7520</v>
      </c>
      <c r="I117" s="75" t="s">
        <v>7516</v>
      </c>
      <c r="J117" s="75" t="s">
        <v>1459</v>
      </c>
    </row>
    <row r="118" customFormat="false" ht="57.45" hidden="false" customHeight="false" outlineLevel="0" collapsed="false">
      <c r="A118" s="271" t="s">
        <v>511</v>
      </c>
      <c r="B118" s="73" t="s">
        <v>7521</v>
      </c>
      <c r="C118" s="73" t="s">
        <v>7395</v>
      </c>
      <c r="D118" s="73" t="s">
        <v>7408</v>
      </c>
      <c r="E118" s="73" t="s">
        <v>7522</v>
      </c>
      <c r="F118" s="73" t="s">
        <v>7523</v>
      </c>
      <c r="G118" s="73" t="s">
        <v>3860</v>
      </c>
      <c r="H118" s="73" t="s">
        <v>7510</v>
      </c>
      <c r="I118" s="73" t="s">
        <v>7524</v>
      </c>
      <c r="J118" s="73" t="s">
        <v>1147</v>
      </c>
    </row>
    <row r="119" customFormat="false" ht="57.45" hidden="false" customHeight="false" outlineLevel="0" collapsed="false">
      <c r="A119" s="271" t="s">
        <v>516</v>
      </c>
      <c r="B119" s="75" t="s">
        <v>7525</v>
      </c>
      <c r="C119" s="75" t="s">
        <v>7408</v>
      </c>
      <c r="D119" s="75" t="s">
        <v>7412</v>
      </c>
      <c r="E119" s="75" t="s">
        <v>7526</v>
      </c>
      <c r="F119" s="75" t="s">
        <v>7527</v>
      </c>
      <c r="G119" s="75" t="s">
        <v>7528</v>
      </c>
      <c r="H119" s="75" t="s">
        <v>7529</v>
      </c>
      <c r="I119" s="75" t="s">
        <v>7524</v>
      </c>
      <c r="J119" s="75" t="s">
        <v>7530</v>
      </c>
    </row>
    <row r="120" customFormat="false" ht="57.45" hidden="false" customHeight="false" outlineLevel="0" collapsed="false">
      <c r="A120" s="271" t="s">
        <v>519</v>
      </c>
      <c r="B120" s="73" t="s">
        <v>7531</v>
      </c>
      <c r="C120" s="73" t="s">
        <v>7532</v>
      </c>
      <c r="D120" s="73" t="s">
        <v>7412</v>
      </c>
      <c r="E120" s="73" t="s">
        <v>7533</v>
      </c>
      <c r="F120" s="73" t="s">
        <v>7534</v>
      </c>
      <c r="G120" s="73" t="s">
        <v>7535</v>
      </c>
      <c r="H120" s="73" t="s">
        <v>7536</v>
      </c>
      <c r="I120" s="73" t="s">
        <v>7524</v>
      </c>
      <c r="J120" s="73" t="s">
        <v>1473</v>
      </c>
    </row>
    <row r="121" customFormat="false" ht="79.85" hidden="false" customHeight="false" outlineLevel="0" collapsed="false">
      <c r="A121" s="109" t="s">
        <v>523</v>
      </c>
      <c r="B121" s="75" t="s">
        <v>7537</v>
      </c>
      <c r="C121" s="75" t="s">
        <v>7412</v>
      </c>
      <c r="D121" s="75" t="s">
        <v>7417</v>
      </c>
      <c r="E121" s="75" t="s">
        <v>7538</v>
      </c>
      <c r="F121" s="75" t="s">
        <v>7539</v>
      </c>
      <c r="G121" s="75" t="s">
        <v>7540</v>
      </c>
      <c r="H121" s="75" t="s">
        <v>7503</v>
      </c>
      <c r="I121" s="75" t="s">
        <v>7511</v>
      </c>
      <c r="J121" s="75" t="s">
        <v>1259</v>
      </c>
    </row>
    <row r="122" customFormat="false" ht="79.85" hidden="false" customHeight="false" outlineLevel="0" collapsed="false">
      <c r="A122" s="109" t="s">
        <v>530</v>
      </c>
      <c r="B122" s="73" t="s">
        <v>7541</v>
      </c>
      <c r="C122" s="73" t="s">
        <v>7542</v>
      </c>
      <c r="D122" s="73" t="s">
        <v>7543</v>
      </c>
      <c r="E122" s="73" t="s">
        <v>7544</v>
      </c>
      <c r="F122" s="73" t="s">
        <v>7545</v>
      </c>
      <c r="G122" s="73" t="s">
        <v>1492</v>
      </c>
      <c r="H122" s="73" t="s">
        <v>7536</v>
      </c>
      <c r="I122" s="73" t="s">
        <v>7546</v>
      </c>
      <c r="J122" s="73" t="s">
        <v>7547</v>
      </c>
    </row>
    <row r="123" customFormat="false" ht="57.45" hidden="false" customHeight="false" outlineLevel="0" collapsed="false">
      <c r="A123" s="272" t="s">
        <v>535</v>
      </c>
      <c r="B123" s="75" t="s">
        <v>7548</v>
      </c>
      <c r="C123" s="75" t="s">
        <v>7417</v>
      </c>
      <c r="D123" s="75" t="s">
        <v>7549</v>
      </c>
      <c r="E123" s="75" t="s">
        <v>7550</v>
      </c>
      <c r="F123" s="75" t="s">
        <v>7551</v>
      </c>
      <c r="G123" s="75" t="s">
        <v>7552</v>
      </c>
      <c r="H123" s="75" t="s">
        <v>7553</v>
      </c>
      <c r="I123" s="75" t="s">
        <v>451</v>
      </c>
      <c r="J123" s="75" t="s">
        <v>7554</v>
      </c>
    </row>
    <row r="126" customFormat="false" ht="15" hidden="false" customHeight="false" outlineLevel="0" collapsed="false">
      <c r="A126" s="72" t="s">
        <v>7555</v>
      </c>
    </row>
    <row r="128" customFormat="false" ht="15" hidden="false" customHeight="false" outlineLevel="0" collapsed="false">
      <c r="A128" s="3" t="s">
        <v>1752</v>
      </c>
      <c r="B128" s="3" t="s">
        <v>4973</v>
      </c>
      <c r="C128" s="3" t="s">
        <v>3912</v>
      </c>
      <c r="D128" s="3" t="s">
        <v>7556</v>
      </c>
      <c r="E128" s="3" t="s">
        <v>7557</v>
      </c>
      <c r="F128" s="3" t="s">
        <v>440</v>
      </c>
    </row>
    <row r="129" customFormat="false" ht="68.65" hidden="false" customHeight="false" outlineLevel="0" collapsed="false">
      <c r="A129" s="73" t="s">
        <v>490</v>
      </c>
      <c r="B129" s="73" t="s">
        <v>7558</v>
      </c>
      <c r="C129" s="73" t="s">
        <v>1147</v>
      </c>
      <c r="D129" s="73" t="s">
        <v>7559</v>
      </c>
      <c r="E129" s="73" t="s">
        <v>7560</v>
      </c>
      <c r="F129" s="73" t="s">
        <v>7561</v>
      </c>
    </row>
    <row r="130" customFormat="false" ht="46.25" hidden="false" customHeight="false" outlineLevel="0" collapsed="false">
      <c r="A130" s="75" t="s">
        <v>496</v>
      </c>
      <c r="B130" s="75" t="s">
        <v>7562</v>
      </c>
      <c r="C130" s="75" t="s">
        <v>1147</v>
      </c>
      <c r="D130" s="75" t="s">
        <v>7563</v>
      </c>
      <c r="E130" s="75" t="s">
        <v>7564</v>
      </c>
      <c r="F130" s="75"/>
    </row>
    <row r="131" customFormat="false" ht="202.95" hidden="false" customHeight="false" outlineLevel="0" collapsed="false">
      <c r="A131" s="73" t="s">
        <v>502</v>
      </c>
      <c r="B131" s="73" t="s">
        <v>7565</v>
      </c>
      <c r="C131" s="73" t="s">
        <v>2442</v>
      </c>
      <c r="D131" s="73" t="s">
        <v>7566</v>
      </c>
      <c r="E131" s="73" t="s">
        <v>7567</v>
      </c>
      <c r="F131" s="73" t="s">
        <v>7568</v>
      </c>
    </row>
    <row r="132" customFormat="false" ht="79.85" hidden="false" customHeight="false" outlineLevel="0" collapsed="false">
      <c r="A132" s="75" t="s">
        <v>507</v>
      </c>
      <c r="B132" s="75" t="s">
        <v>7569</v>
      </c>
      <c r="C132" s="75" t="s">
        <v>1147</v>
      </c>
      <c r="D132" s="75" t="s">
        <v>7570</v>
      </c>
      <c r="E132" s="75" t="s">
        <v>7571</v>
      </c>
      <c r="F132" s="75" t="s">
        <v>7572</v>
      </c>
    </row>
    <row r="133" customFormat="false" ht="91" hidden="false" customHeight="false" outlineLevel="0" collapsed="false">
      <c r="A133" s="73" t="s">
        <v>511</v>
      </c>
      <c r="B133" s="73" t="s">
        <v>7573</v>
      </c>
      <c r="C133" s="73" t="s">
        <v>1147</v>
      </c>
      <c r="D133" s="73" t="s">
        <v>7574</v>
      </c>
      <c r="E133" s="73" t="s">
        <v>7575</v>
      </c>
      <c r="F133" s="73" t="s">
        <v>7576</v>
      </c>
    </row>
    <row r="134" customFormat="false" ht="68.65" hidden="false" customHeight="false" outlineLevel="0" collapsed="false">
      <c r="A134" s="75" t="s">
        <v>516</v>
      </c>
      <c r="B134" s="75" t="s">
        <v>7577</v>
      </c>
      <c r="C134" s="75" t="s">
        <v>462</v>
      </c>
      <c r="D134" s="75" t="s">
        <v>7578</v>
      </c>
      <c r="E134" s="75" t="s">
        <v>7579</v>
      </c>
      <c r="F134" s="75" t="s">
        <v>7580</v>
      </c>
    </row>
    <row r="135" customFormat="false" ht="79.85" hidden="false" customHeight="false" outlineLevel="0" collapsed="false">
      <c r="A135" s="73" t="s">
        <v>519</v>
      </c>
      <c r="B135" s="73" t="s">
        <v>7581</v>
      </c>
      <c r="C135" s="73" t="s">
        <v>7582</v>
      </c>
      <c r="D135" s="73" t="s">
        <v>7583</v>
      </c>
      <c r="E135" s="73" t="s">
        <v>7584</v>
      </c>
      <c r="F135" s="73" t="s">
        <v>7585</v>
      </c>
    </row>
    <row r="136" customFormat="false" ht="79.85" hidden="false" customHeight="false" outlineLevel="0" collapsed="false">
      <c r="A136" s="75" t="s">
        <v>523</v>
      </c>
      <c r="B136" s="75" t="s">
        <v>7586</v>
      </c>
      <c r="C136" s="75" t="s">
        <v>845</v>
      </c>
      <c r="D136" s="75" t="s">
        <v>7587</v>
      </c>
      <c r="E136" s="75" t="s">
        <v>7588</v>
      </c>
      <c r="F136" s="75" t="s">
        <v>7589</v>
      </c>
    </row>
    <row r="139" customFormat="false" ht="15" hidden="false" customHeight="false" outlineLevel="0" collapsed="false">
      <c r="A139" s="72" t="s">
        <v>7590</v>
      </c>
    </row>
    <row r="141" customFormat="false" ht="15" hidden="false" customHeight="false" outlineLevel="0" collapsed="false">
      <c r="A141" s="3" t="s">
        <v>1323</v>
      </c>
      <c r="B141" s="3" t="s">
        <v>7591</v>
      </c>
      <c r="C141" s="3" t="s">
        <v>7592</v>
      </c>
      <c r="D141" s="3" t="s">
        <v>1326</v>
      </c>
    </row>
    <row r="142" customFormat="false" ht="79.85" hidden="false" customHeight="false" outlineLevel="0" collapsed="false">
      <c r="A142" s="73" t="s">
        <v>7593</v>
      </c>
      <c r="B142" s="73" t="s">
        <v>7594</v>
      </c>
      <c r="C142" s="73" t="s">
        <v>7595</v>
      </c>
      <c r="D142" s="73" t="s">
        <v>7596</v>
      </c>
    </row>
    <row r="143" customFormat="false" ht="79.85" hidden="false" customHeight="false" outlineLevel="0" collapsed="false">
      <c r="A143" s="75" t="s">
        <v>7597</v>
      </c>
      <c r="B143" s="75" t="s">
        <v>7598</v>
      </c>
      <c r="C143" s="75" t="s">
        <v>7599</v>
      </c>
      <c r="D143" s="75" t="s">
        <v>7600</v>
      </c>
    </row>
    <row r="144" customFormat="false" ht="91" hidden="false" customHeight="false" outlineLevel="0" collapsed="false">
      <c r="A144" s="73" t="s">
        <v>7601</v>
      </c>
      <c r="B144" s="73" t="s">
        <v>7602</v>
      </c>
      <c r="C144" s="73" t="s">
        <v>7603</v>
      </c>
      <c r="D144" s="73" t="s">
        <v>7604</v>
      </c>
    </row>
    <row r="145" customFormat="false" ht="46.25" hidden="false" customHeight="false" outlineLevel="0" collapsed="false">
      <c r="A145" s="75" t="s">
        <v>7605</v>
      </c>
      <c r="B145" s="75" t="s">
        <v>7606</v>
      </c>
      <c r="C145" s="75" t="s">
        <v>6392</v>
      </c>
      <c r="D145" s="75" t="s">
        <v>7607</v>
      </c>
    </row>
    <row r="146" customFormat="false" ht="91" hidden="false" customHeight="false" outlineLevel="0" collapsed="false">
      <c r="A146" s="73" t="s">
        <v>7608</v>
      </c>
      <c r="B146" s="73" t="s">
        <v>7609</v>
      </c>
      <c r="C146" s="73" t="s">
        <v>7610</v>
      </c>
      <c r="D146" s="73" t="s">
        <v>7611</v>
      </c>
    </row>
    <row r="147" customFormat="false" ht="91" hidden="false" customHeight="false" outlineLevel="0" collapsed="false">
      <c r="A147" s="75" t="s">
        <v>7612</v>
      </c>
      <c r="B147" s="75" t="s">
        <v>7613</v>
      </c>
      <c r="C147" s="75" t="s">
        <v>7614</v>
      </c>
      <c r="D147" s="75" t="s">
        <v>7615</v>
      </c>
    </row>
    <row r="150" customFormat="false" ht="15" hidden="false" customHeight="false" outlineLevel="0" collapsed="false">
      <c r="A150" s="72" t="s">
        <v>7616</v>
      </c>
    </row>
    <row r="152" customFormat="false" ht="15" hidden="false" customHeight="false" outlineLevel="0" collapsed="false">
      <c r="A152" s="3" t="s">
        <v>434</v>
      </c>
      <c r="B152" s="3" t="s">
        <v>7617</v>
      </c>
      <c r="C152" s="3" t="s">
        <v>7618</v>
      </c>
      <c r="D152" s="3" t="s">
        <v>7619</v>
      </c>
      <c r="E152" s="3" t="s">
        <v>7620</v>
      </c>
      <c r="F152" s="3" t="s">
        <v>7621</v>
      </c>
      <c r="G152" s="3" t="s">
        <v>6369</v>
      </c>
      <c r="H152" s="3" t="s">
        <v>7622</v>
      </c>
      <c r="I152" s="3" t="s">
        <v>7623</v>
      </c>
      <c r="J152" s="3" t="s">
        <v>4977</v>
      </c>
    </row>
    <row r="153" customFormat="false" ht="46.25" hidden="false" customHeight="false" outlineLevel="0" collapsed="false">
      <c r="A153" s="73" t="s">
        <v>7624</v>
      </c>
      <c r="B153" s="73" t="s">
        <v>7625</v>
      </c>
      <c r="C153" s="73" t="s">
        <v>7626</v>
      </c>
      <c r="D153" s="73" t="s">
        <v>7627</v>
      </c>
      <c r="E153" s="73" t="s">
        <v>7628</v>
      </c>
      <c r="F153" s="73" t="s">
        <v>7629</v>
      </c>
      <c r="G153" s="73" t="s">
        <v>7630</v>
      </c>
      <c r="H153" s="272" t="s">
        <v>7631</v>
      </c>
      <c r="I153" s="73" t="s">
        <v>7632</v>
      </c>
      <c r="J153" s="73" t="s">
        <v>4984</v>
      </c>
    </row>
    <row r="154" customFormat="false" ht="46.25" hidden="false" customHeight="false" outlineLevel="0" collapsed="false">
      <c r="A154" s="75" t="s">
        <v>904</v>
      </c>
      <c r="B154" s="75" t="s">
        <v>7633</v>
      </c>
      <c r="C154" s="75" t="s">
        <v>7634</v>
      </c>
      <c r="D154" s="75" t="s">
        <v>7635</v>
      </c>
      <c r="E154" s="75" t="s">
        <v>7636</v>
      </c>
      <c r="F154" s="75" t="s">
        <v>7637</v>
      </c>
      <c r="G154" s="75" t="s">
        <v>7638</v>
      </c>
      <c r="H154" s="272" t="s">
        <v>7631</v>
      </c>
      <c r="I154" s="75" t="s">
        <v>7639</v>
      </c>
      <c r="J154" s="75" t="s">
        <v>4984</v>
      </c>
    </row>
    <row r="155" customFormat="false" ht="91" hidden="false" customHeight="false" outlineLevel="0" collapsed="false">
      <c r="A155" s="73" t="s">
        <v>453</v>
      </c>
      <c r="B155" s="73" t="s">
        <v>7640</v>
      </c>
      <c r="C155" s="73" t="s">
        <v>7641</v>
      </c>
      <c r="D155" s="73" t="s">
        <v>7642</v>
      </c>
      <c r="E155" s="73" t="s">
        <v>7643</v>
      </c>
      <c r="F155" s="73" t="s">
        <v>7644</v>
      </c>
      <c r="G155" s="73" t="s">
        <v>7645</v>
      </c>
      <c r="H155" s="270" t="s">
        <v>7646</v>
      </c>
      <c r="I155" s="73" t="s">
        <v>7647</v>
      </c>
      <c r="J155" s="73" t="s">
        <v>4984</v>
      </c>
    </row>
    <row r="156" customFormat="false" ht="57.45" hidden="false" customHeight="false" outlineLevel="0" collapsed="false">
      <c r="A156" s="75" t="s">
        <v>912</v>
      </c>
      <c r="B156" s="75" t="s">
        <v>7648</v>
      </c>
      <c r="C156" s="75" t="s">
        <v>7649</v>
      </c>
      <c r="D156" s="75" t="s">
        <v>7650</v>
      </c>
      <c r="E156" s="75" t="s">
        <v>7651</v>
      </c>
      <c r="F156" s="75" t="s">
        <v>7652</v>
      </c>
      <c r="G156" s="75" t="s">
        <v>7653</v>
      </c>
      <c r="H156" s="270" t="s">
        <v>7654</v>
      </c>
      <c r="I156" s="75" t="s">
        <v>7655</v>
      </c>
      <c r="J156" s="75" t="s">
        <v>5016</v>
      </c>
    </row>
    <row r="157" customFormat="false" ht="46.25" hidden="false" customHeight="false" outlineLevel="0" collapsed="false">
      <c r="A157" s="73" t="s">
        <v>6023</v>
      </c>
      <c r="B157" s="73" t="s">
        <v>7656</v>
      </c>
      <c r="C157" s="73" t="s">
        <v>7657</v>
      </c>
      <c r="D157" s="73" t="s">
        <v>7658</v>
      </c>
      <c r="E157" s="73" t="s">
        <v>7659</v>
      </c>
      <c r="F157" s="73" t="s">
        <v>7660</v>
      </c>
      <c r="G157" s="73" t="s">
        <v>7661</v>
      </c>
      <c r="H157" s="272" t="s">
        <v>7662</v>
      </c>
      <c r="I157" s="73" t="s">
        <v>7663</v>
      </c>
      <c r="J157" s="73" t="s">
        <v>5016</v>
      </c>
    </row>
    <row r="158" customFormat="false" ht="57.45" hidden="false" customHeight="false" outlineLevel="0" collapsed="false">
      <c r="A158" s="75" t="s">
        <v>7664</v>
      </c>
      <c r="B158" s="75" t="s">
        <v>7665</v>
      </c>
      <c r="C158" s="75" t="s">
        <v>7666</v>
      </c>
      <c r="D158" s="75" t="s">
        <v>7667</v>
      </c>
      <c r="E158" s="75" t="s">
        <v>7668</v>
      </c>
      <c r="F158" s="75" t="s">
        <v>7669</v>
      </c>
      <c r="G158" s="75" t="s">
        <v>7670</v>
      </c>
      <c r="H158" s="272" t="s">
        <v>7662</v>
      </c>
      <c r="I158" s="75" t="s">
        <v>7671</v>
      </c>
      <c r="J158" s="75" t="s">
        <v>5016</v>
      </c>
    </row>
    <row r="159" customFormat="false" ht="57.45" hidden="false" customHeight="false" outlineLevel="0" collapsed="false">
      <c r="A159" s="73" t="s">
        <v>7672</v>
      </c>
      <c r="B159" s="73" t="s">
        <v>7673</v>
      </c>
      <c r="C159" s="73" t="s">
        <v>7674</v>
      </c>
      <c r="D159" s="73" t="s">
        <v>7668</v>
      </c>
      <c r="E159" s="73" t="s">
        <v>7675</v>
      </c>
      <c r="F159" s="73" t="s">
        <v>7676</v>
      </c>
      <c r="G159" s="73" t="s">
        <v>7670</v>
      </c>
      <c r="H159" s="272" t="s">
        <v>7662</v>
      </c>
      <c r="I159" s="73" t="s">
        <v>7677</v>
      </c>
      <c r="J159" s="73" t="s">
        <v>5125</v>
      </c>
    </row>
    <row r="160" customFormat="false" ht="68.65" hidden="false" customHeight="false" outlineLevel="0" collapsed="false">
      <c r="A160" s="75" t="s">
        <v>3891</v>
      </c>
      <c r="B160" s="75" t="s">
        <v>7678</v>
      </c>
      <c r="C160" s="75" t="s">
        <v>7679</v>
      </c>
      <c r="D160" s="75" t="s">
        <v>7667</v>
      </c>
      <c r="E160" s="75" t="s">
        <v>7680</v>
      </c>
      <c r="F160" s="75" t="s">
        <v>7681</v>
      </c>
      <c r="G160" s="75" t="s">
        <v>7682</v>
      </c>
      <c r="H160" s="272" t="s">
        <v>7662</v>
      </c>
      <c r="I160" s="75" t="s">
        <v>7683</v>
      </c>
      <c r="J160" s="75" t="s">
        <v>5016</v>
      </c>
    </row>
    <row r="161" customFormat="false" ht="57.45" hidden="false" customHeight="false" outlineLevel="0" collapsed="false">
      <c r="A161" s="73" t="s">
        <v>3806</v>
      </c>
      <c r="B161" s="73" t="s">
        <v>7684</v>
      </c>
      <c r="C161" s="73" t="s">
        <v>7667</v>
      </c>
      <c r="D161" s="73" t="s">
        <v>7667</v>
      </c>
      <c r="E161" s="73" t="s">
        <v>7667</v>
      </c>
      <c r="F161" s="73" t="s">
        <v>7685</v>
      </c>
      <c r="G161" s="73" t="s">
        <v>7682</v>
      </c>
      <c r="H161" s="272" t="s">
        <v>7662</v>
      </c>
      <c r="I161" s="73" t="s">
        <v>7686</v>
      </c>
      <c r="J161" s="73" t="s">
        <v>5125</v>
      </c>
    </row>
    <row r="162" customFormat="false" ht="46.25" hidden="false" customHeight="false" outlineLevel="0" collapsed="false">
      <c r="A162" s="75" t="s">
        <v>320</v>
      </c>
      <c r="B162" s="75" t="s">
        <v>7687</v>
      </c>
      <c r="C162" s="75" t="s">
        <v>7688</v>
      </c>
      <c r="D162" s="75" t="s">
        <v>7689</v>
      </c>
      <c r="E162" s="75" t="s">
        <v>7690</v>
      </c>
      <c r="F162" s="75" t="s">
        <v>7691</v>
      </c>
      <c r="G162" s="75" t="s">
        <v>7692</v>
      </c>
      <c r="H162" s="270" t="s">
        <v>7646</v>
      </c>
      <c r="I162" s="75" t="s">
        <v>7693</v>
      </c>
      <c r="J162" s="75" t="s">
        <v>5016</v>
      </c>
    </row>
    <row r="163" customFormat="false" ht="46.25" hidden="false" customHeight="false" outlineLevel="0" collapsed="false">
      <c r="A163" s="73" t="s">
        <v>7694</v>
      </c>
      <c r="B163" s="73" t="s">
        <v>7695</v>
      </c>
      <c r="C163" s="73" t="s">
        <v>7696</v>
      </c>
      <c r="D163" s="73" t="s">
        <v>7667</v>
      </c>
      <c r="E163" s="73" t="s">
        <v>7697</v>
      </c>
      <c r="F163" s="73" t="s">
        <v>7698</v>
      </c>
      <c r="G163" s="73" t="s">
        <v>7699</v>
      </c>
      <c r="H163" s="272" t="s">
        <v>7662</v>
      </c>
      <c r="I163" s="73" t="s">
        <v>7700</v>
      </c>
      <c r="J163" s="73" t="s">
        <v>5125</v>
      </c>
    </row>
    <row r="164" customFormat="false" ht="79.85" hidden="false" customHeight="false" outlineLevel="0" collapsed="false">
      <c r="A164" s="75" t="s">
        <v>7701</v>
      </c>
      <c r="B164" s="75" t="s">
        <v>7702</v>
      </c>
      <c r="C164" s="75" t="s">
        <v>7703</v>
      </c>
      <c r="D164" s="75" t="s">
        <v>7667</v>
      </c>
      <c r="E164" s="75" t="s">
        <v>7704</v>
      </c>
      <c r="F164" s="75" t="s">
        <v>7691</v>
      </c>
      <c r="G164" s="75" t="s">
        <v>7705</v>
      </c>
      <c r="H164" s="270" t="s">
        <v>7646</v>
      </c>
      <c r="I164" s="75" t="s">
        <v>7706</v>
      </c>
      <c r="J164" s="75" t="s">
        <v>5016</v>
      </c>
    </row>
    <row r="167" customFormat="false" ht="15" hidden="false" customHeight="false" outlineLevel="0" collapsed="false">
      <c r="A167" s="72" t="s">
        <v>7707</v>
      </c>
    </row>
    <row r="169" customFormat="false" ht="15" hidden="false" customHeight="false" outlineLevel="0" collapsed="false">
      <c r="A169" s="3" t="s">
        <v>7708</v>
      </c>
      <c r="B169" s="3" t="s">
        <v>2459</v>
      </c>
      <c r="C169" s="3" t="s">
        <v>6338</v>
      </c>
      <c r="D169" s="3" t="s">
        <v>7709</v>
      </c>
    </row>
    <row r="170" customFormat="false" ht="35.05" hidden="false" customHeight="false" outlineLevel="0" collapsed="false">
      <c r="A170" s="73" t="s">
        <v>6407</v>
      </c>
      <c r="B170" s="73" t="s">
        <v>7710</v>
      </c>
      <c r="C170" s="73" t="s">
        <v>7711</v>
      </c>
      <c r="D170" s="73" t="s">
        <v>7712</v>
      </c>
    </row>
    <row r="171" customFormat="false" ht="35.05" hidden="false" customHeight="false" outlineLevel="0" collapsed="false">
      <c r="A171" s="75" t="s">
        <v>6412</v>
      </c>
      <c r="B171" s="75" t="s">
        <v>7713</v>
      </c>
      <c r="C171" s="75" t="s">
        <v>7714</v>
      </c>
      <c r="D171" s="75" t="s">
        <v>7715</v>
      </c>
    </row>
    <row r="172" customFormat="false" ht="46.25" hidden="false" customHeight="false" outlineLevel="0" collapsed="false">
      <c r="A172" s="73" t="s">
        <v>6416</v>
      </c>
      <c r="B172" s="73" t="s">
        <v>7716</v>
      </c>
      <c r="C172" s="73" t="s">
        <v>7717</v>
      </c>
      <c r="D172" s="73" t="s">
        <v>7718</v>
      </c>
    </row>
    <row r="173" customFormat="false" ht="46.25" hidden="false" customHeight="false" outlineLevel="0" collapsed="false">
      <c r="A173" s="75" t="s">
        <v>7719</v>
      </c>
      <c r="B173" s="75" t="s">
        <v>7720</v>
      </c>
      <c r="C173" s="75" t="s">
        <v>7721</v>
      </c>
      <c r="D173" s="75" t="s">
        <v>7722</v>
      </c>
    </row>
    <row r="174" customFormat="false" ht="35.05" hidden="false" customHeight="false" outlineLevel="0" collapsed="false">
      <c r="A174" s="73" t="s">
        <v>7723</v>
      </c>
      <c r="B174" s="73" t="s">
        <v>7724</v>
      </c>
      <c r="C174" s="73" t="s">
        <v>7725</v>
      </c>
      <c r="D174" s="73" t="s">
        <v>7726</v>
      </c>
    </row>
    <row r="175" customFormat="false" ht="113.4" hidden="false" customHeight="false" outlineLevel="0" collapsed="false">
      <c r="A175" s="75" t="s">
        <v>7727</v>
      </c>
      <c r="B175" s="75" t="s">
        <v>451</v>
      </c>
      <c r="C175" s="75" t="s">
        <v>7728</v>
      </c>
      <c r="D175" s="75" t="s">
        <v>7729</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4336"/>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1" min="1" style="0" width="22"/>
  </cols>
  <sheetData>
    <row r="1" customFormat="false" ht="17.35" hidden="false" customHeight="false" outlineLevel="0" collapsed="false">
      <c r="A1" s="71" t="s">
        <v>7730</v>
      </c>
    </row>
    <row r="2" customFormat="false" ht="15" hidden="false" customHeight="false" outlineLevel="0" collapsed="false">
      <c r="A2" s="79" t="s">
        <v>7731</v>
      </c>
    </row>
    <row r="4" customFormat="false" ht="15" hidden="false" customHeight="false" outlineLevel="0" collapsed="false">
      <c r="A4" s="72" t="s">
        <v>7732</v>
      </c>
    </row>
    <row r="5" customFormat="false" ht="15" hidden="false" customHeight="false" outlineLevel="0" collapsed="false">
      <c r="A5" s="3" t="s">
        <v>483</v>
      </c>
      <c r="B5" s="3" t="s">
        <v>7733</v>
      </c>
      <c r="C5" s="3" t="s">
        <v>1883</v>
      </c>
      <c r="D5" s="3" t="s">
        <v>7734</v>
      </c>
      <c r="E5" s="3" t="s">
        <v>1552</v>
      </c>
      <c r="F5" s="3" t="s">
        <v>3</v>
      </c>
      <c r="G5" s="3" t="s">
        <v>7735</v>
      </c>
      <c r="H5" s="3" t="s">
        <v>7736</v>
      </c>
      <c r="I5" s="3" t="s">
        <v>412</v>
      </c>
      <c r="J5" s="3" t="s">
        <v>440</v>
      </c>
    </row>
    <row r="6" customFormat="false" ht="23.85" hidden="false" customHeight="false" outlineLevel="0" collapsed="false">
      <c r="A6" s="4" t="n">
        <v>1</v>
      </c>
      <c r="B6" s="4" t="s">
        <v>7737</v>
      </c>
      <c r="C6" s="4" t="n">
        <v>35</v>
      </c>
      <c r="D6" s="4" t="s">
        <v>7738</v>
      </c>
      <c r="E6" s="4" t="s">
        <v>7739</v>
      </c>
      <c r="F6" s="4" t="s">
        <v>7740</v>
      </c>
      <c r="G6" s="4" t="s">
        <v>7741</v>
      </c>
      <c r="H6" s="4" t="s">
        <v>7742</v>
      </c>
      <c r="I6" s="4" t="s">
        <v>7743</v>
      </c>
      <c r="J6" s="4" t="s">
        <v>7744</v>
      </c>
    </row>
    <row r="7" customFormat="false" ht="23.85" hidden="false" customHeight="false" outlineLevel="0" collapsed="false">
      <c r="A7" s="5" t="n">
        <v>2</v>
      </c>
      <c r="B7" s="5" t="s">
        <v>7745</v>
      </c>
      <c r="C7" s="5" t="n">
        <v>20</v>
      </c>
      <c r="D7" s="5" t="s">
        <v>7746</v>
      </c>
      <c r="E7" s="5" t="s">
        <v>7747</v>
      </c>
      <c r="F7" s="5" t="s">
        <v>4214</v>
      </c>
      <c r="G7" s="5" t="s">
        <v>7748</v>
      </c>
      <c r="H7" s="5" t="s">
        <v>7749</v>
      </c>
      <c r="I7" s="5" t="s">
        <v>7743</v>
      </c>
      <c r="J7" s="5" t="s">
        <v>7750</v>
      </c>
    </row>
    <row r="8" customFormat="false" ht="23.85" hidden="false" customHeight="false" outlineLevel="0" collapsed="false">
      <c r="A8" s="4" t="n">
        <v>3</v>
      </c>
      <c r="B8" s="4" t="s">
        <v>7751</v>
      </c>
      <c r="C8" s="4" t="n">
        <v>10</v>
      </c>
      <c r="D8" s="4" t="s">
        <v>7752</v>
      </c>
      <c r="E8" s="4" t="s">
        <v>7753</v>
      </c>
      <c r="F8" s="4" t="s">
        <v>1160</v>
      </c>
      <c r="G8" s="4" t="s">
        <v>7754</v>
      </c>
      <c r="H8" s="4" t="s">
        <v>7755</v>
      </c>
      <c r="I8" s="4" t="s">
        <v>7743</v>
      </c>
      <c r="J8" s="4" t="s">
        <v>7756</v>
      </c>
    </row>
    <row r="9" customFormat="false" ht="23.85" hidden="false" customHeight="false" outlineLevel="0" collapsed="false">
      <c r="A9" s="5" t="n">
        <v>4</v>
      </c>
      <c r="B9" s="5" t="s">
        <v>7757</v>
      </c>
      <c r="C9" s="5" t="n">
        <v>8</v>
      </c>
      <c r="D9" s="5" t="s">
        <v>7758</v>
      </c>
      <c r="E9" s="5" t="s">
        <v>7759</v>
      </c>
      <c r="F9" s="5" t="s">
        <v>7760</v>
      </c>
      <c r="G9" s="5" t="s">
        <v>7761</v>
      </c>
      <c r="H9" s="5" t="s">
        <v>7762</v>
      </c>
      <c r="I9" s="5" t="s">
        <v>7743</v>
      </c>
      <c r="J9" s="5" t="s">
        <v>7763</v>
      </c>
    </row>
    <row r="10" customFormat="false" ht="35.05" hidden="false" customHeight="false" outlineLevel="0" collapsed="false">
      <c r="A10" s="4" t="n">
        <v>5</v>
      </c>
      <c r="B10" s="4" t="s">
        <v>7764</v>
      </c>
      <c r="C10" s="4" t="n">
        <v>5</v>
      </c>
      <c r="D10" s="4" t="s">
        <v>7765</v>
      </c>
      <c r="E10" s="4" t="s">
        <v>7766</v>
      </c>
      <c r="F10" s="4" t="s">
        <v>7767</v>
      </c>
      <c r="G10" s="4" t="s">
        <v>7768</v>
      </c>
      <c r="H10" s="4" t="s">
        <v>7749</v>
      </c>
      <c r="I10" s="4" t="s">
        <v>7743</v>
      </c>
      <c r="J10" s="4" t="s">
        <v>7769</v>
      </c>
    </row>
    <row r="11" customFormat="false" ht="23.85" hidden="false" customHeight="false" outlineLevel="0" collapsed="false">
      <c r="A11" s="5" t="n">
        <v>6</v>
      </c>
      <c r="B11" s="5" t="s">
        <v>7770</v>
      </c>
      <c r="C11" s="5" t="n">
        <v>5</v>
      </c>
      <c r="D11" s="5" t="s">
        <v>7746</v>
      </c>
      <c r="E11" s="5" t="s">
        <v>7771</v>
      </c>
      <c r="F11" s="5" t="s">
        <v>1160</v>
      </c>
      <c r="G11" s="5" t="s">
        <v>7772</v>
      </c>
      <c r="H11" s="5" t="s">
        <v>7773</v>
      </c>
      <c r="I11" s="5" t="s">
        <v>7743</v>
      </c>
      <c r="J11" s="5" t="s">
        <v>7774</v>
      </c>
    </row>
    <row r="12" customFormat="false" ht="23.85" hidden="false" customHeight="false" outlineLevel="0" collapsed="false">
      <c r="A12" s="4" t="n">
        <v>7</v>
      </c>
      <c r="B12" s="4" t="s">
        <v>7775</v>
      </c>
      <c r="C12" s="4" t="n">
        <v>10</v>
      </c>
      <c r="D12" s="4" t="s">
        <v>7746</v>
      </c>
      <c r="E12" s="4" t="s">
        <v>7776</v>
      </c>
      <c r="F12" s="4" t="s">
        <v>7767</v>
      </c>
      <c r="G12" s="4" t="s">
        <v>7777</v>
      </c>
      <c r="H12" s="4" t="s">
        <v>7778</v>
      </c>
      <c r="I12" s="4" t="s">
        <v>7743</v>
      </c>
      <c r="J12" s="4" t="s">
        <v>7779</v>
      </c>
    </row>
    <row r="13" customFormat="false" ht="23.85" hidden="false" customHeight="false" outlineLevel="0" collapsed="false">
      <c r="A13" s="5" t="n">
        <v>8</v>
      </c>
      <c r="B13" s="5" t="s">
        <v>7780</v>
      </c>
      <c r="C13" s="5" t="n">
        <v>3</v>
      </c>
      <c r="D13" s="5" t="s">
        <v>7765</v>
      </c>
      <c r="E13" s="5" t="s">
        <v>7781</v>
      </c>
      <c r="F13" s="5" t="s">
        <v>243</v>
      </c>
      <c r="G13" s="5" t="s">
        <v>7761</v>
      </c>
      <c r="H13" s="5" t="s">
        <v>7782</v>
      </c>
      <c r="I13" s="5" t="s">
        <v>7743</v>
      </c>
      <c r="J13" s="5" t="s">
        <v>7783</v>
      </c>
    </row>
    <row r="14" customFormat="false" ht="23.85" hidden="false" customHeight="false" outlineLevel="0" collapsed="false">
      <c r="A14" s="4" t="n">
        <v>9</v>
      </c>
      <c r="B14" s="4" t="s">
        <v>7784</v>
      </c>
      <c r="C14" s="4" t="n">
        <v>2</v>
      </c>
      <c r="D14" s="4" t="s">
        <v>7785</v>
      </c>
      <c r="E14" s="4" t="s">
        <v>7786</v>
      </c>
      <c r="F14" s="4" t="s">
        <v>1160</v>
      </c>
      <c r="G14" s="4" t="s">
        <v>7787</v>
      </c>
      <c r="H14" s="4" t="s">
        <v>7788</v>
      </c>
      <c r="I14" s="4" t="s">
        <v>7743</v>
      </c>
      <c r="J14" s="4" t="s">
        <v>7789</v>
      </c>
    </row>
    <row r="15" customFormat="false" ht="23.85" hidden="false" customHeight="false" outlineLevel="0" collapsed="false">
      <c r="A15" s="5" t="n">
        <v>10</v>
      </c>
      <c r="B15" s="5" t="s">
        <v>7790</v>
      </c>
      <c r="C15" s="5" t="n">
        <v>2</v>
      </c>
      <c r="D15" s="5" t="s">
        <v>7752</v>
      </c>
      <c r="E15" s="5" t="s">
        <v>7791</v>
      </c>
      <c r="F15" s="5" t="s">
        <v>1270</v>
      </c>
      <c r="G15" s="5" t="s">
        <v>7792</v>
      </c>
      <c r="H15" s="5" t="s">
        <v>7793</v>
      </c>
      <c r="I15" s="5" t="s">
        <v>7794</v>
      </c>
      <c r="J15" s="5" t="s">
        <v>7795</v>
      </c>
    </row>
    <row r="18" customFormat="false" ht="15" hidden="false" customHeight="false" outlineLevel="0" collapsed="false">
      <c r="A18" s="72" t="s">
        <v>7796</v>
      </c>
    </row>
    <row r="19" customFormat="false" ht="15" hidden="false" customHeight="false" outlineLevel="0" collapsed="false">
      <c r="A19" s="3" t="s">
        <v>500</v>
      </c>
      <c r="B19" s="3" t="s">
        <v>7797</v>
      </c>
      <c r="C19" s="3" t="s">
        <v>1717</v>
      </c>
      <c r="D19" s="3" t="s">
        <v>473</v>
      </c>
      <c r="E19" s="3" t="s">
        <v>472</v>
      </c>
      <c r="F19" s="3" t="s">
        <v>7798</v>
      </c>
      <c r="G19" s="3" t="s">
        <v>7799</v>
      </c>
      <c r="H19" s="3" t="s">
        <v>7800</v>
      </c>
      <c r="I19" s="3" t="s">
        <v>7801</v>
      </c>
      <c r="J19" s="3" t="s">
        <v>7802</v>
      </c>
      <c r="K19" s="3" t="s">
        <v>486</v>
      </c>
    </row>
    <row r="20" customFormat="false" ht="35.05" hidden="false" customHeight="false" outlineLevel="0" collapsed="false">
      <c r="A20" s="4" t="s">
        <v>6005</v>
      </c>
      <c r="B20" s="4" t="n">
        <v>8</v>
      </c>
      <c r="C20" s="4" t="s">
        <v>7803</v>
      </c>
      <c r="D20" s="4" t="s">
        <v>174</v>
      </c>
      <c r="E20" s="4" t="s">
        <v>7804</v>
      </c>
      <c r="F20" s="4" t="s">
        <v>7805</v>
      </c>
      <c r="G20" s="4" t="s">
        <v>7806</v>
      </c>
      <c r="H20" s="4" t="s">
        <v>7807</v>
      </c>
      <c r="I20" s="4" t="s">
        <v>7808</v>
      </c>
      <c r="J20" s="4" t="s">
        <v>7809</v>
      </c>
      <c r="K20" s="4" t="s">
        <v>7810</v>
      </c>
    </row>
    <row r="21" customFormat="false" ht="23.85" hidden="false" customHeight="false" outlineLevel="0" collapsed="false">
      <c r="A21" s="5" t="s">
        <v>6005</v>
      </c>
      <c r="B21" s="5" t="n">
        <v>3</v>
      </c>
      <c r="C21" s="5" t="s">
        <v>7811</v>
      </c>
      <c r="D21" s="5" t="s">
        <v>233</v>
      </c>
      <c r="E21" s="5" t="s">
        <v>2030</v>
      </c>
      <c r="F21" s="5" t="s">
        <v>7812</v>
      </c>
      <c r="G21" s="5" t="s">
        <v>7813</v>
      </c>
      <c r="H21" s="5" t="s">
        <v>7814</v>
      </c>
      <c r="I21" s="5" t="s">
        <v>7815</v>
      </c>
      <c r="J21" s="5" t="s">
        <v>7816</v>
      </c>
      <c r="K21" s="5" t="s">
        <v>7817</v>
      </c>
    </row>
    <row r="22" customFormat="false" ht="23.85" hidden="false" customHeight="false" outlineLevel="0" collapsed="false">
      <c r="A22" s="4" t="s">
        <v>6033</v>
      </c>
      <c r="B22" s="4" t="n">
        <v>5</v>
      </c>
      <c r="C22" s="4" t="s">
        <v>7818</v>
      </c>
      <c r="D22" s="4" t="s">
        <v>1160</v>
      </c>
      <c r="E22" s="4" t="s">
        <v>7819</v>
      </c>
      <c r="F22" s="4" t="s">
        <v>7820</v>
      </c>
      <c r="G22" s="4" t="s">
        <v>7821</v>
      </c>
      <c r="H22" s="4" t="s">
        <v>7822</v>
      </c>
      <c r="I22" s="4" t="s">
        <v>7823</v>
      </c>
      <c r="J22" s="4" t="s">
        <v>5541</v>
      </c>
      <c r="K22" s="4" t="s">
        <v>7824</v>
      </c>
    </row>
    <row r="23" customFormat="false" ht="23.85" hidden="false" customHeight="false" outlineLevel="0" collapsed="false">
      <c r="A23" s="5" t="s">
        <v>6033</v>
      </c>
      <c r="B23" s="5" t="n">
        <v>3</v>
      </c>
      <c r="C23" s="5" t="s">
        <v>7825</v>
      </c>
      <c r="D23" s="5" t="s">
        <v>243</v>
      </c>
      <c r="E23" s="5" t="s">
        <v>2030</v>
      </c>
      <c r="F23" s="5" t="s">
        <v>7826</v>
      </c>
      <c r="G23" s="5" t="s">
        <v>7827</v>
      </c>
      <c r="H23" s="5" t="s">
        <v>7828</v>
      </c>
      <c r="I23" s="5" t="s">
        <v>7815</v>
      </c>
      <c r="J23" s="5" t="s">
        <v>5537</v>
      </c>
      <c r="K23" s="5" t="s">
        <v>7829</v>
      </c>
    </row>
    <row r="24" customFormat="false" ht="23.85" hidden="false" customHeight="false" outlineLevel="0" collapsed="false">
      <c r="A24" s="4" t="s">
        <v>6054</v>
      </c>
      <c r="B24" s="4" t="n">
        <v>6</v>
      </c>
      <c r="C24" s="4" t="s">
        <v>7830</v>
      </c>
      <c r="D24" s="4" t="s">
        <v>7740</v>
      </c>
      <c r="E24" s="4" t="s">
        <v>1960</v>
      </c>
      <c r="F24" s="4" t="s">
        <v>7831</v>
      </c>
      <c r="G24" s="4" t="s">
        <v>7832</v>
      </c>
      <c r="H24" s="4" t="s">
        <v>7833</v>
      </c>
      <c r="I24" s="4" t="s">
        <v>7815</v>
      </c>
      <c r="J24" s="4" t="s">
        <v>7834</v>
      </c>
      <c r="K24" s="4" t="s">
        <v>7835</v>
      </c>
    </row>
    <row r="25" customFormat="false" ht="23.85" hidden="false" customHeight="false" outlineLevel="0" collapsed="false">
      <c r="A25" s="5" t="s">
        <v>6054</v>
      </c>
      <c r="B25" s="5" t="n">
        <v>3</v>
      </c>
      <c r="C25" s="5" t="s">
        <v>7836</v>
      </c>
      <c r="D25" s="5" t="s">
        <v>1270</v>
      </c>
      <c r="E25" s="5" t="s">
        <v>2030</v>
      </c>
      <c r="F25" s="5" t="s">
        <v>7837</v>
      </c>
      <c r="G25" s="5" t="s">
        <v>7838</v>
      </c>
      <c r="H25" s="5" t="s">
        <v>7839</v>
      </c>
      <c r="I25" s="5" t="s">
        <v>7840</v>
      </c>
      <c r="J25" s="5" t="s">
        <v>7841</v>
      </c>
      <c r="K25" s="5" t="s">
        <v>7842</v>
      </c>
    </row>
    <row r="26" customFormat="false" ht="23.85" hidden="false" customHeight="false" outlineLevel="0" collapsed="false">
      <c r="A26" s="4" t="s">
        <v>6074</v>
      </c>
      <c r="B26" s="4" t="n">
        <v>5</v>
      </c>
      <c r="C26" s="4" t="s">
        <v>7843</v>
      </c>
      <c r="D26" s="4" t="s">
        <v>7844</v>
      </c>
      <c r="E26" s="4" t="s">
        <v>2030</v>
      </c>
      <c r="F26" s="4" t="s">
        <v>7845</v>
      </c>
      <c r="G26" s="4" t="s">
        <v>7846</v>
      </c>
      <c r="H26" s="4" t="s">
        <v>7847</v>
      </c>
      <c r="I26" s="4" t="s">
        <v>7815</v>
      </c>
      <c r="J26" s="4" t="s">
        <v>7848</v>
      </c>
      <c r="K26" s="4" t="s">
        <v>7849</v>
      </c>
    </row>
    <row r="27" customFormat="false" ht="35.05" hidden="false" customHeight="false" outlineLevel="0" collapsed="false">
      <c r="A27" s="5" t="s">
        <v>6074</v>
      </c>
      <c r="B27" s="5" t="n">
        <v>3</v>
      </c>
      <c r="C27" s="5" t="s">
        <v>7850</v>
      </c>
      <c r="D27" s="5" t="s">
        <v>243</v>
      </c>
      <c r="E27" s="5" t="s">
        <v>2030</v>
      </c>
      <c r="F27" s="5" t="s">
        <v>7851</v>
      </c>
      <c r="G27" s="5" t="s">
        <v>7852</v>
      </c>
      <c r="H27" s="5" t="s">
        <v>7853</v>
      </c>
      <c r="I27" s="5" t="s">
        <v>7840</v>
      </c>
      <c r="J27" s="5" t="s">
        <v>7854</v>
      </c>
      <c r="K27" s="5" t="s">
        <v>7855</v>
      </c>
    </row>
    <row r="28" customFormat="false" ht="23.85" hidden="false" customHeight="false" outlineLevel="0" collapsed="false">
      <c r="A28" s="4" t="s">
        <v>6091</v>
      </c>
      <c r="B28" s="4" t="n">
        <v>3</v>
      </c>
      <c r="C28" s="4" t="s">
        <v>7856</v>
      </c>
      <c r="D28" s="4" t="s">
        <v>1160</v>
      </c>
      <c r="E28" s="4" t="s">
        <v>1960</v>
      </c>
      <c r="F28" s="4" t="s">
        <v>7857</v>
      </c>
      <c r="G28" s="4" t="s">
        <v>7858</v>
      </c>
      <c r="H28" s="4" t="s">
        <v>2258</v>
      </c>
      <c r="I28" s="4" t="s">
        <v>7815</v>
      </c>
      <c r="J28" s="4" t="s">
        <v>7859</v>
      </c>
      <c r="K28" s="4" t="s">
        <v>7860</v>
      </c>
    </row>
    <row r="29" customFormat="false" ht="23.85" hidden="false" customHeight="false" outlineLevel="0" collapsed="false">
      <c r="A29" s="5" t="s">
        <v>6106</v>
      </c>
      <c r="B29" s="5" t="n">
        <v>3</v>
      </c>
      <c r="C29" s="5" t="s">
        <v>7861</v>
      </c>
      <c r="D29" s="5" t="s">
        <v>1160</v>
      </c>
      <c r="E29" s="5" t="s">
        <v>1960</v>
      </c>
      <c r="F29" s="5" t="s">
        <v>7862</v>
      </c>
      <c r="G29" s="5" t="s">
        <v>7863</v>
      </c>
      <c r="H29" s="5" t="s">
        <v>7864</v>
      </c>
      <c r="I29" s="5" t="s">
        <v>7840</v>
      </c>
      <c r="J29" s="5" t="s">
        <v>5644</v>
      </c>
      <c r="K29" s="5" t="s">
        <v>7865</v>
      </c>
    </row>
    <row r="32" customFormat="false" ht="15" hidden="false" customHeight="false" outlineLevel="0" collapsed="false">
      <c r="A32" s="72" t="s">
        <v>7866</v>
      </c>
    </row>
    <row r="33" customFormat="false" ht="15" hidden="false" customHeight="false" outlineLevel="0" collapsed="false">
      <c r="A33" s="3" t="s">
        <v>1752</v>
      </c>
      <c r="B33" s="3" t="s">
        <v>252</v>
      </c>
      <c r="C33" s="3" t="s">
        <v>1753</v>
      </c>
      <c r="D33" s="3" t="s">
        <v>1754</v>
      </c>
      <c r="E33" s="3" t="s">
        <v>1843</v>
      </c>
      <c r="F33" s="3" t="s">
        <v>1840</v>
      </c>
      <c r="G33" s="3" t="s">
        <v>576</v>
      </c>
      <c r="H33" s="3" t="s">
        <v>4975</v>
      </c>
    </row>
    <row r="34" customFormat="false" ht="23.85" hidden="false" customHeight="false" outlineLevel="0" collapsed="false">
      <c r="A34" s="4" t="n">
        <v>1</v>
      </c>
      <c r="B34" s="4" t="s">
        <v>7867</v>
      </c>
      <c r="C34" s="4" t="s">
        <v>7868</v>
      </c>
      <c r="D34" s="4" t="s">
        <v>7869</v>
      </c>
      <c r="E34" s="4" t="s">
        <v>4148</v>
      </c>
      <c r="F34" s="4" t="s">
        <v>7870</v>
      </c>
      <c r="G34" s="4" t="s">
        <v>6648</v>
      </c>
      <c r="H34" s="4" t="s">
        <v>7871</v>
      </c>
    </row>
    <row r="35" customFormat="false" ht="23.85" hidden="false" customHeight="false" outlineLevel="0" collapsed="false">
      <c r="A35" s="5" t="n">
        <v>2</v>
      </c>
      <c r="B35" s="5" t="s">
        <v>7867</v>
      </c>
      <c r="C35" s="5" t="s">
        <v>7872</v>
      </c>
      <c r="D35" s="5" t="s">
        <v>7873</v>
      </c>
      <c r="E35" s="5" t="s">
        <v>604</v>
      </c>
      <c r="F35" s="5" t="s">
        <v>7874</v>
      </c>
      <c r="G35" s="5" t="s">
        <v>7875</v>
      </c>
      <c r="H35" s="5" t="s">
        <v>7876</v>
      </c>
    </row>
    <row r="36" customFormat="false" ht="35.05" hidden="false" customHeight="false" outlineLevel="0" collapsed="false">
      <c r="A36" s="4" t="n">
        <v>3</v>
      </c>
      <c r="B36" s="4" t="s">
        <v>7867</v>
      </c>
      <c r="C36" s="4" t="s">
        <v>7877</v>
      </c>
      <c r="D36" s="4" t="s">
        <v>7878</v>
      </c>
      <c r="E36" s="4" t="s">
        <v>4148</v>
      </c>
      <c r="F36" s="4" t="s">
        <v>7870</v>
      </c>
      <c r="G36" s="4" t="s">
        <v>7879</v>
      </c>
      <c r="H36" s="4" t="s">
        <v>7880</v>
      </c>
    </row>
    <row r="37" customFormat="false" ht="35.05" hidden="false" customHeight="false" outlineLevel="0" collapsed="false">
      <c r="A37" s="5" t="n">
        <v>4</v>
      </c>
      <c r="B37" s="5" t="s">
        <v>7881</v>
      </c>
      <c r="C37" s="5" t="s">
        <v>7882</v>
      </c>
      <c r="D37" s="5" t="s">
        <v>7883</v>
      </c>
      <c r="E37" s="5" t="s">
        <v>604</v>
      </c>
      <c r="F37" s="5" t="s">
        <v>7884</v>
      </c>
      <c r="G37" s="5" t="s">
        <v>7885</v>
      </c>
      <c r="H37" s="5" t="s">
        <v>7886</v>
      </c>
    </row>
    <row r="38" customFormat="false" ht="23.85" hidden="false" customHeight="false" outlineLevel="0" collapsed="false">
      <c r="A38" s="4" t="n">
        <v>5</v>
      </c>
      <c r="B38" s="4" t="s">
        <v>7887</v>
      </c>
      <c r="C38" s="4" t="s">
        <v>7888</v>
      </c>
      <c r="D38" s="4" t="s">
        <v>7889</v>
      </c>
      <c r="E38" s="4" t="s">
        <v>7801</v>
      </c>
      <c r="F38" s="4" t="s">
        <v>7890</v>
      </c>
      <c r="G38" s="4" t="s">
        <v>7891</v>
      </c>
      <c r="H38" s="4" t="s">
        <v>7892</v>
      </c>
    </row>
    <row r="39" customFormat="false" ht="23.85" hidden="false" customHeight="false" outlineLevel="0" collapsed="false">
      <c r="A39" s="5" t="n">
        <v>6</v>
      </c>
      <c r="B39" s="5" t="s">
        <v>7887</v>
      </c>
      <c r="C39" s="5" t="s">
        <v>7893</v>
      </c>
      <c r="D39" s="5" t="s">
        <v>7894</v>
      </c>
      <c r="E39" s="5" t="s">
        <v>498</v>
      </c>
      <c r="F39" s="5" t="s">
        <v>7895</v>
      </c>
      <c r="G39" s="5" t="s">
        <v>7896</v>
      </c>
      <c r="H39" s="5" t="s">
        <v>7897</v>
      </c>
    </row>
    <row r="40" customFormat="false" ht="35.05" hidden="false" customHeight="false" outlineLevel="0" collapsed="false">
      <c r="A40" s="4" t="n">
        <v>7</v>
      </c>
      <c r="B40" s="4" t="s">
        <v>7887</v>
      </c>
      <c r="C40" s="4" t="s">
        <v>7898</v>
      </c>
      <c r="D40" s="4" t="s">
        <v>7899</v>
      </c>
      <c r="E40" s="4" t="s">
        <v>7801</v>
      </c>
      <c r="F40" s="4" t="s">
        <v>7900</v>
      </c>
      <c r="G40" s="4" t="s">
        <v>7901</v>
      </c>
      <c r="H40" s="4" t="s">
        <v>7902</v>
      </c>
    </row>
    <row r="41" customFormat="false" ht="35.05" hidden="false" customHeight="false" outlineLevel="0" collapsed="false">
      <c r="A41" s="5" t="n">
        <v>8</v>
      </c>
      <c r="B41" s="5" t="s">
        <v>7903</v>
      </c>
      <c r="C41" s="5" t="s">
        <v>7904</v>
      </c>
      <c r="D41" s="5" t="s">
        <v>7905</v>
      </c>
      <c r="E41" s="5" t="s">
        <v>604</v>
      </c>
      <c r="F41" s="5" t="s">
        <v>7906</v>
      </c>
      <c r="G41" s="5" t="s">
        <v>7907</v>
      </c>
      <c r="H41" s="5" t="s">
        <v>7908</v>
      </c>
    </row>
    <row r="42" customFormat="false" ht="35.05" hidden="false" customHeight="false" outlineLevel="0" collapsed="false">
      <c r="A42" s="4" t="n">
        <v>9</v>
      </c>
      <c r="B42" s="4" t="s">
        <v>7903</v>
      </c>
      <c r="C42" s="4" t="s">
        <v>7909</v>
      </c>
      <c r="D42" s="4" t="s">
        <v>7910</v>
      </c>
      <c r="E42" s="4" t="s">
        <v>604</v>
      </c>
      <c r="F42" s="4" t="s">
        <v>7911</v>
      </c>
      <c r="G42" s="4" t="s">
        <v>7907</v>
      </c>
      <c r="H42" s="4" t="s">
        <v>7912</v>
      </c>
    </row>
    <row r="43" customFormat="false" ht="35.05" hidden="false" customHeight="false" outlineLevel="0" collapsed="false">
      <c r="A43" s="5" t="n">
        <v>10</v>
      </c>
      <c r="B43" s="5" t="s">
        <v>7913</v>
      </c>
      <c r="C43" s="5" t="s">
        <v>7914</v>
      </c>
      <c r="D43" s="5" t="s">
        <v>7915</v>
      </c>
      <c r="E43" s="5" t="s">
        <v>610</v>
      </c>
      <c r="F43" s="5" t="s">
        <v>7916</v>
      </c>
      <c r="G43" s="5" t="s">
        <v>7917</v>
      </c>
      <c r="H43" s="5" t="s">
        <v>7918</v>
      </c>
    </row>
    <row r="46" customFormat="false" ht="15" hidden="false" customHeight="false" outlineLevel="0" collapsed="false">
      <c r="A46" s="72" t="s">
        <v>7919</v>
      </c>
    </row>
    <row r="47" customFormat="false" ht="15" hidden="false" customHeight="false" outlineLevel="0" collapsed="false">
      <c r="A47" s="3" t="s">
        <v>434</v>
      </c>
      <c r="B47" s="3" t="s">
        <v>799</v>
      </c>
      <c r="C47" s="3" t="s">
        <v>4837</v>
      </c>
      <c r="D47" s="3" t="s">
        <v>7920</v>
      </c>
      <c r="E47" s="3" t="s">
        <v>7921</v>
      </c>
      <c r="F47" s="3" t="s">
        <v>7922</v>
      </c>
      <c r="G47" s="3" t="s">
        <v>7923</v>
      </c>
    </row>
    <row r="48" customFormat="false" ht="15" hidden="false" customHeight="false" outlineLevel="0" collapsed="false">
      <c r="A48" s="4" t="s">
        <v>7924</v>
      </c>
      <c r="B48" s="4" t="s">
        <v>7925</v>
      </c>
      <c r="C48" s="4" t="s">
        <v>7926</v>
      </c>
      <c r="D48" s="4" t="s">
        <v>7927</v>
      </c>
      <c r="E48" s="4" t="s">
        <v>7928</v>
      </c>
      <c r="F48" s="4" t="s">
        <v>7929</v>
      </c>
      <c r="G48" s="4" t="s">
        <v>7930</v>
      </c>
    </row>
    <row r="49" customFormat="false" ht="15" hidden="false" customHeight="false" outlineLevel="0" collapsed="false">
      <c r="A49" s="5" t="s">
        <v>7931</v>
      </c>
      <c r="B49" s="5" t="s">
        <v>7932</v>
      </c>
      <c r="C49" s="5" t="s">
        <v>7933</v>
      </c>
      <c r="D49" s="5" t="s">
        <v>5857</v>
      </c>
      <c r="E49" s="5" t="s">
        <v>7934</v>
      </c>
      <c r="F49" s="5" t="s">
        <v>540</v>
      </c>
      <c r="G49" s="5" t="s">
        <v>1118</v>
      </c>
    </row>
    <row r="50" customFormat="false" ht="15" hidden="false" customHeight="false" outlineLevel="0" collapsed="false">
      <c r="A50" s="4" t="s">
        <v>7935</v>
      </c>
      <c r="B50" s="4" t="s">
        <v>3225</v>
      </c>
      <c r="C50" s="4" t="s">
        <v>7936</v>
      </c>
      <c r="D50" s="4" t="s">
        <v>7937</v>
      </c>
      <c r="E50" s="4" t="s">
        <v>7938</v>
      </c>
      <c r="F50" s="4" t="s">
        <v>7929</v>
      </c>
      <c r="G50" s="4" t="s">
        <v>2448</v>
      </c>
    </row>
    <row r="51" customFormat="false" ht="15" hidden="false" customHeight="false" outlineLevel="0" collapsed="false">
      <c r="A51" s="5" t="s">
        <v>7939</v>
      </c>
      <c r="B51" s="5" t="s">
        <v>7940</v>
      </c>
      <c r="C51" s="5" t="s">
        <v>7941</v>
      </c>
      <c r="D51" s="5" t="s">
        <v>7942</v>
      </c>
      <c r="E51" s="5" t="s">
        <v>7943</v>
      </c>
      <c r="F51" s="5" t="s">
        <v>7929</v>
      </c>
      <c r="G51" s="5" t="s">
        <v>7944</v>
      </c>
    </row>
    <row r="52" customFormat="false" ht="15" hidden="false" customHeight="false" outlineLevel="0" collapsed="false">
      <c r="A52" s="4" t="s">
        <v>7945</v>
      </c>
      <c r="B52" s="4" t="s">
        <v>7946</v>
      </c>
      <c r="C52" s="4" t="s">
        <v>7947</v>
      </c>
      <c r="D52" s="4" t="s">
        <v>7948</v>
      </c>
      <c r="E52" s="4" t="s">
        <v>7949</v>
      </c>
      <c r="F52" s="4" t="s">
        <v>7950</v>
      </c>
      <c r="G52" s="4" t="s">
        <v>7951</v>
      </c>
    </row>
    <row r="53" customFormat="false" ht="15" hidden="false" customHeight="false" outlineLevel="0" collapsed="false">
      <c r="A53" s="5" t="s">
        <v>7952</v>
      </c>
      <c r="B53" s="5" t="s">
        <v>7953</v>
      </c>
      <c r="C53" s="5" t="s">
        <v>7954</v>
      </c>
      <c r="D53" s="5" t="s">
        <v>7955</v>
      </c>
      <c r="E53" s="5" t="s">
        <v>7956</v>
      </c>
      <c r="F53" s="5" t="s">
        <v>7950</v>
      </c>
      <c r="G53" s="5" t="s">
        <v>7951</v>
      </c>
    </row>
    <row r="54" customFormat="false" ht="15" hidden="false" customHeight="false" outlineLevel="0" collapsed="false">
      <c r="A54" s="4" t="s">
        <v>7957</v>
      </c>
      <c r="B54" s="4" t="s">
        <v>7958</v>
      </c>
      <c r="C54" s="4" t="s">
        <v>7959</v>
      </c>
      <c r="D54" s="4" t="s">
        <v>7960</v>
      </c>
      <c r="E54" s="4" t="s">
        <v>7961</v>
      </c>
      <c r="F54" s="4" t="s">
        <v>6445</v>
      </c>
      <c r="G54" s="4" t="s">
        <v>7962</v>
      </c>
    </row>
    <row r="55" customFormat="false" ht="15" hidden="false" customHeight="false" outlineLevel="0" collapsed="false">
      <c r="A55" s="5" t="s">
        <v>7963</v>
      </c>
      <c r="B55" s="5" t="s">
        <v>7932</v>
      </c>
      <c r="C55" s="5" t="s">
        <v>7964</v>
      </c>
      <c r="D55" s="5" t="s">
        <v>7965</v>
      </c>
      <c r="E55" s="5" t="s">
        <v>7966</v>
      </c>
      <c r="F55" s="5" t="s">
        <v>540</v>
      </c>
      <c r="G55" s="5" t="s">
        <v>1107</v>
      </c>
    </row>
    <row r="56" customFormat="false" ht="15" hidden="false" customHeight="false" outlineLevel="0" collapsed="false">
      <c r="A56" s="4" t="s">
        <v>7967</v>
      </c>
      <c r="B56" s="4" t="s">
        <v>7946</v>
      </c>
      <c r="C56" s="4" t="s">
        <v>7968</v>
      </c>
      <c r="D56" s="4" t="s">
        <v>7969</v>
      </c>
      <c r="E56" s="4" t="s">
        <v>7970</v>
      </c>
      <c r="F56" s="4" t="s">
        <v>7971</v>
      </c>
      <c r="G56" s="4" t="s">
        <v>7972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51B5"/>
    <pageSetUpPr fitToPage="false"/>
  </sheetPr>
  <dimension ref="A1:J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0" min="1" style="0" width="22"/>
  </cols>
  <sheetData>
    <row r="1" customFormat="false" ht="17.35" hidden="false" customHeight="false" outlineLevel="0" collapsed="false">
      <c r="A1" s="71" t="s">
        <v>7973</v>
      </c>
    </row>
    <row r="2" customFormat="false" ht="15" hidden="false" customHeight="false" outlineLevel="0" collapsed="false">
      <c r="A2" s="79" t="s">
        <v>7974</v>
      </c>
    </row>
    <row r="4" customFormat="false" ht="15" hidden="false" customHeight="false" outlineLevel="0" collapsed="false">
      <c r="A4" s="72" t="s">
        <v>7975</v>
      </c>
    </row>
    <row r="5" customFormat="false" ht="15" hidden="false" customHeight="false" outlineLevel="0" collapsed="false">
      <c r="A5" s="3" t="s">
        <v>7976</v>
      </c>
      <c r="B5" s="3" t="s">
        <v>3596</v>
      </c>
      <c r="C5" s="3" t="s">
        <v>7977</v>
      </c>
      <c r="D5" s="3" t="s">
        <v>7978</v>
      </c>
      <c r="E5" s="3" t="s">
        <v>7979</v>
      </c>
      <c r="F5" s="3" t="s">
        <v>7980</v>
      </c>
      <c r="G5" s="3" t="s">
        <v>1728</v>
      </c>
      <c r="H5" s="3" t="s">
        <v>7981</v>
      </c>
      <c r="I5" s="3" t="s">
        <v>7982</v>
      </c>
      <c r="J5" s="3" t="s">
        <v>440</v>
      </c>
    </row>
    <row r="6" customFormat="false" ht="35.05" hidden="false" customHeight="false" outlineLevel="0" collapsed="false">
      <c r="A6" s="4" t="s">
        <v>7983</v>
      </c>
      <c r="B6" s="4" t="s">
        <v>3808</v>
      </c>
      <c r="C6" s="4" t="n">
        <v>1</v>
      </c>
      <c r="D6" s="4" t="s">
        <v>7984</v>
      </c>
      <c r="E6" s="4" t="s">
        <v>7985</v>
      </c>
      <c r="F6" s="4" t="s">
        <v>7986</v>
      </c>
      <c r="G6" s="4" t="s">
        <v>2857</v>
      </c>
      <c r="H6" s="4" t="s">
        <v>7987</v>
      </c>
      <c r="I6" s="4" t="s">
        <v>7988</v>
      </c>
      <c r="J6" s="4" t="s">
        <v>7989</v>
      </c>
    </row>
    <row r="7" customFormat="false" ht="35.05" hidden="false" customHeight="false" outlineLevel="0" collapsed="false">
      <c r="A7" s="5" t="s">
        <v>7983</v>
      </c>
      <c r="B7" s="5" t="s">
        <v>3808</v>
      </c>
      <c r="C7" s="5" t="n">
        <v>2</v>
      </c>
      <c r="D7" s="5" t="s">
        <v>7990</v>
      </c>
      <c r="E7" s="5" t="s">
        <v>7991</v>
      </c>
      <c r="F7" s="5" t="s">
        <v>7992</v>
      </c>
      <c r="G7" s="5" t="s">
        <v>7993</v>
      </c>
      <c r="H7" s="5" t="s">
        <v>7994</v>
      </c>
      <c r="I7" s="5" t="s">
        <v>7995</v>
      </c>
      <c r="J7" s="5" t="s">
        <v>7996</v>
      </c>
    </row>
    <row r="8" customFormat="false" ht="23.85" hidden="false" customHeight="false" outlineLevel="0" collapsed="false">
      <c r="A8" s="4" t="s">
        <v>7983</v>
      </c>
      <c r="B8" s="4" t="s">
        <v>3808</v>
      </c>
      <c r="C8" s="4" t="n">
        <v>3</v>
      </c>
      <c r="D8" s="4" t="s">
        <v>7997</v>
      </c>
      <c r="E8" s="4" t="s">
        <v>7998</v>
      </c>
      <c r="F8" s="4" t="s">
        <v>7999</v>
      </c>
      <c r="G8" s="4" t="s">
        <v>8000</v>
      </c>
      <c r="H8" s="4" t="s">
        <v>8001</v>
      </c>
      <c r="I8" s="4" t="s">
        <v>8002</v>
      </c>
      <c r="J8" s="4" t="s">
        <v>8003</v>
      </c>
    </row>
    <row r="9" customFormat="false" ht="23.85" hidden="false" customHeight="false" outlineLevel="0" collapsed="false">
      <c r="A9" s="5" t="s">
        <v>3828</v>
      </c>
      <c r="B9" s="5" t="s">
        <v>8004</v>
      </c>
      <c r="C9" s="5" t="n">
        <v>1</v>
      </c>
      <c r="D9" s="5" t="s">
        <v>8005</v>
      </c>
      <c r="E9" s="5" t="s">
        <v>8006</v>
      </c>
      <c r="F9" s="5" t="s">
        <v>8007</v>
      </c>
      <c r="G9" s="5" t="s">
        <v>8008</v>
      </c>
      <c r="H9" s="5" t="s">
        <v>8009</v>
      </c>
      <c r="I9" s="5" t="s">
        <v>8010</v>
      </c>
      <c r="J9" s="5" t="s">
        <v>8011</v>
      </c>
    </row>
    <row r="10" customFormat="false" ht="35.05" hidden="false" customHeight="false" outlineLevel="0" collapsed="false">
      <c r="A10" s="4" t="s">
        <v>3828</v>
      </c>
      <c r="B10" s="4" t="s">
        <v>8012</v>
      </c>
      <c r="C10" s="4" t="n">
        <v>2</v>
      </c>
      <c r="D10" s="4" t="s">
        <v>8013</v>
      </c>
      <c r="E10" s="4" t="s">
        <v>8014</v>
      </c>
      <c r="F10" s="4" t="s">
        <v>8015</v>
      </c>
      <c r="G10" s="4" t="s">
        <v>8016</v>
      </c>
      <c r="H10" s="4" t="s">
        <v>8017</v>
      </c>
      <c r="I10" s="4" t="s">
        <v>8018</v>
      </c>
      <c r="J10" s="4" t="s">
        <v>8019</v>
      </c>
    </row>
    <row r="11" customFormat="false" ht="35.05" hidden="false" customHeight="false" outlineLevel="0" collapsed="false">
      <c r="A11" s="5" t="s">
        <v>3828</v>
      </c>
      <c r="B11" s="5" t="s">
        <v>8020</v>
      </c>
      <c r="C11" s="5" t="n">
        <v>3</v>
      </c>
      <c r="D11" s="5" t="s">
        <v>8021</v>
      </c>
      <c r="E11" s="5" t="s">
        <v>8022</v>
      </c>
      <c r="F11" s="5" t="s">
        <v>8023</v>
      </c>
      <c r="G11" s="5" t="s">
        <v>4303</v>
      </c>
      <c r="H11" s="5" t="s">
        <v>8024</v>
      </c>
      <c r="I11" s="5" t="s">
        <v>8025</v>
      </c>
      <c r="J11" s="5" t="s">
        <v>8026</v>
      </c>
    </row>
    <row r="12" customFormat="false" ht="35.05" hidden="false" customHeight="false" outlineLevel="0" collapsed="false">
      <c r="A12" s="4" t="s">
        <v>3851</v>
      </c>
      <c r="B12" s="4" t="s">
        <v>3855</v>
      </c>
      <c r="C12" s="4" t="n">
        <v>1</v>
      </c>
      <c r="D12" s="4" t="s">
        <v>8027</v>
      </c>
      <c r="E12" s="4" t="s">
        <v>8028</v>
      </c>
      <c r="F12" s="4" t="s">
        <v>8029</v>
      </c>
      <c r="G12" s="4" t="s">
        <v>8030</v>
      </c>
      <c r="H12" s="4" t="s">
        <v>8031</v>
      </c>
      <c r="I12" s="4" t="s">
        <v>8032</v>
      </c>
      <c r="J12" s="4" t="s">
        <v>8033</v>
      </c>
    </row>
    <row r="13" customFormat="false" ht="23.85" hidden="false" customHeight="false" outlineLevel="0" collapsed="false">
      <c r="A13" s="5" t="s">
        <v>3851</v>
      </c>
      <c r="B13" s="5" t="s">
        <v>8034</v>
      </c>
      <c r="C13" s="5" t="n">
        <v>2</v>
      </c>
      <c r="D13" s="5" t="s">
        <v>7990</v>
      </c>
      <c r="E13" s="5" t="s">
        <v>8035</v>
      </c>
      <c r="F13" s="5" t="s">
        <v>8036</v>
      </c>
      <c r="G13" s="5" t="s">
        <v>8037</v>
      </c>
      <c r="H13" s="5" t="s">
        <v>8038</v>
      </c>
      <c r="I13" s="5" t="s">
        <v>8039</v>
      </c>
      <c r="J13" s="5" t="s">
        <v>8040</v>
      </c>
    </row>
    <row r="14" customFormat="false" ht="23.85" hidden="false" customHeight="false" outlineLevel="0" collapsed="false">
      <c r="A14" s="4" t="s">
        <v>3851</v>
      </c>
      <c r="B14" s="4" t="s">
        <v>8041</v>
      </c>
      <c r="C14" s="4" t="n">
        <v>3</v>
      </c>
      <c r="D14" s="4" t="s">
        <v>7997</v>
      </c>
      <c r="E14" s="4" t="s">
        <v>8042</v>
      </c>
      <c r="F14" s="4" t="s">
        <v>8043</v>
      </c>
      <c r="G14" s="4" t="s">
        <v>8044</v>
      </c>
      <c r="H14" s="4" t="s">
        <v>8045</v>
      </c>
      <c r="I14" s="4" t="s">
        <v>8046</v>
      </c>
      <c r="J14" s="4" t="s">
        <v>8047</v>
      </c>
    </row>
    <row r="15" customFormat="false" ht="23.85" hidden="false" customHeight="false" outlineLevel="0" collapsed="false">
      <c r="A15" s="5" t="s">
        <v>1151</v>
      </c>
      <c r="B15" s="5" t="s">
        <v>3631</v>
      </c>
      <c r="C15" s="5" t="n">
        <v>1</v>
      </c>
      <c r="D15" s="5" t="s">
        <v>8048</v>
      </c>
      <c r="E15" s="5" t="s">
        <v>8049</v>
      </c>
      <c r="F15" s="5" t="s">
        <v>8050</v>
      </c>
      <c r="G15" s="5" t="s">
        <v>8051</v>
      </c>
      <c r="H15" s="5" t="s">
        <v>8052</v>
      </c>
      <c r="I15" s="5" t="s">
        <v>4356</v>
      </c>
      <c r="J15" s="5" t="s">
        <v>8053</v>
      </c>
    </row>
    <row r="16" customFormat="false" ht="23.85" hidden="false" customHeight="false" outlineLevel="0" collapsed="false">
      <c r="A16" s="4" t="s">
        <v>1151</v>
      </c>
      <c r="B16" s="4" t="s">
        <v>8054</v>
      </c>
      <c r="C16" s="4" t="n">
        <v>2</v>
      </c>
      <c r="D16" s="4" t="s">
        <v>8055</v>
      </c>
      <c r="E16" s="4" t="s">
        <v>8056</v>
      </c>
      <c r="F16" s="4" t="s">
        <v>8057</v>
      </c>
      <c r="G16" s="4" t="s">
        <v>8058</v>
      </c>
      <c r="H16" s="4" t="s">
        <v>8059</v>
      </c>
      <c r="I16" s="4" t="s">
        <v>8060</v>
      </c>
      <c r="J16" s="4" t="s">
        <v>8061</v>
      </c>
    </row>
    <row r="17" customFormat="false" ht="35.05" hidden="false" customHeight="false" outlineLevel="0" collapsed="false">
      <c r="A17" s="5" t="s">
        <v>1151</v>
      </c>
      <c r="B17" s="5" t="s">
        <v>8062</v>
      </c>
      <c r="C17" s="5" t="n">
        <v>3</v>
      </c>
      <c r="D17" s="5" t="s">
        <v>8027</v>
      </c>
      <c r="E17" s="5" t="s">
        <v>8063</v>
      </c>
      <c r="F17" s="5" t="s">
        <v>8064</v>
      </c>
      <c r="G17" s="5" t="s">
        <v>8065</v>
      </c>
      <c r="H17" s="5" t="s">
        <v>8066</v>
      </c>
      <c r="I17" s="5" t="s">
        <v>8067</v>
      </c>
      <c r="J17" s="5" t="s">
        <v>8068</v>
      </c>
    </row>
    <row r="18" customFormat="false" ht="23.85" hidden="false" customHeight="false" outlineLevel="0" collapsed="false">
      <c r="A18" s="4" t="s">
        <v>1151</v>
      </c>
      <c r="B18" s="4" t="s">
        <v>8069</v>
      </c>
      <c r="C18" s="4" t="n">
        <v>4</v>
      </c>
      <c r="D18" s="4" t="s">
        <v>8070</v>
      </c>
      <c r="E18" s="4" t="s">
        <v>8071</v>
      </c>
      <c r="F18" s="4" t="s">
        <v>8072</v>
      </c>
      <c r="G18" s="4" t="s">
        <v>8073</v>
      </c>
      <c r="H18" s="4" t="s">
        <v>8074</v>
      </c>
      <c r="I18" s="4" t="s">
        <v>7988</v>
      </c>
      <c r="J18" s="4" t="s">
        <v>8075</v>
      </c>
    </row>
    <row r="19" customFormat="false" ht="35.05" hidden="false" customHeight="false" outlineLevel="0" collapsed="false">
      <c r="A19" s="5" t="s">
        <v>8076</v>
      </c>
      <c r="B19" s="5" t="s">
        <v>8077</v>
      </c>
      <c r="C19" s="5" t="n">
        <v>1</v>
      </c>
      <c r="D19" s="5" t="s">
        <v>8048</v>
      </c>
      <c r="E19" s="5" t="s">
        <v>8078</v>
      </c>
      <c r="F19" s="5" t="s">
        <v>8079</v>
      </c>
      <c r="G19" s="5" t="s">
        <v>8080</v>
      </c>
      <c r="H19" s="5" t="s">
        <v>8081</v>
      </c>
      <c r="I19" s="5" t="s">
        <v>8082</v>
      </c>
      <c r="J19" s="5" t="s">
        <v>3639</v>
      </c>
    </row>
    <row r="20" customFormat="false" ht="23.85" hidden="false" customHeight="false" outlineLevel="0" collapsed="false">
      <c r="A20" s="4" t="s">
        <v>8076</v>
      </c>
      <c r="B20" s="4" t="s">
        <v>8083</v>
      </c>
      <c r="C20" s="4" t="n">
        <v>2</v>
      </c>
      <c r="D20" s="4" t="s">
        <v>8084</v>
      </c>
      <c r="E20" s="4" t="s">
        <v>8085</v>
      </c>
      <c r="F20" s="4" t="s">
        <v>8086</v>
      </c>
      <c r="G20" s="4" t="s">
        <v>8087</v>
      </c>
      <c r="H20" s="4" t="s">
        <v>8088</v>
      </c>
      <c r="I20" s="4" t="s">
        <v>8089</v>
      </c>
      <c r="J20" s="4" t="s">
        <v>3187</v>
      </c>
    </row>
    <row r="21" customFormat="false" ht="23.85" hidden="false" customHeight="false" outlineLevel="0" collapsed="false">
      <c r="A21" s="5" t="s">
        <v>4370</v>
      </c>
      <c r="B21" s="5" t="s">
        <v>8090</v>
      </c>
      <c r="C21" s="5" t="n">
        <v>1</v>
      </c>
      <c r="D21" s="5" t="s">
        <v>8091</v>
      </c>
      <c r="E21" s="5" t="s">
        <v>8092</v>
      </c>
      <c r="F21" s="5" t="s">
        <v>8093</v>
      </c>
      <c r="G21" s="5" t="s">
        <v>8094</v>
      </c>
      <c r="H21" s="5" t="s">
        <v>8095</v>
      </c>
      <c r="I21" s="5" t="s">
        <v>8096</v>
      </c>
      <c r="J21" s="5" t="s">
        <v>8097</v>
      </c>
    </row>
    <row r="22" customFormat="false" ht="23.85" hidden="false" customHeight="false" outlineLevel="0" collapsed="false">
      <c r="A22" s="4" t="s">
        <v>4370</v>
      </c>
      <c r="B22" s="4" t="s">
        <v>8098</v>
      </c>
      <c r="C22" s="4" t="n">
        <v>2</v>
      </c>
      <c r="D22" s="4" t="s">
        <v>8099</v>
      </c>
      <c r="E22" s="4" t="s">
        <v>8100</v>
      </c>
      <c r="F22" s="4" t="s">
        <v>8101</v>
      </c>
      <c r="G22" s="4" t="s">
        <v>8102</v>
      </c>
      <c r="H22" s="4" t="s">
        <v>8103</v>
      </c>
      <c r="I22" s="4" t="s">
        <v>8104</v>
      </c>
      <c r="J22" s="4" t="s">
        <v>8105</v>
      </c>
    </row>
    <row r="25" customFormat="false" ht="15" hidden="false" customHeight="false" outlineLevel="0" collapsed="false">
      <c r="A25" s="72" t="s">
        <v>8106</v>
      </c>
    </row>
    <row r="26" customFormat="false" ht="15" hidden="false" customHeight="false" outlineLevel="0" collapsed="false">
      <c r="A26" s="3" t="s">
        <v>500</v>
      </c>
      <c r="B26" s="3" t="s">
        <v>509</v>
      </c>
      <c r="C26" s="3" t="s">
        <v>8107</v>
      </c>
      <c r="D26" s="3" t="s">
        <v>1717</v>
      </c>
      <c r="E26" s="3" t="s">
        <v>8108</v>
      </c>
      <c r="F26" s="3" t="s">
        <v>8109</v>
      </c>
      <c r="G26" s="3" t="s">
        <v>1326</v>
      </c>
      <c r="H26" s="3" t="s">
        <v>291</v>
      </c>
    </row>
    <row r="27" customFormat="false" ht="23.85" hidden="false" customHeight="false" outlineLevel="0" collapsed="false">
      <c r="A27" s="4" t="s">
        <v>717</v>
      </c>
      <c r="B27" s="4" t="s">
        <v>8110</v>
      </c>
      <c r="C27" s="4" t="s">
        <v>8111</v>
      </c>
      <c r="D27" s="4" t="s">
        <v>8112</v>
      </c>
      <c r="E27" s="4" t="s">
        <v>8113</v>
      </c>
      <c r="F27" s="4" t="s">
        <v>8114</v>
      </c>
      <c r="G27" s="4" t="s">
        <v>8115</v>
      </c>
      <c r="H27" s="4" t="s">
        <v>8116</v>
      </c>
    </row>
    <row r="28" customFormat="false" ht="23.85" hidden="false" customHeight="false" outlineLevel="0" collapsed="false">
      <c r="A28" s="5" t="s">
        <v>717</v>
      </c>
      <c r="B28" s="5" t="s">
        <v>8117</v>
      </c>
      <c r="C28" s="5" t="s">
        <v>8118</v>
      </c>
      <c r="D28" s="5" t="s">
        <v>8119</v>
      </c>
      <c r="E28" s="5" t="s">
        <v>8120</v>
      </c>
      <c r="F28" s="5" t="s">
        <v>8121</v>
      </c>
      <c r="G28" s="5" t="s">
        <v>8122</v>
      </c>
      <c r="H28" s="5" t="s">
        <v>8123</v>
      </c>
    </row>
    <row r="29" customFormat="false" ht="23.85" hidden="false" customHeight="false" outlineLevel="0" collapsed="false">
      <c r="A29" s="4" t="s">
        <v>717</v>
      </c>
      <c r="B29" s="4" t="s">
        <v>8124</v>
      </c>
      <c r="C29" s="4" t="s">
        <v>8125</v>
      </c>
      <c r="D29" s="4" t="s">
        <v>8119</v>
      </c>
      <c r="E29" s="4" t="s">
        <v>8126</v>
      </c>
      <c r="F29" s="4" t="s">
        <v>8127</v>
      </c>
      <c r="G29" s="4" t="s">
        <v>8122</v>
      </c>
      <c r="H29" s="4" t="s">
        <v>8128</v>
      </c>
    </row>
    <row r="30" customFormat="false" ht="23.85" hidden="false" customHeight="false" outlineLevel="0" collapsed="false">
      <c r="A30" s="5" t="s">
        <v>717</v>
      </c>
      <c r="B30" s="5" t="s">
        <v>8129</v>
      </c>
      <c r="C30" s="5" t="s">
        <v>8130</v>
      </c>
      <c r="D30" s="5" t="s">
        <v>1748</v>
      </c>
      <c r="E30" s="5" t="s">
        <v>8131</v>
      </c>
      <c r="F30" s="5" t="s">
        <v>8132</v>
      </c>
      <c r="G30" s="5" t="s">
        <v>8133</v>
      </c>
      <c r="H30" s="5" t="s">
        <v>8134</v>
      </c>
    </row>
    <row r="31" customFormat="false" ht="23.85" hidden="false" customHeight="false" outlineLevel="0" collapsed="false">
      <c r="A31" s="4" t="s">
        <v>718</v>
      </c>
      <c r="B31" s="4" t="s">
        <v>8110</v>
      </c>
      <c r="C31" s="4" t="s">
        <v>8135</v>
      </c>
      <c r="D31" s="4" t="s">
        <v>8112</v>
      </c>
      <c r="E31" s="4" t="s">
        <v>8136</v>
      </c>
      <c r="F31" s="4" t="s">
        <v>8137</v>
      </c>
      <c r="G31" s="4" t="s">
        <v>8138</v>
      </c>
      <c r="H31" s="4" t="s">
        <v>8139</v>
      </c>
    </row>
    <row r="32" customFormat="false" ht="23.85" hidden="false" customHeight="false" outlineLevel="0" collapsed="false">
      <c r="A32" s="5" t="s">
        <v>718</v>
      </c>
      <c r="B32" s="5" t="s">
        <v>8117</v>
      </c>
      <c r="C32" s="5" t="s">
        <v>8140</v>
      </c>
      <c r="D32" s="5" t="s">
        <v>5438</v>
      </c>
      <c r="E32" s="5" t="s">
        <v>8141</v>
      </c>
      <c r="F32" s="5" t="s">
        <v>8142</v>
      </c>
      <c r="G32" s="5" t="s">
        <v>8143</v>
      </c>
      <c r="H32" s="5" t="s">
        <v>8128</v>
      </c>
    </row>
    <row r="33" customFormat="false" ht="23.85" hidden="false" customHeight="false" outlineLevel="0" collapsed="false">
      <c r="A33" s="4" t="s">
        <v>718</v>
      </c>
      <c r="B33" s="4" t="s">
        <v>8124</v>
      </c>
      <c r="C33" s="4" t="s">
        <v>8144</v>
      </c>
      <c r="D33" s="4" t="s">
        <v>1151</v>
      </c>
      <c r="E33" s="4" t="s">
        <v>8145</v>
      </c>
      <c r="F33" s="4" t="s">
        <v>8146</v>
      </c>
      <c r="G33" s="4" t="s">
        <v>8147</v>
      </c>
      <c r="H33" s="4" t="s">
        <v>8148</v>
      </c>
    </row>
    <row r="34" customFormat="false" ht="23.85" hidden="false" customHeight="false" outlineLevel="0" collapsed="false">
      <c r="A34" s="5" t="s">
        <v>718</v>
      </c>
      <c r="B34" s="5" t="s">
        <v>8129</v>
      </c>
      <c r="C34" s="5" t="s">
        <v>8149</v>
      </c>
      <c r="D34" s="5" t="s">
        <v>3210</v>
      </c>
      <c r="E34" s="5" t="s">
        <v>8150</v>
      </c>
      <c r="F34" s="5" t="s">
        <v>8151</v>
      </c>
      <c r="G34" s="5" t="s">
        <v>6924</v>
      </c>
      <c r="H34" s="5" t="s">
        <v>8152</v>
      </c>
    </row>
    <row r="35" customFormat="false" ht="23.85" hidden="false" customHeight="false" outlineLevel="0" collapsed="false">
      <c r="A35" s="4" t="s">
        <v>719</v>
      </c>
      <c r="B35" s="4" t="s">
        <v>8110</v>
      </c>
      <c r="C35" s="4" t="s">
        <v>8153</v>
      </c>
      <c r="D35" s="4" t="s">
        <v>8154</v>
      </c>
      <c r="E35" s="4" t="s">
        <v>8155</v>
      </c>
      <c r="F35" s="4" t="s">
        <v>8132</v>
      </c>
      <c r="G35" s="4" t="s">
        <v>8156</v>
      </c>
      <c r="H35" s="4" t="s">
        <v>8157</v>
      </c>
    </row>
    <row r="36" customFormat="false" ht="23.85" hidden="false" customHeight="false" outlineLevel="0" collapsed="false">
      <c r="A36" s="5" t="s">
        <v>719</v>
      </c>
      <c r="B36" s="5" t="s">
        <v>8117</v>
      </c>
      <c r="C36" s="5" t="s">
        <v>8158</v>
      </c>
      <c r="D36" s="5" t="s">
        <v>1151</v>
      </c>
      <c r="E36" s="5" t="s">
        <v>8159</v>
      </c>
      <c r="F36" s="5" t="s">
        <v>8160</v>
      </c>
      <c r="G36" s="5" t="s">
        <v>8147</v>
      </c>
      <c r="H36" s="5" t="s">
        <v>8148</v>
      </c>
    </row>
    <row r="37" customFormat="false" ht="23.85" hidden="false" customHeight="false" outlineLevel="0" collapsed="false">
      <c r="A37" s="4" t="s">
        <v>719</v>
      </c>
      <c r="B37" s="4" t="s">
        <v>8124</v>
      </c>
      <c r="C37" s="4" t="s">
        <v>8161</v>
      </c>
      <c r="D37" s="4" t="s">
        <v>5438</v>
      </c>
      <c r="E37" s="4" t="s">
        <v>8162</v>
      </c>
      <c r="F37" s="4" t="s">
        <v>8163</v>
      </c>
      <c r="G37" s="4" t="s">
        <v>8164</v>
      </c>
      <c r="H37" s="4" t="s">
        <v>8165</v>
      </c>
    </row>
    <row r="38" customFormat="false" ht="23.85" hidden="false" customHeight="false" outlineLevel="0" collapsed="false">
      <c r="A38" s="5" t="s">
        <v>719</v>
      </c>
      <c r="B38" s="5" t="s">
        <v>8129</v>
      </c>
      <c r="C38" s="5" t="s">
        <v>8166</v>
      </c>
      <c r="D38" s="5" t="s">
        <v>5231</v>
      </c>
      <c r="E38" s="5" t="s">
        <v>8167</v>
      </c>
      <c r="F38" s="5" t="s">
        <v>8168</v>
      </c>
      <c r="G38" s="5" t="s">
        <v>8169</v>
      </c>
      <c r="H38" s="5" t="s">
        <v>8170</v>
      </c>
    </row>
    <row r="39" customFormat="false" ht="23.85" hidden="false" customHeight="false" outlineLevel="0" collapsed="false">
      <c r="A39" s="4" t="s">
        <v>720</v>
      </c>
      <c r="B39" s="4" t="s">
        <v>8110</v>
      </c>
      <c r="C39" s="4" t="s">
        <v>8171</v>
      </c>
      <c r="D39" s="4" t="s">
        <v>8076</v>
      </c>
      <c r="E39" s="4" t="s">
        <v>8172</v>
      </c>
      <c r="F39" s="4" t="s">
        <v>8173</v>
      </c>
      <c r="G39" s="4" t="s">
        <v>8174</v>
      </c>
      <c r="H39" s="4" t="s">
        <v>8175</v>
      </c>
    </row>
    <row r="40" customFormat="false" ht="23.85" hidden="false" customHeight="false" outlineLevel="0" collapsed="false">
      <c r="A40" s="5" t="s">
        <v>720</v>
      </c>
      <c r="B40" s="5" t="s">
        <v>8117</v>
      </c>
      <c r="C40" s="5" t="s">
        <v>8176</v>
      </c>
      <c r="D40" s="5" t="s">
        <v>8154</v>
      </c>
      <c r="E40" s="5" t="s">
        <v>8177</v>
      </c>
      <c r="F40" s="5" t="s">
        <v>8178</v>
      </c>
      <c r="G40" s="5" t="s">
        <v>8169</v>
      </c>
      <c r="H40" s="5" t="s">
        <v>8157</v>
      </c>
    </row>
    <row r="41" customFormat="false" ht="23.85" hidden="false" customHeight="false" outlineLevel="0" collapsed="false">
      <c r="A41" s="4" t="s">
        <v>720</v>
      </c>
      <c r="B41" s="4" t="s">
        <v>8124</v>
      </c>
      <c r="C41" s="4" t="s">
        <v>8179</v>
      </c>
      <c r="D41" s="4" t="s">
        <v>1151</v>
      </c>
      <c r="E41" s="4" t="s">
        <v>8180</v>
      </c>
      <c r="F41" s="4" t="s">
        <v>8181</v>
      </c>
      <c r="G41" s="4" t="s">
        <v>8182</v>
      </c>
      <c r="H41" s="4" t="s">
        <v>8128</v>
      </c>
    </row>
    <row r="42" customFormat="false" ht="23.85" hidden="false" customHeight="false" outlineLevel="0" collapsed="false">
      <c r="A42" s="5" t="s">
        <v>720</v>
      </c>
      <c r="B42" s="5" t="s">
        <v>8129</v>
      </c>
      <c r="C42" s="5" t="s">
        <v>8183</v>
      </c>
      <c r="D42" s="5" t="s">
        <v>5231</v>
      </c>
      <c r="E42" s="5" t="s">
        <v>8184</v>
      </c>
      <c r="F42" s="5" t="s">
        <v>8185</v>
      </c>
      <c r="G42" s="5" t="s">
        <v>8186</v>
      </c>
      <c r="H42" s="5" t="s">
        <v>8175</v>
      </c>
    </row>
    <row r="43" customFormat="false" ht="23.85" hidden="false" customHeight="false" outlineLevel="0" collapsed="false">
      <c r="A43" s="4" t="s">
        <v>721</v>
      </c>
      <c r="B43" s="4" t="s">
        <v>8187</v>
      </c>
      <c r="C43" s="4" t="s">
        <v>8188</v>
      </c>
      <c r="D43" s="4" t="s">
        <v>8189</v>
      </c>
      <c r="E43" s="4" t="s">
        <v>8190</v>
      </c>
      <c r="F43" s="4" t="s">
        <v>8191</v>
      </c>
      <c r="G43" s="4" t="s">
        <v>8192</v>
      </c>
      <c r="H43" s="4" t="s">
        <v>8193</v>
      </c>
    </row>
    <row r="44" customFormat="false" ht="23.85" hidden="false" customHeight="false" outlineLevel="0" collapsed="false">
      <c r="A44" s="5" t="s">
        <v>721</v>
      </c>
      <c r="B44" s="5" t="s">
        <v>8194</v>
      </c>
      <c r="C44" s="5" t="s">
        <v>8195</v>
      </c>
      <c r="D44" s="5" t="s">
        <v>1652</v>
      </c>
      <c r="E44" s="5" t="s">
        <v>8196</v>
      </c>
      <c r="F44" s="5" t="s">
        <v>8197</v>
      </c>
      <c r="G44" s="5" t="s">
        <v>8198</v>
      </c>
      <c r="H44" s="5" t="s">
        <v>8199</v>
      </c>
    </row>
    <row r="45" customFormat="false" ht="23.85" hidden="false" customHeight="false" outlineLevel="0" collapsed="false">
      <c r="A45" s="4" t="s">
        <v>722</v>
      </c>
      <c r="B45" s="4" t="s">
        <v>8110</v>
      </c>
      <c r="C45" s="4" t="s">
        <v>8200</v>
      </c>
      <c r="D45" s="4" t="s">
        <v>1688</v>
      </c>
      <c r="E45" s="4" t="s">
        <v>8201</v>
      </c>
      <c r="F45" s="4" t="s">
        <v>8202</v>
      </c>
      <c r="G45" s="4" t="s">
        <v>8203</v>
      </c>
      <c r="H45" s="4" t="s">
        <v>8152</v>
      </c>
    </row>
    <row r="46" customFormat="false" ht="23.85" hidden="false" customHeight="false" outlineLevel="0" collapsed="false">
      <c r="A46" s="5" t="s">
        <v>722</v>
      </c>
      <c r="B46" s="5" t="s">
        <v>8129</v>
      </c>
      <c r="C46" s="5" t="s">
        <v>8204</v>
      </c>
      <c r="D46" s="5" t="s">
        <v>8205</v>
      </c>
      <c r="E46" s="5" t="s">
        <v>8206</v>
      </c>
      <c r="F46" s="5" t="s">
        <v>8207</v>
      </c>
      <c r="G46" s="5" t="s">
        <v>8208</v>
      </c>
      <c r="H46" s="5" t="s">
        <v>8209</v>
      </c>
    </row>
    <row r="49" customFormat="false" ht="15" hidden="false" customHeight="false" outlineLevel="0" collapsed="false">
      <c r="A49" s="72" t="s">
        <v>8210</v>
      </c>
    </row>
    <row r="50" customFormat="false" ht="15" hidden="false" customHeight="false" outlineLevel="0" collapsed="false">
      <c r="A50" s="3" t="s">
        <v>1752</v>
      </c>
      <c r="B50" s="3" t="s">
        <v>1753</v>
      </c>
      <c r="C50" s="3" t="s">
        <v>1754</v>
      </c>
      <c r="D50" s="3" t="s">
        <v>1840</v>
      </c>
      <c r="E50" s="3" t="s">
        <v>576</v>
      </c>
      <c r="F50" s="3" t="s">
        <v>412</v>
      </c>
    </row>
    <row r="51" customFormat="false" ht="35.05" hidden="false" customHeight="false" outlineLevel="0" collapsed="false">
      <c r="A51" s="4" t="n">
        <v>1</v>
      </c>
      <c r="B51" s="4" t="s">
        <v>8211</v>
      </c>
      <c r="C51" s="4" t="s">
        <v>8212</v>
      </c>
      <c r="D51" s="4" t="s">
        <v>8213</v>
      </c>
      <c r="E51" s="4" t="s">
        <v>527</v>
      </c>
      <c r="F51" s="4" t="s">
        <v>1759</v>
      </c>
    </row>
    <row r="52" customFormat="false" ht="23.85" hidden="false" customHeight="false" outlineLevel="0" collapsed="false">
      <c r="A52" s="5" t="n">
        <v>2</v>
      </c>
      <c r="B52" s="5" t="s">
        <v>8214</v>
      </c>
      <c r="C52" s="5" t="s">
        <v>8215</v>
      </c>
      <c r="D52" s="5" t="s">
        <v>8216</v>
      </c>
      <c r="E52" s="5" t="s">
        <v>527</v>
      </c>
      <c r="F52" s="5" t="s">
        <v>1759</v>
      </c>
    </row>
    <row r="53" customFormat="false" ht="23.85" hidden="false" customHeight="false" outlineLevel="0" collapsed="false">
      <c r="A53" s="4" t="n">
        <v>3</v>
      </c>
      <c r="B53" s="4" t="s">
        <v>8217</v>
      </c>
      <c r="C53" s="4" t="s">
        <v>8218</v>
      </c>
      <c r="D53" s="4" t="s">
        <v>8219</v>
      </c>
      <c r="E53" s="4" t="s">
        <v>8220</v>
      </c>
      <c r="F53" s="4" t="s">
        <v>1759</v>
      </c>
    </row>
    <row r="54" customFormat="false" ht="35.05" hidden="false" customHeight="false" outlineLevel="0" collapsed="false">
      <c r="A54" s="5" t="n">
        <v>4</v>
      </c>
      <c r="B54" s="5" t="s">
        <v>8221</v>
      </c>
      <c r="C54" s="5" t="s">
        <v>8222</v>
      </c>
      <c r="D54" s="5" t="s">
        <v>8223</v>
      </c>
      <c r="E54" s="5" t="s">
        <v>8224</v>
      </c>
      <c r="F54" s="5" t="s">
        <v>1759</v>
      </c>
    </row>
    <row r="55" customFormat="false" ht="35.05" hidden="false" customHeight="false" outlineLevel="0" collapsed="false">
      <c r="A55" s="4" t="n">
        <v>5</v>
      </c>
      <c r="B55" s="4" t="s">
        <v>8225</v>
      </c>
      <c r="C55" s="4" t="s">
        <v>8226</v>
      </c>
      <c r="D55" s="4" t="s">
        <v>8227</v>
      </c>
      <c r="E55" s="4" t="s">
        <v>3593</v>
      </c>
      <c r="F55" s="4" t="s">
        <v>1759</v>
      </c>
    </row>
    <row r="56" customFormat="false" ht="35.05" hidden="false" customHeight="false" outlineLevel="0" collapsed="false">
      <c r="A56" s="5" t="n">
        <v>6</v>
      </c>
      <c r="B56" s="5" t="s">
        <v>8228</v>
      </c>
      <c r="C56" s="5" t="s">
        <v>8229</v>
      </c>
      <c r="D56" s="5" t="s">
        <v>8230</v>
      </c>
      <c r="E56" s="5" t="s">
        <v>3634</v>
      </c>
      <c r="F56" s="5" t="s">
        <v>1759</v>
      </c>
    </row>
    <row r="57" customFormat="false" ht="35.05" hidden="false" customHeight="false" outlineLevel="0" collapsed="false">
      <c r="A57" s="4" t="n">
        <v>7</v>
      </c>
      <c r="B57" s="4" t="s">
        <v>8231</v>
      </c>
      <c r="C57" s="4" t="s">
        <v>8232</v>
      </c>
      <c r="D57" s="4" t="s">
        <v>8233</v>
      </c>
      <c r="E57" s="4" t="s">
        <v>2456</v>
      </c>
      <c r="F57" s="4" t="s">
        <v>1759</v>
      </c>
    </row>
    <row r="58" customFormat="false" ht="35.05" hidden="false" customHeight="false" outlineLevel="0" collapsed="false">
      <c r="A58" s="5" t="n">
        <v>8</v>
      </c>
      <c r="B58" s="5" t="s">
        <v>8234</v>
      </c>
      <c r="C58" s="5" t="s">
        <v>8235</v>
      </c>
      <c r="D58" s="5" t="s">
        <v>8216</v>
      </c>
      <c r="E58" s="5" t="s">
        <v>527</v>
      </c>
      <c r="F58" s="5" t="s">
        <v>1759</v>
      </c>
    </row>
    <row r="59" customFormat="false" ht="35.05" hidden="false" customHeight="false" outlineLevel="0" collapsed="false">
      <c r="A59" s="4" t="n">
        <v>9</v>
      </c>
      <c r="B59" s="4" t="s">
        <v>8236</v>
      </c>
      <c r="C59" s="4" t="s">
        <v>8237</v>
      </c>
      <c r="D59" s="4" t="s">
        <v>8238</v>
      </c>
      <c r="E59" s="4" t="s">
        <v>3735</v>
      </c>
      <c r="F59" s="4" t="s">
        <v>1759</v>
      </c>
    </row>
    <row r="60" customFormat="false" ht="35.05" hidden="false" customHeight="false" outlineLevel="0" collapsed="false">
      <c r="A60" s="5" t="n">
        <v>10</v>
      </c>
      <c r="B60" s="5" t="s">
        <v>8239</v>
      </c>
      <c r="C60" s="5" t="s">
        <v>8240</v>
      </c>
      <c r="D60" s="5" t="s">
        <v>8241</v>
      </c>
      <c r="E60" s="5" t="s">
        <v>8242</v>
      </c>
      <c r="F60" s="5" t="s">
        <v>1759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3" min="3" style="0" width="20"/>
    <col collapsed="false" customWidth="true" hidden="false" outlineLevel="0" max="4" min="4" style="0" width="40"/>
    <col collapsed="false" customWidth="true" hidden="false" outlineLevel="0" max="5" min="5" style="0" width="35"/>
    <col collapsed="false" customWidth="true" hidden="false" outlineLevel="0" max="7" min="6" style="0" width="30"/>
    <col collapsed="false" customWidth="true" hidden="false" outlineLevel="0" max="8" min="8" style="0" width="25"/>
    <col collapsed="false" customWidth="true" hidden="false" outlineLevel="0" max="10" min="9" style="0" width="20"/>
    <col collapsed="false" customWidth="true" hidden="false" outlineLevel="0" max="11" min="11" style="0" width="18"/>
    <col collapsed="false" customWidth="true" hidden="false" outlineLevel="0" max="12" min="12" style="0" width="25"/>
  </cols>
  <sheetData>
    <row r="1" customFormat="false" ht="17.35" hidden="false" customHeight="false" outlineLevel="0" collapsed="false">
      <c r="A1" s="104" t="s">
        <v>8243</v>
      </c>
      <c r="B1" s="104"/>
      <c r="C1" s="104"/>
      <c r="D1" s="104"/>
      <c r="E1" s="104"/>
      <c r="F1" s="104"/>
      <c r="G1" s="104"/>
      <c r="H1" s="104"/>
      <c r="I1" s="104"/>
      <c r="J1" s="104"/>
      <c r="K1" s="104"/>
      <c r="L1" s="104"/>
    </row>
    <row r="3" customFormat="false" ht="15" hidden="false" customHeight="false" outlineLevel="0" collapsed="false">
      <c r="A3" s="72" t="s">
        <v>8244</v>
      </c>
    </row>
    <row r="4" customFormat="false" ht="26.85" hidden="false" customHeight="false" outlineLevel="0" collapsed="false">
      <c r="A4" s="3" t="s">
        <v>434</v>
      </c>
      <c r="B4" s="3" t="s">
        <v>8245</v>
      </c>
      <c r="C4" s="3" t="s">
        <v>8246</v>
      </c>
      <c r="D4" s="3" t="s">
        <v>8247</v>
      </c>
      <c r="E4" s="3" t="s">
        <v>8248</v>
      </c>
      <c r="F4" s="3" t="s">
        <v>8249</v>
      </c>
      <c r="G4" s="3" t="s">
        <v>8250</v>
      </c>
      <c r="H4" s="3" t="s">
        <v>6143</v>
      </c>
      <c r="I4" s="3" t="s">
        <v>8251</v>
      </c>
      <c r="J4" s="3" t="s">
        <v>8252</v>
      </c>
      <c r="K4" s="3" t="s">
        <v>8253</v>
      </c>
      <c r="L4" s="3" t="s">
        <v>440</v>
      </c>
    </row>
    <row r="5" customFormat="false" ht="23.85" hidden="false" customHeight="false" outlineLevel="0" collapsed="false">
      <c r="A5" s="73" t="s">
        <v>802</v>
      </c>
      <c r="B5" s="73" t="s">
        <v>8254</v>
      </c>
      <c r="C5" s="73" t="s">
        <v>810</v>
      </c>
      <c r="D5" s="73" t="s">
        <v>804</v>
      </c>
      <c r="E5" s="73" t="s">
        <v>8255</v>
      </c>
      <c r="F5" s="73" t="s">
        <v>8256</v>
      </c>
      <c r="G5" s="73" t="s">
        <v>8257</v>
      </c>
      <c r="H5" s="73" t="s">
        <v>8258</v>
      </c>
      <c r="I5" s="73" t="s">
        <v>8259</v>
      </c>
      <c r="J5" s="73" t="s">
        <v>8260</v>
      </c>
      <c r="K5" s="73" t="s">
        <v>5340</v>
      </c>
      <c r="L5" s="73" t="s">
        <v>8261</v>
      </c>
    </row>
    <row r="6" customFormat="false" ht="23.85" hidden="false" customHeight="false" outlineLevel="0" collapsed="false">
      <c r="A6" s="75" t="s">
        <v>8262</v>
      </c>
      <c r="B6" s="75" t="s">
        <v>8263</v>
      </c>
      <c r="C6" s="75" t="s">
        <v>8264</v>
      </c>
      <c r="D6" s="75" t="s">
        <v>796</v>
      </c>
      <c r="E6" s="75" t="s">
        <v>8265</v>
      </c>
      <c r="F6" s="75" t="s">
        <v>8266</v>
      </c>
      <c r="G6" s="75" t="s">
        <v>8267</v>
      </c>
      <c r="H6" s="75" t="s">
        <v>8268</v>
      </c>
      <c r="I6" s="75" t="s">
        <v>8269</v>
      </c>
      <c r="J6" s="75" t="s">
        <v>8270</v>
      </c>
      <c r="K6" s="75" t="s">
        <v>8271</v>
      </c>
      <c r="L6" s="75" t="s">
        <v>8272</v>
      </c>
    </row>
    <row r="7" customFormat="false" ht="15" hidden="false" customHeight="false" outlineLevel="0" collapsed="false">
      <c r="A7" s="73" t="s">
        <v>826</v>
      </c>
      <c r="B7" s="73" t="s">
        <v>8273</v>
      </c>
      <c r="C7" s="73" t="s">
        <v>829</v>
      </c>
      <c r="D7" s="73" t="s">
        <v>805</v>
      </c>
      <c r="E7" s="73" t="s">
        <v>8274</v>
      </c>
      <c r="F7" s="73" t="s">
        <v>8275</v>
      </c>
      <c r="G7" s="73" t="s">
        <v>8276</v>
      </c>
      <c r="H7" s="73" t="s">
        <v>8277</v>
      </c>
      <c r="I7" s="73" t="s">
        <v>8278</v>
      </c>
      <c r="J7" s="73" t="s">
        <v>8279</v>
      </c>
      <c r="K7" s="73" t="s">
        <v>4787</v>
      </c>
      <c r="L7" s="73" t="s">
        <v>8280</v>
      </c>
    </row>
    <row r="8" customFormat="false" ht="23.85" hidden="false" customHeight="false" outlineLevel="0" collapsed="false">
      <c r="A8" s="75" t="s">
        <v>836</v>
      </c>
      <c r="B8" s="75" t="s">
        <v>8281</v>
      </c>
      <c r="C8" s="75" t="s">
        <v>820</v>
      </c>
      <c r="D8" s="75" t="s">
        <v>729</v>
      </c>
      <c r="E8" s="75" t="s">
        <v>8282</v>
      </c>
      <c r="F8" s="75" t="s">
        <v>8283</v>
      </c>
      <c r="G8" s="75" t="s">
        <v>8284</v>
      </c>
      <c r="H8" s="75" t="s">
        <v>8285</v>
      </c>
      <c r="I8" s="75" t="s">
        <v>8286</v>
      </c>
      <c r="J8" s="75" t="s">
        <v>4459</v>
      </c>
      <c r="K8" s="75" t="s">
        <v>5047</v>
      </c>
      <c r="L8" s="75" t="s">
        <v>8287</v>
      </c>
    </row>
    <row r="9" customFormat="false" ht="23.85" hidden="false" customHeight="false" outlineLevel="0" collapsed="false">
      <c r="A9" s="73" t="s">
        <v>845</v>
      </c>
      <c r="B9" s="73" t="s">
        <v>8288</v>
      </c>
      <c r="C9" s="73" t="s">
        <v>825</v>
      </c>
      <c r="D9" s="73" t="s">
        <v>838</v>
      </c>
      <c r="E9" s="73" t="s">
        <v>8289</v>
      </c>
      <c r="F9" s="73" t="s">
        <v>8290</v>
      </c>
      <c r="G9" s="73" t="s">
        <v>8291</v>
      </c>
      <c r="H9" s="73" t="s">
        <v>8292</v>
      </c>
      <c r="I9" s="73" t="s">
        <v>8293</v>
      </c>
      <c r="J9" s="73" t="s">
        <v>8279</v>
      </c>
      <c r="K9" s="73" t="s">
        <v>5019</v>
      </c>
      <c r="L9" s="73" t="s">
        <v>8294</v>
      </c>
    </row>
    <row r="10" customFormat="false" ht="23.85" hidden="false" customHeight="false" outlineLevel="0" collapsed="false">
      <c r="A10" s="75" t="s">
        <v>854</v>
      </c>
      <c r="B10" s="75" t="s">
        <v>8295</v>
      </c>
      <c r="C10" s="75" t="s">
        <v>805</v>
      </c>
      <c r="D10" s="75" t="s">
        <v>794</v>
      </c>
      <c r="E10" s="75" t="s">
        <v>8296</v>
      </c>
      <c r="F10" s="75" t="s">
        <v>8297</v>
      </c>
      <c r="G10" s="75" t="s">
        <v>8298</v>
      </c>
      <c r="H10" s="75" t="s">
        <v>8299</v>
      </c>
      <c r="I10" s="75" t="s">
        <v>8259</v>
      </c>
      <c r="J10" s="75" t="s">
        <v>4459</v>
      </c>
      <c r="K10" s="75" t="s">
        <v>5013</v>
      </c>
      <c r="L10" s="75" t="s">
        <v>8300</v>
      </c>
    </row>
    <row r="12" customFormat="false" ht="15" hidden="false" customHeight="false" outlineLevel="0" collapsed="false">
      <c r="A12" s="72" t="s">
        <v>8301</v>
      </c>
    </row>
    <row r="13" customFormat="false" ht="26.85" hidden="false" customHeight="false" outlineLevel="0" collapsed="false">
      <c r="A13" s="3" t="s">
        <v>8302</v>
      </c>
      <c r="B13" s="3" t="s">
        <v>488</v>
      </c>
      <c r="C13" s="3" t="s">
        <v>8303</v>
      </c>
      <c r="D13" s="3" t="s">
        <v>6909</v>
      </c>
      <c r="E13" s="3" t="s">
        <v>8304</v>
      </c>
      <c r="F13" s="3" t="s">
        <v>8305</v>
      </c>
      <c r="G13" s="3" t="s">
        <v>8306</v>
      </c>
      <c r="H13" s="3" t="s">
        <v>8307</v>
      </c>
      <c r="I13" s="3" t="s">
        <v>8308</v>
      </c>
      <c r="J13" s="3" t="s">
        <v>8309</v>
      </c>
      <c r="K13" s="3" t="s">
        <v>440</v>
      </c>
    </row>
    <row r="14" customFormat="false" ht="35.05" hidden="false" customHeight="false" outlineLevel="0" collapsed="false">
      <c r="A14" s="73" t="s">
        <v>8310</v>
      </c>
      <c r="B14" s="73" t="s">
        <v>8311</v>
      </c>
      <c r="C14" s="73" t="s">
        <v>8312</v>
      </c>
      <c r="D14" s="73" t="s">
        <v>8313</v>
      </c>
      <c r="E14" s="73" t="s">
        <v>8314</v>
      </c>
      <c r="F14" s="73" t="s">
        <v>8315</v>
      </c>
      <c r="G14" s="73" t="s">
        <v>8316</v>
      </c>
      <c r="H14" s="73" t="s">
        <v>8317</v>
      </c>
      <c r="I14" s="73" t="s">
        <v>8318</v>
      </c>
      <c r="J14" s="73" t="s">
        <v>8319</v>
      </c>
      <c r="K14" s="73" t="s">
        <v>8320</v>
      </c>
    </row>
    <row r="15" customFormat="false" ht="23.85" hidden="false" customHeight="false" outlineLevel="0" collapsed="false">
      <c r="A15" s="75" t="s">
        <v>8321</v>
      </c>
      <c r="B15" s="75" t="s">
        <v>8322</v>
      </c>
      <c r="C15" s="75" t="s">
        <v>8323</v>
      </c>
      <c r="D15" s="75" t="s">
        <v>8324</v>
      </c>
      <c r="E15" s="75" t="s">
        <v>8325</v>
      </c>
      <c r="F15" s="75" t="s">
        <v>8326</v>
      </c>
      <c r="G15" s="75" t="s">
        <v>8327</v>
      </c>
      <c r="H15" s="75" t="s">
        <v>8328</v>
      </c>
      <c r="I15" s="75" t="s">
        <v>8329</v>
      </c>
      <c r="J15" s="75" t="s">
        <v>8330</v>
      </c>
      <c r="K15" s="75" t="s">
        <v>8331</v>
      </c>
    </row>
    <row r="16" customFormat="false" ht="35.05" hidden="false" customHeight="false" outlineLevel="0" collapsed="false">
      <c r="A16" s="73" t="s">
        <v>8332</v>
      </c>
      <c r="B16" s="73" t="s">
        <v>8333</v>
      </c>
      <c r="C16" s="73" t="s">
        <v>8334</v>
      </c>
      <c r="D16" s="73" t="s">
        <v>8335</v>
      </c>
      <c r="E16" s="73" t="s">
        <v>8336</v>
      </c>
      <c r="F16" s="73" t="s">
        <v>8337</v>
      </c>
      <c r="G16" s="73" t="s">
        <v>8338</v>
      </c>
      <c r="H16" s="73" t="s">
        <v>8339</v>
      </c>
      <c r="I16" s="73" t="s">
        <v>8340</v>
      </c>
      <c r="J16" s="73" t="s">
        <v>8341</v>
      </c>
      <c r="K16" s="73" t="s">
        <v>8342</v>
      </c>
    </row>
    <row r="17" customFormat="false" ht="23.85" hidden="false" customHeight="false" outlineLevel="0" collapsed="false">
      <c r="A17" s="75" t="s">
        <v>8343</v>
      </c>
      <c r="B17" s="75" t="s">
        <v>8344</v>
      </c>
      <c r="C17" s="75" t="s">
        <v>5112</v>
      </c>
      <c r="D17" s="75" t="s">
        <v>8345</v>
      </c>
      <c r="E17" s="75" t="s">
        <v>8346</v>
      </c>
      <c r="F17" s="75" t="s">
        <v>8347</v>
      </c>
      <c r="G17" s="75" t="s">
        <v>8348</v>
      </c>
      <c r="H17" s="75" t="s">
        <v>8349</v>
      </c>
      <c r="I17" s="75" t="s">
        <v>8350</v>
      </c>
      <c r="J17" s="75" t="s">
        <v>8351</v>
      </c>
      <c r="K17" s="75" t="s">
        <v>8352</v>
      </c>
    </row>
    <row r="18" customFormat="false" ht="23.85" hidden="false" customHeight="false" outlineLevel="0" collapsed="false">
      <c r="A18" s="73" t="s">
        <v>8353</v>
      </c>
      <c r="B18" s="73" t="s">
        <v>8354</v>
      </c>
      <c r="C18" s="73" t="s">
        <v>8355</v>
      </c>
      <c r="D18" s="73" t="s">
        <v>8356</v>
      </c>
      <c r="E18" s="73" t="s">
        <v>8357</v>
      </c>
      <c r="F18" s="73" t="s">
        <v>8358</v>
      </c>
      <c r="G18" s="73" t="s">
        <v>8359</v>
      </c>
      <c r="H18" s="73" t="s">
        <v>8360</v>
      </c>
      <c r="I18" s="73" t="s">
        <v>8361</v>
      </c>
      <c r="J18" s="73" t="s">
        <v>8362</v>
      </c>
      <c r="K18" s="73" t="s">
        <v>8363</v>
      </c>
    </row>
    <row r="19" customFormat="false" ht="23.85" hidden="false" customHeight="false" outlineLevel="0" collapsed="false">
      <c r="A19" s="75" t="s">
        <v>8364</v>
      </c>
      <c r="B19" s="75" t="s">
        <v>8365</v>
      </c>
      <c r="C19" s="75" t="s">
        <v>5336</v>
      </c>
      <c r="D19" s="75" t="s">
        <v>8366</v>
      </c>
      <c r="E19" s="75" t="s">
        <v>8367</v>
      </c>
      <c r="F19" s="75" t="s">
        <v>8368</v>
      </c>
      <c r="G19" s="75" t="s">
        <v>8369</v>
      </c>
      <c r="H19" s="75" t="s">
        <v>8370</v>
      </c>
      <c r="I19" s="75" t="s">
        <v>8371</v>
      </c>
      <c r="J19" s="75" t="s">
        <v>8372</v>
      </c>
      <c r="K19" s="75" t="s">
        <v>8373</v>
      </c>
    </row>
    <row r="20" customFormat="false" ht="23.85" hidden="false" customHeight="false" outlineLevel="0" collapsed="false">
      <c r="A20" s="73" t="s">
        <v>8374</v>
      </c>
      <c r="B20" s="73" t="s">
        <v>8375</v>
      </c>
      <c r="C20" s="73" t="s">
        <v>8376</v>
      </c>
      <c r="D20" s="73" t="s">
        <v>8377</v>
      </c>
      <c r="E20" s="73" t="s">
        <v>8378</v>
      </c>
      <c r="F20" s="73" t="s">
        <v>8379</v>
      </c>
      <c r="G20" s="73" t="s">
        <v>8380</v>
      </c>
      <c r="H20" s="73" t="s">
        <v>8381</v>
      </c>
      <c r="I20" s="73" t="s">
        <v>8382</v>
      </c>
      <c r="J20" s="73" t="s">
        <v>8383</v>
      </c>
      <c r="K20" s="73" t="s">
        <v>8384</v>
      </c>
    </row>
    <row r="21" customFormat="false" ht="35.05" hidden="false" customHeight="false" outlineLevel="0" collapsed="false">
      <c r="A21" s="75" t="s">
        <v>8385</v>
      </c>
      <c r="B21" s="75" t="s">
        <v>8386</v>
      </c>
      <c r="C21" s="75" t="s">
        <v>8387</v>
      </c>
      <c r="D21" s="75" t="s">
        <v>8388</v>
      </c>
      <c r="E21" s="75" t="s">
        <v>8389</v>
      </c>
      <c r="F21" s="75" t="s">
        <v>451</v>
      </c>
      <c r="G21" s="75" t="s">
        <v>8390</v>
      </c>
      <c r="H21" s="75" t="s">
        <v>8391</v>
      </c>
      <c r="I21" s="75" t="s">
        <v>8392</v>
      </c>
      <c r="J21" s="75" t="s">
        <v>8393</v>
      </c>
      <c r="K21" s="75" t="s">
        <v>8394</v>
      </c>
    </row>
    <row r="22" customFormat="false" ht="35.05" hidden="false" customHeight="false" outlineLevel="0" collapsed="false">
      <c r="A22" s="73" t="s">
        <v>8395</v>
      </c>
      <c r="B22" s="73" t="s">
        <v>539</v>
      </c>
      <c r="C22" s="73" t="s">
        <v>8396</v>
      </c>
      <c r="D22" s="73" t="s">
        <v>8397</v>
      </c>
      <c r="E22" s="73" t="s">
        <v>8398</v>
      </c>
      <c r="F22" s="73" t="s">
        <v>8399</v>
      </c>
      <c r="G22" s="73" t="s">
        <v>8400</v>
      </c>
      <c r="H22" s="73" t="s">
        <v>8401</v>
      </c>
      <c r="I22" s="73" t="s">
        <v>8402</v>
      </c>
      <c r="J22" s="73" t="s">
        <v>8403</v>
      </c>
      <c r="K22" s="73" t="s">
        <v>8404</v>
      </c>
    </row>
    <row r="23" customFormat="false" ht="35.05" hidden="false" customHeight="false" outlineLevel="0" collapsed="false">
      <c r="A23" s="75" t="s">
        <v>8405</v>
      </c>
      <c r="B23" s="75" t="s">
        <v>8406</v>
      </c>
      <c r="C23" s="75" t="s">
        <v>8407</v>
      </c>
      <c r="D23" s="75" t="s">
        <v>8408</v>
      </c>
      <c r="E23" s="75" t="s">
        <v>8409</v>
      </c>
      <c r="F23" s="75" t="s">
        <v>451</v>
      </c>
      <c r="G23" s="75" t="s">
        <v>8410</v>
      </c>
      <c r="H23" s="75" t="s">
        <v>8411</v>
      </c>
      <c r="I23" s="75" t="s">
        <v>8412</v>
      </c>
      <c r="J23" s="75" t="s">
        <v>451</v>
      </c>
      <c r="K23" s="75" t="s">
        <v>8413</v>
      </c>
    </row>
    <row r="25" customFormat="false" ht="15" hidden="false" customHeight="false" outlineLevel="0" collapsed="false">
      <c r="A25" s="72" t="s">
        <v>8414</v>
      </c>
    </row>
    <row r="26" customFormat="false" ht="15" hidden="false" customHeight="false" outlineLevel="0" collapsed="false">
      <c r="A26" s="3" t="s">
        <v>8302</v>
      </c>
      <c r="B26" s="3" t="s">
        <v>488</v>
      </c>
      <c r="C26" s="3" t="s">
        <v>8415</v>
      </c>
      <c r="D26" s="3" t="s">
        <v>8416</v>
      </c>
      <c r="E26" s="3" t="s">
        <v>8417</v>
      </c>
      <c r="F26" s="3" t="s">
        <v>409</v>
      </c>
      <c r="G26" s="3" t="s">
        <v>291</v>
      </c>
      <c r="H26" s="3" t="s">
        <v>8418</v>
      </c>
    </row>
    <row r="27" customFormat="false" ht="23.85" hidden="false" customHeight="false" outlineLevel="0" collapsed="false">
      <c r="A27" s="73" t="s">
        <v>8419</v>
      </c>
      <c r="B27" s="73" t="s">
        <v>8420</v>
      </c>
      <c r="C27" s="73" t="s">
        <v>8271</v>
      </c>
      <c r="D27" s="73" t="s">
        <v>8421</v>
      </c>
      <c r="E27" s="73" t="s">
        <v>8422</v>
      </c>
      <c r="F27" s="73" t="s">
        <v>8423</v>
      </c>
      <c r="G27" s="73" t="s">
        <v>8424</v>
      </c>
      <c r="H27" s="73" t="s">
        <v>8425</v>
      </c>
    </row>
    <row r="28" customFormat="false" ht="23.85" hidden="false" customHeight="false" outlineLevel="0" collapsed="false">
      <c r="A28" s="75" t="s">
        <v>8426</v>
      </c>
      <c r="B28" s="75" t="s">
        <v>8333</v>
      </c>
      <c r="C28" s="75" t="s">
        <v>5004</v>
      </c>
      <c r="D28" s="75" t="s">
        <v>8427</v>
      </c>
      <c r="E28" s="75" t="s">
        <v>8428</v>
      </c>
      <c r="F28" s="75" t="s">
        <v>8429</v>
      </c>
      <c r="G28" s="75" t="s">
        <v>8430</v>
      </c>
      <c r="H28" s="75" t="s">
        <v>8431</v>
      </c>
    </row>
    <row r="29" customFormat="false" ht="23.85" hidden="false" customHeight="false" outlineLevel="0" collapsed="false">
      <c r="A29" s="73" t="s">
        <v>8432</v>
      </c>
      <c r="B29" s="73" t="s">
        <v>539</v>
      </c>
      <c r="C29" s="73" t="s">
        <v>8433</v>
      </c>
      <c r="D29" s="73" t="s">
        <v>8434</v>
      </c>
      <c r="E29" s="73" t="s">
        <v>8435</v>
      </c>
      <c r="F29" s="73" t="s">
        <v>8436</v>
      </c>
      <c r="G29" s="73" t="s">
        <v>8437</v>
      </c>
      <c r="H29" s="73" t="s">
        <v>8438</v>
      </c>
    </row>
    <row r="30" customFormat="false" ht="23.85" hidden="false" customHeight="false" outlineLevel="0" collapsed="false">
      <c r="A30" s="75" t="s">
        <v>8439</v>
      </c>
      <c r="B30" s="75" t="s">
        <v>8440</v>
      </c>
      <c r="C30" s="75" t="s">
        <v>8441</v>
      </c>
      <c r="D30" s="75" t="s">
        <v>8442</v>
      </c>
      <c r="E30" s="75" t="s">
        <v>8443</v>
      </c>
      <c r="F30" s="75" t="s">
        <v>8444</v>
      </c>
      <c r="G30" s="75" t="s">
        <v>8445</v>
      </c>
      <c r="H30" s="75" t="s">
        <v>8446</v>
      </c>
    </row>
    <row r="31" customFormat="false" ht="23.85" hidden="false" customHeight="false" outlineLevel="0" collapsed="false">
      <c r="A31" s="73" t="s">
        <v>8447</v>
      </c>
      <c r="B31" s="73" t="s">
        <v>7511</v>
      </c>
      <c r="C31" s="73" t="s">
        <v>8448</v>
      </c>
      <c r="D31" s="73" t="s">
        <v>8449</v>
      </c>
      <c r="E31" s="73" t="s">
        <v>8450</v>
      </c>
      <c r="F31" s="73" t="s">
        <v>8451</v>
      </c>
      <c r="G31" s="73" t="s">
        <v>8452</v>
      </c>
      <c r="H31" s="73" t="s">
        <v>8453</v>
      </c>
    </row>
    <row r="32" customFormat="false" ht="23.85" hidden="false" customHeight="false" outlineLevel="0" collapsed="false">
      <c r="A32" s="75" t="s">
        <v>8454</v>
      </c>
      <c r="B32" s="75" t="s">
        <v>8455</v>
      </c>
      <c r="C32" s="75" t="s">
        <v>8456</v>
      </c>
      <c r="D32" s="75" t="s">
        <v>8457</v>
      </c>
      <c r="E32" s="75" t="s">
        <v>8458</v>
      </c>
      <c r="F32" s="75" t="s">
        <v>8459</v>
      </c>
      <c r="G32" s="75" t="s">
        <v>8460</v>
      </c>
      <c r="H32" s="75" t="s">
        <v>8461</v>
      </c>
    </row>
    <row r="33" customFormat="false" ht="23.85" hidden="false" customHeight="false" outlineLevel="0" collapsed="false">
      <c r="A33" s="73" t="s">
        <v>8462</v>
      </c>
      <c r="B33" s="73" t="s">
        <v>8463</v>
      </c>
      <c r="C33" s="73" t="s">
        <v>8271</v>
      </c>
      <c r="D33" s="73" t="s">
        <v>8464</v>
      </c>
      <c r="E33" s="73" t="s">
        <v>8465</v>
      </c>
      <c r="F33" s="73" t="s">
        <v>8466</v>
      </c>
      <c r="G33" s="73" t="s">
        <v>8467</v>
      </c>
      <c r="H33" s="73" t="s">
        <v>8468</v>
      </c>
    </row>
    <row r="34" customFormat="false" ht="35.05" hidden="false" customHeight="false" outlineLevel="0" collapsed="false">
      <c r="A34" s="75" t="s">
        <v>8469</v>
      </c>
      <c r="B34" s="75" t="s">
        <v>8470</v>
      </c>
      <c r="C34" s="75" t="s">
        <v>8471</v>
      </c>
      <c r="D34" s="75" t="s">
        <v>8472</v>
      </c>
      <c r="E34" s="75" t="s">
        <v>8473</v>
      </c>
      <c r="F34" s="75" t="s">
        <v>8474</v>
      </c>
      <c r="G34" s="75" t="s">
        <v>8475</v>
      </c>
      <c r="H34" s="75" t="s">
        <v>8476</v>
      </c>
    </row>
    <row r="35" customFormat="false" ht="23.85" hidden="false" customHeight="false" outlineLevel="0" collapsed="false">
      <c r="A35" s="73" t="s">
        <v>8477</v>
      </c>
      <c r="B35" s="73" t="s">
        <v>8354</v>
      </c>
      <c r="C35" s="73" t="s">
        <v>8271</v>
      </c>
      <c r="D35" s="73" t="s">
        <v>8478</v>
      </c>
      <c r="E35" s="73" t="s">
        <v>8479</v>
      </c>
      <c r="F35" s="73" t="s">
        <v>8480</v>
      </c>
      <c r="G35" s="73" t="s">
        <v>8481</v>
      </c>
      <c r="H35" s="73" t="s">
        <v>8482</v>
      </c>
    </row>
    <row r="36" customFormat="false" ht="23.85" hidden="false" customHeight="false" outlineLevel="0" collapsed="false">
      <c r="A36" s="75" t="s">
        <v>8483</v>
      </c>
      <c r="B36" s="75" t="s">
        <v>8484</v>
      </c>
      <c r="C36" s="75" t="s">
        <v>8271</v>
      </c>
      <c r="D36" s="75" t="s">
        <v>8485</v>
      </c>
      <c r="E36" s="75" t="s">
        <v>8486</v>
      </c>
      <c r="F36" s="75" t="s">
        <v>8487</v>
      </c>
      <c r="G36" s="75" t="s">
        <v>8488</v>
      </c>
      <c r="H36" s="75" t="s">
        <v>8489</v>
      </c>
    </row>
    <row r="38" customFormat="false" ht="15" hidden="false" customHeight="false" outlineLevel="0" collapsed="false">
      <c r="A38" s="72" t="s">
        <v>8490</v>
      </c>
    </row>
    <row r="39" customFormat="false" ht="15" hidden="false" customHeight="false" outlineLevel="0" collapsed="false">
      <c r="A39" s="3" t="s">
        <v>8302</v>
      </c>
      <c r="B39" s="3" t="s">
        <v>488</v>
      </c>
      <c r="C39" s="3" t="s">
        <v>1838</v>
      </c>
      <c r="D39" s="3" t="s">
        <v>1754</v>
      </c>
      <c r="E39" s="3" t="s">
        <v>8491</v>
      </c>
      <c r="F39" s="3" t="s">
        <v>291</v>
      </c>
      <c r="G39" s="3" t="s">
        <v>8492</v>
      </c>
      <c r="H39" s="3" t="s">
        <v>440</v>
      </c>
    </row>
    <row r="40" customFormat="false" ht="23.85" hidden="false" customHeight="false" outlineLevel="0" collapsed="false">
      <c r="A40" s="73" t="s">
        <v>8493</v>
      </c>
      <c r="B40" s="73" t="s">
        <v>539</v>
      </c>
      <c r="C40" s="73" t="s">
        <v>5379</v>
      </c>
      <c r="D40" s="73" t="s">
        <v>8494</v>
      </c>
      <c r="E40" s="73" t="s">
        <v>8495</v>
      </c>
      <c r="F40" s="73" t="s">
        <v>8496</v>
      </c>
      <c r="G40" s="73" t="s">
        <v>8497</v>
      </c>
      <c r="H40" s="73" t="s">
        <v>8498</v>
      </c>
    </row>
    <row r="41" customFormat="false" ht="23.85" hidden="false" customHeight="false" outlineLevel="0" collapsed="false">
      <c r="A41" s="75" t="s">
        <v>8499</v>
      </c>
      <c r="B41" s="75" t="s">
        <v>4289</v>
      </c>
      <c r="C41" s="75" t="s">
        <v>4342</v>
      </c>
      <c r="D41" s="75" t="s">
        <v>8500</v>
      </c>
      <c r="E41" s="75" t="s">
        <v>8501</v>
      </c>
      <c r="F41" s="75" t="s">
        <v>8502</v>
      </c>
      <c r="G41" s="75" t="s">
        <v>8503</v>
      </c>
      <c r="H41" s="75" t="s">
        <v>8504</v>
      </c>
    </row>
    <row r="42" customFormat="false" ht="23.85" hidden="false" customHeight="false" outlineLevel="0" collapsed="false">
      <c r="A42" s="73" t="s">
        <v>8505</v>
      </c>
      <c r="B42" s="73" t="s">
        <v>8387</v>
      </c>
      <c r="C42" s="73" t="s">
        <v>8387</v>
      </c>
      <c r="D42" s="73" t="s">
        <v>8506</v>
      </c>
      <c r="E42" s="73" t="s">
        <v>8507</v>
      </c>
      <c r="F42" s="73" t="s">
        <v>8508</v>
      </c>
      <c r="G42" s="73" t="s">
        <v>8509</v>
      </c>
      <c r="H42" s="73" t="s">
        <v>8510</v>
      </c>
    </row>
    <row r="43" customFormat="false" ht="23.85" hidden="false" customHeight="false" outlineLevel="0" collapsed="false">
      <c r="A43" s="75" t="s">
        <v>8511</v>
      </c>
      <c r="B43" s="75" t="s">
        <v>8512</v>
      </c>
      <c r="C43" s="75" t="s">
        <v>8513</v>
      </c>
      <c r="D43" s="75" t="s">
        <v>8514</v>
      </c>
      <c r="E43" s="75" t="s">
        <v>8515</v>
      </c>
      <c r="F43" s="75" t="s">
        <v>8516</v>
      </c>
      <c r="G43" s="75" t="s">
        <v>8517</v>
      </c>
      <c r="H43" s="75" t="s">
        <v>8518</v>
      </c>
    </row>
    <row r="44" customFormat="false" ht="23.85" hidden="false" customHeight="false" outlineLevel="0" collapsed="false">
      <c r="A44" s="73" t="s">
        <v>8519</v>
      </c>
      <c r="B44" s="73" t="s">
        <v>8520</v>
      </c>
      <c r="C44" s="73" t="s">
        <v>451</v>
      </c>
      <c r="D44" s="73" t="s">
        <v>8521</v>
      </c>
      <c r="E44" s="73" t="s">
        <v>8522</v>
      </c>
      <c r="F44" s="73" t="s">
        <v>8523</v>
      </c>
      <c r="G44" s="73" t="s">
        <v>8524</v>
      </c>
      <c r="H44" s="73" t="s">
        <v>8525</v>
      </c>
    </row>
    <row r="45" customFormat="false" ht="23.85" hidden="false" customHeight="false" outlineLevel="0" collapsed="false">
      <c r="A45" s="75" t="s">
        <v>8526</v>
      </c>
      <c r="B45" s="75" t="s">
        <v>539</v>
      </c>
      <c r="C45" s="75" t="s">
        <v>8527</v>
      </c>
      <c r="D45" s="75" t="s">
        <v>8528</v>
      </c>
      <c r="E45" s="75" t="s">
        <v>8529</v>
      </c>
      <c r="F45" s="75" t="s">
        <v>8530</v>
      </c>
      <c r="G45" s="75" t="s">
        <v>8531</v>
      </c>
      <c r="H45" s="75" t="s">
        <v>8532</v>
      </c>
    </row>
    <row r="46" customFormat="false" ht="23.85" hidden="false" customHeight="false" outlineLevel="0" collapsed="false">
      <c r="A46" s="73" t="s">
        <v>8533</v>
      </c>
      <c r="B46" s="73" t="s">
        <v>8534</v>
      </c>
      <c r="C46" s="73" t="s">
        <v>8535</v>
      </c>
      <c r="D46" s="73" t="s">
        <v>8536</v>
      </c>
      <c r="E46" s="73" t="s">
        <v>8537</v>
      </c>
      <c r="F46" s="73" t="s">
        <v>8538</v>
      </c>
      <c r="G46" s="73" t="s">
        <v>8539</v>
      </c>
      <c r="H46" s="73" t="s">
        <v>8540</v>
      </c>
    </row>
    <row r="47" customFormat="false" ht="23.85" hidden="false" customHeight="false" outlineLevel="0" collapsed="false">
      <c r="A47" s="75" t="s">
        <v>8541</v>
      </c>
      <c r="B47" s="75" t="s">
        <v>605</v>
      </c>
      <c r="C47" s="75" t="s">
        <v>8542</v>
      </c>
      <c r="D47" s="75" t="s">
        <v>8543</v>
      </c>
      <c r="E47" s="75" t="s">
        <v>8544</v>
      </c>
      <c r="F47" s="75" t="s">
        <v>8545</v>
      </c>
      <c r="G47" s="75" t="s">
        <v>8546</v>
      </c>
      <c r="H47" s="75" t="s">
        <v>8547</v>
      </c>
    </row>
    <row r="49" customFormat="false" ht="15" hidden="false" customHeight="false" outlineLevel="0" collapsed="false">
      <c r="A49" s="72" t="s">
        <v>8548</v>
      </c>
    </row>
    <row r="50" customFormat="false" ht="15" hidden="false" customHeight="false" outlineLevel="0" collapsed="false">
      <c r="A50" s="3" t="s">
        <v>8549</v>
      </c>
      <c r="B50" s="3" t="s">
        <v>488</v>
      </c>
      <c r="C50" s="3" t="s">
        <v>7734</v>
      </c>
      <c r="D50" s="3" t="s">
        <v>8550</v>
      </c>
      <c r="E50" s="3" t="s">
        <v>8551</v>
      </c>
      <c r="F50" s="3" t="s">
        <v>8552</v>
      </c>
      <c r="G50" s="3" t="s">
        <v>8553</v>
      </c>
      <c r="H50" s="3" t="s">
        <v>291</v>
      </c>
      <c r="I50" s="3" t="s">
        <v>440</v>
      </c>
    </row>
    <row r="51" customFormat="false" ht="23.85" hidden="false" customHeight="false" outlineLevel="0" collapsed="false">
      <c r="A51" s="73" t="s">
        <v>8554</v>
      </c>
      <c r="B51" s="73" t="s">
        <v>8555</v>
      </c>
      <c r="C51" s="73" t="s">
        <v>8556</v>
      </c>
      <c r="D51" s="73" t="s">
        <v>8557</v>
      </c>
      <c r="E51" s="73" t="s">
        <v>8558</v>
      </c>
      <c r="F51" s="73" t="s">
        <v>8559</v>
      </c>
      <c r="G51" s="73" t="s">
        <v>8560</v>
      </c>
      <c r="H51" s="73" t="s">
        <v>8561</v>
      </c>
      <c r="I51" s="73" t="s">
        <v>8562</v>
      </c>
    </row>
    <row r="52" customFormat="false" ht="23.85" hidden="false" customHeight="false" outlineLevel="0" collapsed="false">
      <c r="A52" s="75" t="s">
        <v>8563</v>
      </c>
      <c r="B52" s="75" t="s">
        <v>8564</v>
      </c>
      <c r="C52" s="75" t="s">
        <v>8565</v>
      </c>
      <c r="D52" s="75" t="s">
        <v>8566</v>
      </c>
      <c r="E52" s="75" t="s">
        <v>8567</v>
      </c>
      <c r="F52" s="75" t="s">
        <v>8568</v>
      </c>
      <c r="G52" s="75" t="s">
        <v>8569</v>
      </c>
      <c r="H52" s="75" t="s">
        <v>8570</v>
      </c>
      <c r="I52" s="75" t="s">
        <v>8571</v>
      </c>
    </row>
    <row r="53" customFormat="false" ht="23.85" hidden="false" customHeight="false" outlineLevel="0" collapsed="false">
      <c r="A53" s="73" t="s">
        <v>8572</v>
      </c>
      <c r="B53" s="73" t="s">
        <v>8573</v>
      </c>
      <c r="C53" s="73" t="s">
        <v>8574</v>
      </c>
      <c r="D53" s="73" t="s">
        <v>8575</v>
      </c>
      <c r="E53" s="73" t="s">
        <v>8576</v>
      </c>
      <c r="F53" s="73" t="s">
        <v>8577</v>
      </c>
      <c r="G53" s="73" t="s">
        <v>8578</v>
      </c>
      <c r="H53" s="73" t="s">
        <v>8579</v>
      </c>
      <c r="I53" s="73" t="s">
        <v>8580</v>
      </c>
    </row>
    <row r="54" customFormat="false" ht="23.85" hidden="false" customHeight="false" outlineLevel="0" collapsed="false">
      <c r="A54" s="75" t="s">
        <v>7775</v>
      </c>
      <c r="B54" s="75" t="s">
        <v>8564</v>
      </c>
      <c r="C54" s="75" t="s">
        <v>8581</v>
      </c>
      <c r="D54" s="75" t="s">
        <v>8582</v>
      </c>
      <c r="E54" s="75" t="s">
        <v>8583</v>
      </c>
      <c r="F54" s="75" t="s">
        <v>8584</v>
      </c>
      <c r="G54" s="75" t="s">
        <v>8585</v>
      </c>
      <c r="H54" s="75" t="s">
        <v>8586</v>
      </c>
      <c r="I54" s="75" t="s">
        <v>8587</v>
      </c>
    </row>
    <row r="55" customFormat="false" ht="23.85" hidden="false" customHeight="false" outlineLevel="0" collapsed="false">
      <c r="A55" s="73" t="s">
        <v>8588</v>
      </c>
      <c r="B55" s="73" t="s">
        <v>8589</v>
      </c>
      <c r="C55" s="73" t="s">
        <v>8590</v>
      </c>
      <c r="D55" s="73" t="s">
        <v>8591</v>
      </c>
      <c r="E55" s="73" t="s">
        <v>8592</v>
      </c>
      <c r="F55" s="73" t="s">
        <v>8593</v>
      </c>
      <c r="G55" s="73" t="s">
        <v>8594</v>
      </c>
      <c r="H55" s="73" t="s">
        <v>8595</v>
      </c>
      <c r="I55" s="73" t="s">
        <v>8596</v>
      </c>
    </row>
    <row r="56" customFormat="false" ht="23.85" hidden="false" customHeight="false" outlineLevel="0" collapsed="false">
      <c r="A56" s="75" t="s">
        <v>8597</v>
      </c>
      <c r="B56" s="75" t="s">
        <v>8598</v>
      </c>
      <c r="C56" s="75" t="s">
        <v>8599</v>
      </c>
      <c r="D56" s="75" t="s">
        <v>8600</v>
      </c>
      <c r="E56" s="75" t="s">
        <v>8601</v>
      </c>
      <c r="F56" s="75" t="s">
        <v>8602</v>
      </c>
      <c r="G56" s="75" t="s">
        <v>8603</v>
      </c>
      <c r="H56" s="75" t="s">
        <v>8604</v>
      </c>
      <c r="I56" s="75" t="s">
        <v>8605</v>
      </c>
    </row>
    <row r="57" customFormat="false" ht="23.85" hidden="false" customHeight="false" outlineLevel="0" collapsed="false">
      <c r="A57" s="73" t="s">
        <v>8606</v>
      </c>
      <c r="B57" s="73" t="s">
        <v>8607</v>
      </c>
      <c r="C57" s="73" t="s">
        <v>451</v>
      </c>
      <c r="D57" s="73" t="s">
        <v>8608</v>
      </c>
      <c r="E57" s="73" t="s">
        <v>451</v>
      </c>
      <c r="F57" s="73" t="s">
        <v>451</v>
      </c>
      <c r="G57" s="73" t="s">
        <v>451</v>
      </c>
      <c r="H57" s="73" t="s">
        <v>8609</v>
      </c>
      <c r="I57" s="73" t="s">
        <v>8610</v>
      </c>
    </row>
    <row r="59" customFormat="false" ht="15" hidden="false" customHeight="false" outlineLevel="0" collapsed="false">
      <c r="A59" s="72" t="s">
        <v>8611</v>
      </c>
    </row>
    <row r="60" customFormat="false" ht="15" hidden="false" customHeight="false" outlineLevel="0" collapsed="false">
      <c r="A60" s="3" t="s">
        <v>6909</v>
      </c>
      <c r="B60" s="3" t="s">
        <v>488</v>
      </c>
      <c r="C60" s="3" t="s">
        <v>7734</v>
      </c>
      <c r="D60" s="3" t="s">
        <v>1754</v>
      </c>
      <c r="E60" s="3" t="s">
        <v>8612</v>
      </c>
      <c r="F60" s="3" t="s">
        <v>3252</v>
      </c>
      <c r="G60" s="3" t="s">
        <v>1728</v>
      </c>
      <c r="H60" s="3" t="s">
        <v>291</v>
      </c>
      <c r="I60" s="3" t="s">
        <v>440</v>
      </c>
    </row>
    <row r="61" customFormat="false" ht="35.05" hidden="false" customHeight="false" outlineLevel="0" collapsed="false">
      <c r="A61" s="73" t="s">
        <v>8613</v>
      </c>
      <c r="B61" s="73" t="s">
        <v>539</v>
      </c>
      <c r="C61" s="73" t="s">
        <v>7746</v>
      </c>
      <c r="D61" s="73" t="s">
        <v>8614</v>
      </c>
      <c r="E61" s="73" t="s">
        <v>8615</v>
      </c>
      <c r="F61" s="73" t="s">
        <v>8616</v>
      </c>
      <c r="G61" s="73" t="s">
        <v>8617</v>
      </c>
      <c r="H61" s="73" t="s">
        <v>8618</v>
      </c>
      <c r="I61" s="73" t="s">
        <v>8619</v>
      </c>
    </row>
    <row r="62" customFormat="false" ht="23.85" hidden="false" customHeight="false" outlineLevel="0" collapsed="false">
      <c r="A62" s="75" t="s">
        <v>8620</v>
      </c>
      <c r="B62" s="75" t="s">
        <v>539</v>
      </c>
      <c r="C62" s="75" t="s">
        <v>7752</v>
      </c>
      <c r="D62" s="75" t="s">
        <v>8621</v>
      </c>
      <c r="E62" s="75" t="s">
        <v>8622</v>
      </c>
      <c r="F62" s="75" t="s">
        <v>8623</v>
      </c>
      <c r="G62" s="75" t="s">
        <v>8624</v>
      </c>
      <c r="H62" s="75" t="s">
        <v>8625</v>
      </c>
      <c r="I62" s="75" t="s">
        <v>8626</v>
      </c>
    </row>
    <row r="63" customFormat="false" ht="23.85" hidden="false" customHeight="false" outlineLevel="0" collapsed="false">
      <c r="A63" s="73" t="s">
        <v>8627</v>
      </c>
      <c r="B63" s="73" t="s">
        <v>8564</v>
      </c>
      <c r="C63" s="73" t="s">
        <v>7765</v>
      </c>
      <c r="D63" s="73" t="s">
        <v>8628</v>
      </c>
      <c r="E63" s="73" t="s">
        <v>8629</v>
      </c>
      <c r="F63" s="73" t="s">
        <v>8630</v>
      </c>
      <c r="G63" s="73" t="s">
        <v>8631</v>
      </c>
      <c r="H63" s="73" t="s">
        <v>8632</v>
      </c>
      <c r="I63" s="73" t="s">
        <v>8633</v>
      </c>
    </row>
    <row r="64" customFormat="false" ht="23.85" hidden="false" customHeight="false" outlineLevel="0" collapsed="false">
      <c r="A64" s="75" t="s">
        <v>8634</v>
      </c>
      <c r="B64" s="75" t="s">
        <v>8635</v>
      </c>
      <c r="C64" s="75" t="s">
        <v>7746</v>
      </c>
      <c r="D64" s="75" t="s">
        <v>8636</v>
      </c>
      <c r="E64" s="75" t="s">
        <v>8637</v>
      </c>
      <c r="F64" s="75" t="s">
        <v>8638</v>
      </c>
      <c r="G64" s="75" t="s">
        <v>8639</v>
      </c>
      <c r="H64" s="75" t="s">
        <v>8640</v>
      </c>
      <c r="I64" s="75" t="s">
        <v>8641</v>
      </c>
    </row>
    <row r="65" customFormat="false" ht="23.85" hidden="false" customHeight="false" outlineLevel="0" collapsed="false">
      <c r="A65" s="73" t="s">
        <v>8642</v>
      </c>
      <c r="B65" s="73" t="s">
        <v>8564</v>
      </c>
      <c r="C65" s="73" t="s">
        <v>8643</v>
      </c>
      <c r="D65" s="73" t="s">
        <v>8644</v>
      </c>
      <c r="E65" s="73" t="s">
        <v>8645</v>
      </c>
      <c r="F65" s="73" t="s">
        <v>8646</v>
      </c>
      <c r="G65" s="73" t="s">
        <v>8647</v>
      </c>
      <c r="H65" s="73" t="s">
        <v>8648</v>
      </c>
      <c r="I65" s="73" t="s">
        <v>8649</v>
      </c>
    </row>
    <row r="66" customFormat="false" ht="23.85" hidden="false" customHeight="false" outlineLevel="0" collapsed="false">
      <c r="A66" s="75" t="s">
        <v>8650</v>
      </c>
      <c r="B66" s="75" t="s">
        <v>8573</v>
      </c>
      <c r="C66" s="75" t="s">
        <v>7746</v>
      </c>
      <c r="D66" s="75" t="s">
        <v>8651</v>
      </c>
      <c r="E66" s="75" t="s">
        <v>8652</v>
      </c>
      <c r="F66" s="75" t="s">
        <v>8653</v>
      </c>
      <c r="G66" s="75" t="s">
        <v>8654</v>
      </c>
      <c r="H66" s="75" t="s">
        <v>8655</v>
      </c>
      <c r="I66" s="75" t="s">
        <v>8656</v>
      </c>
    </row>
    <row r="67" customFormat="false" ht="23.85" hidden="false" customHeight="false" outlineLevel="0" collapsed="false">
      <c r="A67" s="73" t="s">
        <v>8657</v>
      </c>
      <c r="B67" s="73" t="s">
        <v>8564</v>
      </c>
      <c r="C67" s="73" t="s">
        <v>7752</v>
      </c>
      <c r="D67" s="73" t="s">
        <v>8658</v>
      </c>
      <c r="E67" s="73" t="s">
        <v>8659</v>
      </c>
      <c r="F67" s="73" t="s">
        <v>8660</v>
      </c>
      <c r="G67" s="73" t="s">
        <v>8661</v>
      </c>
      <c r="H67" s="73" t="s">
        <v>8662</v>
      </c>
      <c r="I67" s="73" t="s">
        <v>8663</v>
      </c>
    </row>
    <row r="68" customFormat="false" ht="23.85" hidden="false" customHeight="false" outlineLevel="0" collapsed="false">
      <c r="A68" s="75" t="s">
        <v>8664</v>
      </c>
      <c r="B68" s="75" t="s">
        <v>8665</v>
      </c>
      <c r="C68" s="75" t="s">
        <v>8666</v>
      </c>
      <c r="D68" s="75" t="s">
        <v>8667</v>
      </c>
      <c r="E68" s="75" t="s">
        <v>451</v>
      </c>
      <c r="F68" s="75" t="s">
        <v>8668</v>
      </c>
      <c r="G68" s="75" t="s">
        <v>8669</v>
      </c>
      <c r="H68" s="75" t="s">
        <v>8670</v>
      </c>
      <c r="I68" s="75" t="s">
        <v>8671</v>
      </c>
    </row>
    <row r="70" customFormat="false" ht="15" hidden="false" customHeight="false" outlineLevel="0" collapsed="false">
      <c r="A70" s="72" t="s">
        <v>8672</v>
      </c>
    </row>
    <row r="71" customFormat="false" ht="15" hidden="false" customHeight="false" outlineLevel="0" collapsed="false">
      <c r="A71" s="3" t="s">
        <v>6909</v>
      </c>
      <c r="B71" s="3" t="s">
        <v>488</v>
      </c>
      <c r="C71" s="3" t="s">
        <v>2459</v>
      </c>
      <c r="D71" s="3" t="s">
        <v>1754</v>
      </c>
      <c r="E71" s="3" t="s">
        <v>8673</v>
      </c>
      <c r="F71" s="3" t="s">
        <v>1728</v>
      </c>
      <c r="G71" s="3" t="s">
        <v>291</v>
      </c>
      <c r="H71" s="3" t="s">
        <v>440</v>
      </c>
    </row>
    <row r="72" customFormat="false" ht="23.85" hidden="false" customHeight="false" outlineLevel="0" collapsed="false">
      <c r="A72" s="73" t="s">
        <v>8674</v>
      </c>
      <c r="B72" s="73" t="s">
        <v>539</v>
      </c>
      <c r="C72" s="73" t="s">
        <v>8675</v>
      </c>
      <c r="D72" s="73" t="s">
        <v>8676</v>
      </c>
      <c r="E72" s="73" t="s">
        <v>8677</v>
      </c>
      <c r="F72" s="73" t="s">
        <v>8678</v>
      </c>
      <c r="G72" s="73" t="s">
        <v>8679</v>
      </c>
      <c r="H72" s="73" t="s">
        <v>8680</v>
      </c>
    </row>
    <row r="73" customFormat="false" ht="23.85" hidden="false" customHeight="false" outlineLevel="0" collapsed="false">
      <c r="A73" s="75" t="s">
        <v>2791</v>
      </c>
      <c r="B73" s="75" t="s">
        <v>539</v>
      </c>
      <c r="C73" s="75" t="s">
        <v>8681</v>
      </c>
      <c r="D73" s="75" t="s">
        <v>8682</v>
      </c>
      <c r="E73" s="75" t="s">
        <v>8683</v>
      </c>
      <c r="F73" s="75" t="s">
        <v>8684</v>
      </c>
      <c r="G73" s="75" t="s">
        <v>8685</v>
      </c>
      <c r="H73" s="75" t="s">
        <v>8686</v>
      </c>
    </row>
    <row r="74" customFormat="false" ht="23.85" hidden="false" customHeight="false" outlineLevel="0" collapsed="false">
      <c r="A74" s="73" t="s">
        <v>8687</v>
      </c>
      <c r="B74" s="73" t="s">
        <v>8688</v>
      </c>
      <c r="C74" s="73" t="s">
        <v>8689</v>
      </c>
      <c r="D74" s="73" t="s">
        <v>8690</v>
      </c>
      <c r="E74" s="73" t="s">
        <v>451</v>
      </c>
      <c r="F74" s="73" t="s">
        <v>8691</v>
      </c>
      <c r="G74" s="73" t="s">
        <v>8692</v>
      </c>
      <c r="H74" s="73" t="s">
        <v>8693</v>
      </c>
    </row>
    <row r="75" customFormat="false" ht="23.85" hidden="false" customHeight="false" outlineLevel="0" collapsed="false">
      <c r="A75" s="75" t="s">
        <v>8694</v>
      </c>
      <c r="B75" s="75" t="s">
        <v>8695</v>
      </c>
      <c r="C75" s="75" t="s">
        <v>8696</v>
      </c>
      <c r="D75" s="75" t="s">
        <v>8697</v>
      </c>
      <c r="E75" s="75" t="s">
        <v>451</v>
      </c>
      <c r="F75" s="75" t="s">
        <v>451</v>
      </c>
      <c r="G75" s="75" t="s">
        <v>8698</v>
      </c>
      <c r="H75" s="75" t="s">
        <v>8699</v>
      </c>
    </row>
    <row r="76" customFormat="false" ht="23.85" hidden="false" customHeight="false" outlineLevel="0" collapsed="false">
      <c r="A76" s="73" t="s">
        <v>8700</v>
      </c>
      <c r="B76" s="73" t="s">
        <v>8589</v>
      </c>
      <c r="C76" s="73" t="s">
        <v>8701</v>
      </c>
      <c r="D76" s="73" t="s">
        <v>8702</v>
      </c>
      <c r="E76" s="73" t="s">
        <v>8703</v>
      </c>
      <c r="F76" s="73" t="s">
        <v>8704</v>
      </c>
      <c r="G76" s="73" t="s">
        <v>8705</v>
      </c>
      <c r="H76" s="73" t="s">
        <v>8706</v>
      </c>
    </row>
    <row r="77" customFormat="false" ht="23.85" hidden="false" customHeight="false" outlineLevel="0" collapsed="false">
      <c r="A77" s="75" t="s">
        <v>8707</v>
      </c>
      <c r="B77" s="75" t="s">
        <v>487</v>
      </c>
      <c r="C77" s="75" t="s">
        <v>8708</v>
      </c>
      <c r="D77" s="75" t="s">
        <v>8709</v>
      </c>
      <c r="E77" s="75" t="s">
        <v>451</v>
      </c>
      <c r="F77" s="75" t="s">
        <v>8710</v>
      </c>
      <c r="G77" s="75" t="s">
        <v>8711</v>
      </c>
      <c r="H77" s="75" t="s">
        <v>8712</v>
      </c>
    </row>
    <row r="79" customFormat="false" ht="15" hidden="false" customHeight="false" outlineLevel="0" collapsed="false">
      <c r="A79" s="72" t="s">
        <v>8713</v>
      </c>
    </row>
    <row r="80" customFormat="false" ht="15" hidden="false" customHeight="false" outlineLevel="0" collapsed="false">
      <c r="A80" s="3" t="s">
        <v>8714</v>
      </c>
      <c r="B80" s="3" t="s">
        <v>6005</v>
      </c>
      <c r="C80" s="3" t="s">
        <v>6033</v>
      </c>
      <c r="D80" s="3" t="s">
        <v>6054</v>
      </c>
      <c r="E80" s="3" t="s">
        <v>6074</v>
      </c>
      <c r="F80" s="3" t="s">
        <v>6091</v>
      </c>
      <c r="G80" s="3" t="s">
        <v>6106</v>
      </c>
      <c r="H80" s="3" t="s">
        <v>8715</v>
      </c>
    </row>
    <row r="81" customFormat="false" ht="15" hidden="false" customHeight="false" outlineLevel="0" collapsed="false">
      <c r="A81" s="73" t="s">
        <v>8716</v>
      </c>
      <c r="B81" s="73" t="s">
        <v>805</v>
      </c>
      <c r="C81" s="73" t="s">
        <v>806</v>
      </c>
      <c r="D81" s="73" t="s">
        <v>807</v>
      </c>
      <c r="E81" s="73" t="s">
        <v>808</v>
      </c>
      <c r="F81" s="73" t="s">
        <v>809</v>
      </c>
      <c r="G81" s="73" t="s">
        <v>810</v>
      </c>
      <c r="H81" s="73" t="s">
        <v>810</v>
      </c>
    </row>
    <row r="82" customFormat="false" ht="15" hidden="false" customHeight="false" outlineLevel="0" collapsed="false">
      <c r="A82" s="75" t="s">
        <v>8717</v>
      </c>
      <c r="B82" s="75" t="s">
        <v>8718</v>
      </c>
      <c r="C82" s="75" t="s">
        <v>870</v>
      </c>
      <c r="D82" s="75" t="s">
        <v>8719</v>
      </c>
      <c r="E82" s="75" t="s">
        <v>8720</v>
      </c>
      <c r="F82" s="75" t="s">
        <v>8719</v>
      </c>
      <c r="G82" s="75" t="s">
        <v>848</v>
      </c>
      <c r="H82" s="75" t="s">
        <v>8721</v>
      </c>
    </row>
    <row r="83" customFormat="false" ht="15" hidden="false" customHeight="false" outlineLevel="0" collapsed="false">
      <c r="A83" s="73" t="s">
        <v>8722</v>
      </c>
      <c r="B83" s="73" t="s">
        <v>813</v>
      </c>
      <c r="C83" s="73" t="s">
        <v>814</v>
      </c>
      <c r="D83" s="73" t="s">
        <v>815</v>
      </c>
      <c r="E83" s="73" t="s">
        <v>815</v>
      </c>
      <c r="F83" s="73" t="s">
        <v>816</v>
      </c>
      <c r="G83" s="73" t="s">
        <v>813</v>
      </c>
      <c r="H83" s="73" t="s">
        <v>8723</v>
      </c>
    </row>
    <row r="84" customFormat="false" ht="15" hidden="false" customHeight="false" outlineLevel="0" collapsed="false">
      <c r="A84" s="75" t="s">
        <v>8724</v>
      </c>
      <c r="B84" s="75" t="s">
        <v>820</v>
      </c>
      <c r="C84" s="75" t="s">
        <v>821</v>
      </c>
      <c r="D84" s="75" t="s">
        <v>822</v>
      </c>
      <c r="E84" s="75" t="s">
        <v>823</v>
      </c>
      <c r="F84" s="75" t="s">
        <v>824</v>
      </c>
      <c r="G84" s="75" t="s">
        <v>825</v>
      </c>
      <c r="H84" s="75" t="s">
        <v>825</v>
      </c>
    </row>
    <row r="85" customFormat="false" ht="15" hidden="false" customHeight="false" outlineLevel="0" collapsed="false">
      <c r="A85" s="73" t="s">
        <v>8725</v>
      </c>
      <c r="B85" s="73" t="s">
        <v>822</v>
      </c>
      <c r="C85" s="73" t="s">
        <v>823</v>
      </c>
      <c r="D85" s="73" t="s">
        <v>807</v>
      </c>
      <c r="E85" s="73" t="s">
        <v>827</v>
      </c>
      <c r="F85" s="73" t="s">
        <v>828</v>
      </c>
      <c r="G85" s="73" t="s">
        <v>829</v>
      </c>
      <c r="H85" s="73" t="s">
        <v>829</v>
      </c>
    </row>
    <row r="86" customFormat="false" ht="15" hidden="false" customHeight="false" outlineLevel="0" collapsed="false">
      <c r="A86" s="75" t="s">
        <v>8726</v>
      </c>
      <c r="B86" s="75" t="s">
        <v>832</v>
      </c>
      <c r="C86" s="75" t="s">
        <v>833</v>
      </c>
      <c r="D86" s="75" t="s">
        <v>831</v>
      </c>
      <c r="E86" s="75" t="s">
        <v>834</v>
      </c>
      <c r="F86" s="75" t="s">
        <v>834</v>
      </c>
      <c r="G86" s="75" t="s">
        <v>620</v>
      </c>
      <c r="H86" s="75" t="s">
        <v>8727</v>
      </c>
    </row>
    <row r="87" customFormat="false" ht="15" hidden="false" customHeight="false" outlineLevel="0" collapsed="false">
      <c r="A87" s="73" t="s">
        <v>8728</v>
      </c>
      <c r="B87" s="73" t="s">
        <v>794</v>
      </c>
      <c r="C87" s="73" t="s">
        <v>838</v>
      </c>
      <c r="D87" s="73" t="s">
        <v>732</v>
      </c>
      <c r="E87" s="73" t="s">
        <v>839</v>
      </c>
      <c r="F87" s="73" t="s">
        <v>796</v>
      </c>
      <c r="G87" s="73" t="s">
        <v>820</v>
      </c>
      <c r="H87" s="73" t="s">
        <v>820</v>
      </c>
    </row>
    <row r="88" customFormat="false" ht="15" hidden="false" customHeight="false" outlineLevel="0" collapsed="false">
      <c r="A88" s="75" t="s">
        <v>8729</v>
      </c>
      <c r="B88" s="75" t="s">
        <v>806</v>
      </c>
      <c r="C88" s="75" t="s">
        <v>808</v>
      </c>
      <c r="D88" s="75" t="s">
        <v>841</v>
      </c>
      <c r="E88" s="75" t="s">
        <v>842</v>
      </c>
      <c r="F88" s="75" t="s">
        <v>843</v>
      </c>
      <c r="G88" s="75" t="s">
        <v>810</v>
      </c>
      <c r="H88" s="75" t="s">
        <v>8730</v>
      </c>
    </row>
    <row r="89" customFormat="false" ht="15" hidden="false" customHeight="false" outlineLevel="0" collapsed="false">
      <c r="A89" s="73" t="s">
        <v>8731</v>
      </c>
      <c r="B89" s="73" t="s">
        <v>846</v>
      </c>
      <c r="C89" s="73" t="s">
        <v>820</v>
      </c>
      <c r="D89" s="73" t="s">
        <v>847</v>
      </c>
      <c r="E89" s="73" t="s">
        <v>823</v>
      </c>
      <c r="F89" s="73" t="s">
        <v>824</v>
      </c>
      <c r="G89" s="73" t="s">
        <v>825</v>
      </c>
      <c r="H89" s="73" t="s">
        <v>825</v>
      </c>
    </row>
    <row r="90" customFormat="false" ht="15" hidden="false" customHeight="false" outlineLevel="0" collapsed="false">
      <c r="A90" s="75" t="s">
        <v>8732</v>
      </c>
      <c r="B90" s="75" t="s">
        <v>848</v>
      </c>
      <c r="C90" s="75" t="s">
        <v>849</v>
      </c>
      <c r="D90" s="75" t="s">
        <v>850</v>
      </c>
      <c r="E90" s="75" t="s">
        <v>851</v>
      </c>
      <c r="F90" s="75" t="s">
        <v>850</v>
      </c>
      <c r="G90" s="75" t="s">
        <v>852</v>
      </c>
      <c r="H90" s="75" t="s">
        <v>8733</v>
      </c>
    </row>
    <row r="91" customFormat="false" ht="15" hidden="false" customHeight="false" outlineLevel="0" collapsed="false">
      <c r="A91" s="73" t="s">
        <v>8734</v>
      </c>
      <c r="B91" s="73" t="s">
        <v>785</v>
      </c>
      <c r="C91" s="73" t="s">
        <v>732</v>
      </c>
      <c r="D91" s="73" t="s">
        <v>796</v>
      </c>
      <c r="E91" s="73" t="s">
        <v>820</v>
      </c>
      <c r="F91" s="73" t="s">
        <v>804</v>
      </c>
      <c r="G91" s="73" t="s">
        <v>805</v>
      </c>
      <c r="H91" s="73" t="s">
        <v>805</v>
      </c>
    </row>
    <row r="92" customFormat="false" ht="15" hidden="false" customHeight="false" outlineLevel="0" collapsed="false">
      <c r="A92" s="75" t="s">
        <v>8735</v>
      </c>
      <c r="B92" s="75" t="s">
        <v>752</v>
      </c>
      <c r="C92" s="75" t="s">
        <v>750</v>
      </c>
      <c r="D92" s="75" t="s">
        <v>742</v>
      </c>
      <c r="E92" s="75" t="s">
        <v>857</v>
      </c>
      <c r="F92" s="75" t="s">
        <v>742</v>
      </c>
      <c r="G92" s="75" t="s">
        <v>769</v>
      </c>
      <c r="H92" s="75" t="s">
        <v>786</v>
      </c>
    </row>
    <row r="93" customFormat="false" ht="15" hidden="false" customHeight="false" outlineLevel="0" collapsed="false">
      <c r="A93" s="73" t="s">
        <v>8736</v>
      </c>
      <c r="B93" s="73" t="s">
        <v>8737</v>
      </c>
      <c r="C93" s="73" t="s">
        <v>623</v>
      </c>
      <c r="D93" s="73" t="s">
        <v>8738</v>
      </c>
      <c r="E93" s="73" t="s">
        <v>8739</v>
      </c>
      <c r="F93" s="73" t="s">
        <v>8738</v>
      </c>
      <c r="G93" s="73" t="s">
        <v>623</v>
      </c>
      <c r="H93" s="73" t="s">
        <v>8740</v>
      </c>
    </row>
    <row r="94" customFormat="false" ht="15" hidden="false" customHeight="false" outlineLevel="0" collapsed="false">
      <c r="A94" s="75" t="s">
        <v>8741</v>
      </c>
      <c r="B94" s="75" t="s">
        <v>810</v>
      </c>
      <c r="C94" s="75" t="s">
        <v>8742</v>
      </c>
      <c r="D94" s="75" t="s">
        <v>829</v>
      </c>
      <c r="E94" s="75" t="s">
        <v>8743</v>
      </c>
      <c r="F94" s="75" t="s">
        <v>809</v>
      </c>
      <c r="G94" s="75" t="s">
        <v>8742</v>
      </c>
      <c r="H94" s="75" t="s">
        <v>8744</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0"/>
    <col collapsed="false" customWidth="true" hidden="false" outlineLevel="0" max="5" min="4" style="0" width="20"/>
    <col collapsed="false" customWidth="true" hidden="false" outlineLevel="0" max="7" min="6" style="0" width="15"/>
    <col collapsed="false" customWidth="true" hidden="false" outlineLevel="0" max="8" min="8" style="0" width="20"/>
    <col collapsed="false" customWidth="true" hidden="false" outlineLevel="0" max="9" min="9" style="0" width="35"/>
    <col collapsed="false" customWidth="true" hidden="false" outlineLevel="0" max="10" min="10" style="0" width="25"/>
  </cols>
  <sheetData>
    <row r="1" customFormat="false" ht="17.35" hidden="false" customHeight="false" outlineLevel="0" collapsed="false">
      <c r="A1" s="104" t="s">
        <v>8745</v>
      </c>
      <c r="B1" s="104"/>
      <c r="C1" s="104"/>
      <c r="D1" s="104"/>
      <c r="E1" s="104"/>
      <c r="F1" s="104"/>
      <c r="G1" s="104"/>
      <c r="H1" s="104"/>
      <c r="I1" s="104"/>
      <c r="J1" s="104"/>
    </row>
    <row r="3" customFormat="false" ht="15" hidden="false" customHeight="false" outlineLevel="0" collapsed="false">
      <c r="A3" s="72" t="s">
        <v>8746</v>
      </c>
    </row>
    <row r="4" customFormat="false" ht="26.85" hidden="false" customHeight="false" outlineLevel="0" collapsed="false">
      <c r="A4" s="3" t="s">
        <v>8747</v>
      </c>
      <c r="B4" s="3" t="s">
        <v>437</v>
      </c>
      <c r="C4" s="3" t="s">
        <v>8748</v>
      </c>
      <c r="D4" s="3" t="s">
        <v>8749</v>
      </c>
      <c r="E4" s="3" t="s">
        <v>8750</v>
      </c>
      <c r="F4" s="3" t="s">
        <v>8751</v>
      </c>
      <c r="G4" s="3" t="s">
        <v>8752</v>
      </c>
      <c r="H4" s="3" t="s">
        <v>440</v>
      </c>
    </row>
    <row r="5" customFormat="false" ht="23.85" hidden="false" customHeight="false" outlineLevel="0" collapsed="false">
      <c r="A5" s="73" t="s">
        <v>8753</v>
      </c>
      <c r="B5" s="73" t="s">
        <v>8754</v>
      </c>
      <c r="C5" s="73" t="s">
        <v>8755</v>
      </c>
      <c r="D5" s="73" t="s">
        <v>8756</v>
      </c>
      <c r="E5" s="73" t="s">
        <v>8757</v>
      </c>
      <c r="F5" s="73" t="s">
        <v>8758</v>
      </c>
      <c r="G5" s="73" t="s">
        <v>8759</v>
      </c>
      <c r="H5" s="73" t="s">
        <v>8760</v>
      </c>
    </row>
    <row r="6" customFormat="false" ht="35.05" hidden="false" customHeight="false" outlineLevel="0" collapsed="false">
      <c r="A6" s="75" t="s">
        <v>715</v>
      </c>
      <c r="B6" s="75" t="s">
        <v>8761</v>
      </c>
      <c r="C6" s="75" t="s">
        <v>8762</v>
      </c>
      <c r="D6" s="75" t="s">
        <v>8763</v>
      </c>
      <c r="E6" s="75" t="s">
        <v>8764</v>
      </c>
      <c r="F6" s="75" t="s">
        <v>8758</v>
      </c>
      <c r="G6" s="75" t="s">
        <v>8765</v>
      </c>
      <c r="H6" s="75" t="s">
        <v>8766</v>
      </c>
    </row>
    <row r="7" customFormat="false" ht="35.05" hidden="false" customHeight="false" outlineLevel="0" collapsed="false">
      <c r="A7" s="73" t="s">
        <v>8767</v>
      </c>
      <c r="B7" s="73" t="s">
        <v>8768</v>
      </c>
      <c r="C7" s="73" t="s">
        <v>8769</v>
      </c>
      <c r="D7" s="73" t="s">
        <v>8770</v>
      </c>
      <c r="E7" s="73" t="s">
        <v>8771</v>
      </c>
      <c r="F7" s="73" t="s">
        <v>8772</v>
      </c>
      <c r="G7" s="73" t="s">
        <v>8773</v>
      </c>
      <c r="H7" s="73" t="s">
        <v>8774</v>
      </c>
    </row>
    <row r="8" customFormat="false" ht="35.05" hidden="false" customHeight="false" outlineLevel="0" collapsed="false">
      <c r="A8" s="75" t="s">
        <v>1847</v>
      </c>
      <c r="B8" s="75" t="s">
        <v>8775</v>
      </c>
      <c r="C8" s="75" t="s">
        <v>8776</v>
      </c>
      <c r="D8" s="75" t="s">
        <v>8777</v>
      </c>
      <c r="E8" s="75" t="s">
        <v>8778</v>
      </c>
      <c r="F8" s="75" t="s">
        <v>8779</v>
      </c>
      <c r="G8" s="75" t="s">
        <v>8780</v>
      </c>
      <c r="H8" s="75" t="s">
        <v>8781</v>
      </c>
    </row>
    <row r="9" customFormat="false" ht="35.05" hidden="false" customHeight="false" outlineLevel="0" collapsed="false">
      <c r="A9" s="73" t="s">
        <v>2451</v>
      </c>
      <c r="B9" s="73" t="s">
        <v>8782</v>
      </c>
      <c r="C9" s="73" t="s">
        <v>8783</v>
      </c>
      <c r="D9" s="73" t="s">
        <v>8784</v>
      </c>
      <c r="E9" s="73" t="s">
        <v>8785</v>
      </c>
      <c r="F9" s="73" t="s">
        <v>3643</v>
      </c>
      <c r="G9" s="73" t="s">
        <v>8786</v>
      </c>
      <c r="H9" s="73" t="s">
        <v>8787</v>
      </c>
    </row>
    <row r="10" customFormat="false" ht="23.85" hidden="false" customHeight="false" outlineLevel="0" collapsed="false">
      <c r="A10" s="75" t="s">
        <v>904</v>
      </c>
      <c r="B10" s="75" t="s">
        <v>8788</v>
      </c>
      <c r="C10" s="75" t="s">
        <v>8789</v>
      </c>
      <c r="D10" s="75" t="s">
        <v>8790</v>
      </c>
      <c r="E10" s="75" t="s">
        <v>8791</v>
      </c>
      <c r="F10" s="75" t="s">
        <v>3643</v>
      </c>
      <c r="G10" s="75" t="s">
        <v>8786</v>
      </c>
      <c r="H10" s="75" t="s">
        <v>8787</v>
      </c>
    </row>
    <row r="11" customFormat="false" ht="23.85" hidden="false" customHeight="false" outlineLevel="0" collapsed="false">
      <c r="A11" s="73" t="s">
        <v>453</v>
      </c>
      <c r="B11" s="73" t="s">
        <v>8792</v>
      </c>
      <c r="C11" s="73" t="s">
        <v>8793</v>
      </c>
      <c r="D11" s="73" t="s">
        <v>8794</v>
      </c>
      <c r="E11" s="73" t="s">
        <v>8795</v>
      </c>
      <c r="F11" s="73" t="s">
        <v>3643</v>
      </c>
      <c r="G11" s="73" t="s">
        <v>8786</v>
      </c>
      <c r="H11" s="73" t="s">
        <v>8796</v>
      </c>
    </row>
    <row r="12" customFormat="false" ht="35.05" hidden="false" customHeight="false" outlineLevel="0" collapsed="false">
      <c r="A12" s="75" t="s">
        <v>8797</v>
      </c>
      <c r="B12" s="75" t="s">
        <v>8798</v>
      </c>
      <c r="C12" s="75" t="s">
        <v>8799</v>
      </c>
      <c r="D12" s="75" t="s">
        <v>8800</v>
      </c>
      <c r="E12" s="75" t="s">
        <v>8801</v>
      </c>
      <c r="F12" s="75" t="s">
        <v>3643</v>
      </c>
      <c r="G12" s="75" t="s">
        <v>8802</v>
      </c>
      <c r="H12" s="75" t="s">
        <v>8803</v>
      </c>
    </row>
    <row r="13" customFormat="false" ht="23.85" hidden="false" customHeight="false" outlineLevel="0" collapsed="false">
      <c r="A13" s="73" t="s">
        <v>8804</v>
      </c>
      <c r="B13" s="73" t="s">
        <v>8805</v>
      </c>
      <c r="C13" s="73" t="s">
        <v>8806</v>
      </c>
      <c r="D13" s="73" t="s">
        <v>8807</v>
      </c>
      <c r="E13" s="73" t="s">
        <v>8808</v>
      </c>
      <c r="F13" s="73" t="s">
        <v>3643</v>
      </c>
      <c r="G13" s="73" t="s">
        <v>8809</v>
      </c>
      <c r="H13" s="73" t="s">
        <v>8810</v>
      </c>
    </row>
    <row r="14" customFormat="false" ht="23.85" hidden="false" customHeight="false" outlineLevel="0" collapsed="false">
      <c r="A14" s="75" t="s">
        <v>3692</v>
      </c>
      <c r="B14" s="75" t="s">
        <v>8811</v>
      </c>
      <c r="C14" s="75" t="s">
        <v>8812</v>
      </c>
      <c r="D14" s="75" t="s">
        <v>8813</v>
      </c>
      <c r="E14" s="75" t="s">
        <v>8814</v>
      </c>
      <c r="F14" s="75" t="s">
        <v>8815</v>
      </c>
      <c r="G14" s="75" t="s">
        <v>8802</v>
      </c>
      <c r="H14" s="75" t="s">
        <v>8816</v>
      </c>
    </row>
    <row r="16" customFormat="false" ht="15" hidden="false" customHeight="false" outlineLevel="0" collapsed="false">
      <c r="A16" s="72" t="s">
        <v>8817</v>
      </c>
    </row>
    <row r="17" customFormat="false" ht="15" hidden="false" customHeight="false" outlineLevel="0" collapsed="false">
      <c r="A17" s="3" t="s">
        <v>1752</v>
      </c>
      <c r="B17" s="3" t="s">
        <v>5658</v>
      </c>
      <c r="C17" s="3" t="s">
        <v>4973</v>
      </c>
      <c r="D17" s="3" t="s">
        <v>8818</v>
      </c>
      <c r="E17" s="3" t="s">
        <v>4974</v>
      </c>
      <c r="F17" s="3" t="s">
        <v>412</v>
      </c>
      <c r="G17" s="3" t="s">
        <v>5231</v>
      </c>
      <c r="H17" s="3" t="s">
        <v>8819</v>
      </c>
      <c r="I17" s="3" t="s">
        <v>8418</v>
      </c>
      <c r="J17" s="3" t="s">
        <v>8820</v>
      </c>
    </row>
    <row r="18" customFormat="false" ht="23.85" hidden="false" customHeight="false" outlineLevel="0" collapsed="false">
      <c r="A18" s="73" t="s">
        <v>490</v>
      </c>
      <c r="B18" s="73" t="s">
        <v>8821</v>
      </c>
      <c r="C18" s="73" t="s">
        <v>8822</v>
      </c>
      <c r="D18" s="73" t="s">
        <v>8823</v>
      </c>
      <c r="E18" s="73" t="s">
        <v>5094</v>
      </c>
      <c r="F18" s="73" t="s">
        <v>7105</v>
      </c>
      <c r="G18" s="73" t="s">
        <v>8824</v>
      </c>
      <c r="H18" s="73" t="s">
        <v>550</v>
      </c>
      <c r="I18" s="73" t="s">
        <v>8825</v>
      </c>
      <c r="J18" s="73" t="s">
        <v>8826</v>
      </c>
    </row>
    <row r="19" customFormat="false" ht="15" hidden="false" customHeight="false" outlineLevel="0" collapsed="false">
      <c r="A19" s="75" t="s">
        <v>496</v>
      </c>
      <c r="B19" s="75" t="s">
        <v>8821</v>
      </c>
      <c r="C19" s="75" t="s">
        <v>8827</v>
      </c>
      <c r="D19" s="75" t="s">
        <v>8828</v>
      </c>
      <c r="E19" s="75" t="s">
        <v>5094</v>
      </c>
      <c r="F19" s="75" t="s">
        <v>7105</v>
      </c>
      <c r="G19" s="75" t="s">
        <v>8824</v>
      </c>
      <c r="H19" s="75" t="s">
        <v>6486</v>
      </c>
      <c r="I19" s="75" t="s">
        <v>8829</v>
      </c>
      <c r="J19" s="75" t="s">
        <v>8830</v>
      </c>
    </row>
    <row r="20" customFormat="false" ht="23.85" hidden="false" customHeight="false" outlineLevel="0" collapsed="false">
      <c r="A20" s="73" t="s">
        <v>502</v>
      </c>
      <c r="B20" s="73" t="s">
        <v>8821</v>
      </c>
      <c r="C20" s="73" t="s">
        <v>8831</v>
      </c>
      <c r="D20" s="73" t="s">
        <v>8823</v>
      </c>
      <c r="E20" s="73" t="s">
        <v>498</v>
      </c>
      <c r="F20" s="73" t="s">
        <v>7105</v>
      </c>
      <c r="G20" s="73" t="s">
        <v>8824</v>
      </c>
      <c r="H20" s="73" t="s">
        <v>6487</v>
      </c>
      <c r="I20" s="73" t="s">
        <v>8832</v>
      </c>
      <c r="J20" s="73"/>
    </row>
    <row r="21" customFormat="false" ht="23.85" hidden="false" customHeight="false" outlineLevel="0" collapsed="false">
      <c r="A21" s="75" t="s">
        <v>507</v>
      </c>
      <c r="B21" s="75" t="s">
        <v>8821</v>
      </c>
      <c r="C21" s="75" t="s">
        <v>8833</v>
      </c>
      <c r="D21" s="75" t="s">
        <v>8834</v>
      </c>
      <c r="E21" s="75" t="s">
        <v>5094</v>
      </c>
      <c r="F21" s="75" t="s">
        <v>7105</v>
      </c>
      <c r="G21" s="75" t="s">
        <v>8824</v>
      </c>
      <c r="H21" s="75" t="s">
        <v>6487</v>
      </c>
      <c r="I21" s="75" t="s">
        <v>8835</v>
      </c>
      <c r="J21" s="75" t="s">
        <v>8836</v>
      </c>
    </row>
    <row r="22" customFormat="false" ht="23.85" hidden="false" customHeight="false" outlineLevel="0" collapsed="false">
      <c r="A22" s="73" t="s">
        <v>511</v>
      </c>
      <c r="B22" s="73" t="s">
        <v>8821</v>
      </c>
      <c r="C22" s="73" t="s">
        <v>8837</v>
      </c>
      <c r="D22" s="73" t="s">
        <v>3820</v>
      </c>
      <c r="E22" s="73" t="s">
        <v>5094</v>
      </c>
      <c r="F22" s="73" t="s">
        <v>7105</v>
      </c>
      <c r="G22" s="73" t="s">
        <v>8838</v>
      </c>
      <c r="H22" s="73" t="s">
        <v>6487</v>
      </c>
      <c r="I22" s="73" t="s">
        <v>8839</v>
      </c>
      <c r="J22" s="73"/>
    </row>
    <row r="23" customFormat="false" ht="35.05" hidden="false" customHeight="false" outlineLevel="0" collapsed="false">
      <c r="A23" s="75" t="s">
        <v>516</v>
      </c>
      <c r="B23" s="75" t="s">
        <v>8840</v>
      </c>
      <c r="C23" s="75" t="s">
        <v>8841</v>
      </c>
      <c r="D23" s="75" t="s">
        <v>3820</v>
      </c>
      <c r="E23" s="75" t="s">
        <v>498</v>
      </c>
      <c r="F23" s="75" t="s">
        <v>7105</v>
      </c>
      <c r="G23" s="75" t="s">
        <v>8838</v>
      </c>
      <c r="H23" s="75" t="s">
        <v>6488</v>
      </c>
      <c r="I23" s="75" t="s">
        <v>8842</v>
      </c>
      <c r="J23" s="75"/>
    </row>
    <row r="24" customFormat="false" ht="23.85" hidden="false" customHeight="false" outlineLevel="0" collapsed="false">
      <c r="A24" s="73" t="s">
        <v>519</v>
      </c>
      <c r="B24" s="73" t="s">
        <v>8840</v>
      </c>
      <c r="C24" s="73" t="s">
        <v>8843</v>
      </c>
      <c r="D24" s="73" t="s">
        <v>8823</v>
      </c>
      <c r="E24" s="73" t="s">
        <v>498</v>
      </c>
      <c r="F24" s="73" t="s">
        <v>7105</v>
      </c>
      <c r="G24" s="73" t="s">
        <v>8838</v>
      </c>
      <c r="H24" s="73" t="s">
        <v>8844</v>
      </c>
      <c r="I24" s="73"/>
      <c r="J24" s="73"/>
    </row>
    <row r="25" customFormat="false" ht="23.85" hidden="false" customHeight="false" outlineLevel="0" collapsed="false">
      <c r="A25" s="75" t="s">
        <v>523</v>
      </c>
      <c r="B25" s="75" t="s">
        <v>8840</v>
      </c>
      <c r="C25" s="75" t="s">
        <v>8845</v>
      </c>
      <c r="D25" s="75" t="s">
        <v>8834</v>
      </c>
      <c r="E25" s="75" t="s">
        <v>498</v>
      </c>
      <c r="F25" s="75" t="s">
        <v>7105</v>
      </c>
      <c r="G25" s="75" t="s">
        <v>8838</v>
      </c>
      <c r="H25" s="75" t="s">
        <v>8844</v>
      </c>
      <c r="I25" s="75" t="s">
        <v>8846</v>
      </c>
      <c r="J25" s="75"/>
    </row>
    <row r="26" customFormat="false" ht="23.85" hidden="false" customHeight="false" outlineLevel="0" collapsed="false">
      <c r="A26" s="73" t="s">
        <v>530</v>
      </c>
      <c r="B26" s="73" t="s">
        <v>8840</v>
      </c>
      <c r="C26" s="73" t="s">
        <v>8847</v>
      </c>
      <c r="D26" s="73" t="s">
        <v>3820</v>
      </c>
      <c r="E26" s="73" t="s">
        <v>498</v>
      </c>
      <c r="F26" s="73" t="s">
        <v>7105</v>
      </c>
      <c r="G26" s="73" t="s">
        <v>8848</v>
      </c>
      <c r="H26" s="73" t="s">
        <v>8849</v>
      </c>
      <c r="I26" s="73" t="s">
        <v>8850</v>
      </c>
      <c r="J26" s="73"/>
    </row>
    <row r="27" customFormat="false" ht="35.05" hidden="false" customHeight="false" outlineLevel="0" collapsed="false">
      <c r="A27" s="75" t="s">
        <v>535</v>
      </c>
      <c r="B27" s="75" t="s">
        <v>3565</v>
      </c>
      <c r="C27" s="75" t="s">
        <v>8851</v>
      </c>
      <c r="D27" s="75" t="s">
        <v>3820</v>
      </c>
      <c r="E27" s="75" t="s">
        <v>498</v>
      </c>
      <c r="F27" s="75" t="s">
        <v>7105</v>
      </c>
      <c r="G27" s="75" t="s">
        <v>8848</v>
      </c>
      <c r="H27" s="75" t="s">
        <v>6488</v>
      </c>
      <c r="I27" s="75" t="s">
        <v>8852</v>
      </c>
      <c r="J27" s="75"/>
    </row>
    <row r="28" customFormat="false" ht="35.05" hidden="false" customHeight="false" outlineLevel="0" collapsed="false">
      <c r="A28" s="73" t="s">
        <v>542</v>
      </c>
      <c r="B28" s="73" t="s">
        <v>3565</v>
      </c>
      <c r="C28" s="73" t="s">
        <v>8853</v>
      </c>
      <c r="D28" s="73" t="s">
        <v>8834</v>
      </c>
      <c r="E28" s="73" t="s">
        <v>498</v>
      </c>
      <c r="F28" s="73" t="s">
        <v>7105</v>
      </c>
      <c r="G28" s="73" t="s">
        <v>8848</v>
      </c>
      <c r="H28" s="73" t="s">
        <v>8854</v>
      </c>
      <c r="I28" s="73" t="s">
        <v>8855</v>
      </c>
      <c r="J28" s="73"/>
    </row>
    <row r="29" customFormat="false" ht="23.85" hidden="false" customHeight="false" outlineLevel="0" collapsed="false">
      <c r="A29" s="75" t="s">
        <v>546</v>
      </c>
      <c r="B29" s="75" t="s">
        <v>3565</v>
      </c>
      <c r="C29" s="75" t="s">
        <v>8856</v>
      </c>
      <c r="D29" s="75" t="s">
        <v>3853</v>
      </c>
      <c r="E29" s="75" t="s">
        <v>498</v>
      </c>
      <c r="F29" s="75" t="s">
        <v>7105</v>
      </c>
      <c r="G29" s="75" t="s">
        <v>8857</v>
      </c>
      <c r="H29" s="75" t="s">
        <v>8858</v>
      </c>
      <c r="I29" s="75" t="s">
        <v>8859</v>
      </c>
      <c r="J29" s="75"/>
    </row>
    <row r="30" customFormat="false" ht="23.85" hidden="false" customHeight="false" outlineLevel="0" collapsed="false">
      <c r="A30" s="73" t="s">
        <v>551</v>
      </c>
      <c r="B30" s="73" t="s">
        <v>3587</v>
      </c>
      <c r="C30" s="73" t="s">
        <v>8860</v>
      </c>
      <c r="D30" s="73" t="s">
        <v>3820</v>
      </c>
      <c r="E30" s="73" t="s">
        <v>498</v>
      </c>
      <c r="F30" s="73" t="s">
        <v>7105</v>
      </c>
      <c r="G30" s="73" t="s">
        <v>8857</v>
      </c>
      <c r="H30" s="73" t="s">
        <v>8854</v>
      </c>
      <c r="I30" s="73" t="s">
        <v>8861</v>
      </c>
      <c r="J30" s="73"/>
    </row>
    <row r="31" customFormat="false" ht="23.85" hidden="false" customHeight="false" outlineLevel="0" collapsed="false">
      <c r="A31" s="75" t="s">
        <v>556</v>
      </c>
      <c r="B31" s="75" t="s">
        <v>3587</v>
      </c>
      <c r="C31" s="75" t="s">
        <v>8862</v>
      </c>
      <c r="D31" s="75" t="s">
        <v>8863</v>
      </c>
      <c r="E31" s="75" t="s">
        <v>498</v>
      </c>
      <c r="F31" s="75" t="s">
        <v>7105</v>
      </c>
      <c r="G31" s="75" t="s">
        <v>8857</v>
      </c>
      <c r="H31" s="75" t="s">
        <v>8864</v>
      </c>
      <c r="I31" s="75" t="s">
        <v>8865</v>
      </c>
      <c r="J31" s="75"/>
    </row>
    <row r="32" customFormat="false" ht="23.85" hidden="false" customHeight="false" outlineLevel="0" collapsed="false">
      <c r="A32" s="73" t="s">
        <v>666</v>
      </c>
      <c r="B32" s="73" t="s">
        <v>3587</v>
      </c>
      <c r="C32" s="73" t="s">
        <v>8866</v>
      </c>
      <c r="D32" s="73" t="s">
        <v>3853</v>
      </c>
      <c r="E32" s="73" t="s">
        <v>498</v>
      </c>
      <c r="F32" s="73" t="s">
        <v>7105</v>
      </c>
      <c r="G32" s="73" t="s">
        <v>8867</v>
      </c>
      <c r="H32" s="73" t="s">
        <v>8864</v>
      </c>
      <c r="I32" s="73" t="s">
        <v>8868</v>
      </c>
      <c r="J32" s="73"/>
    </row>
    <row r="33" customFormat="false" ht="23.85" hidden="false" customHeight="false" outlineLevel="0" collapsed="false">
      <c r="A33" s="75" t="s">
        <v>668</v>
      </c>
      <c r="B33" s="75" t="s">
        <v>3590</v>
      </c>
      <c r="C33" s="75" t="s">
        <v>8869</v>
      </c>
      <c r="D33" s="75" t="s">
        <v>8870</v>
      </c>
      <c r="E33" s="75" t="s">
        <v>8871</v>
      </c>
      <c r="F33" s="75" t="s">
        <v>7105</v>
      </c>
      <c r="G33" s="75" t="s">
        <v>8872</v>
      </c>
      <c r="H33" s="75" t="s">
        <v>8873</v>
      </c>
      <c r="I33" s="75" t="s">
        <v>8874</v>
      </c>
      <c r="J33" s="75"/>
    </row>
    <row r="34" customFormat="false" ht="23.85" hidden="false" customHeight="false" outlineLevel="0" collapsed="false">
      <c r="A34" s="73" t="s">
        <v>670</v>
      </c>
      <c r="B34" s="73" t="s">
        <v>3590</v>
      </c>
      <c r="C34" s="73" t="s">
        <v>8875</v>
      </c>
      <c r="D34" s="73" t="s">
        <v>8876</v>
      </c>
      <c r="E34" s="73" t="s">
        <v>8871</v>
      </c>
      <c r="F34" s="73" t="s">
        <v>7105</v>
      </c>
      <c r="G34" s="73" t="s">
        <v>8877</v>
      </c>
      <c r="H34" s="73" t="s">
        <v>8878</v>
      </c>
      <c r="I34" s="73" t="s">
        <v>8879</v>
      </c>
      <c r="J34" s="73"/>
    </row>
    <row r="35" customFormat="false" ht="15" hidden="false" customHeight="false" outlineLevel="0" collapsed="false">
      <c r="A35" s="75" t="s">
        <v>673</v>
      </c>
      <c r="B35" s="75" t="s">
        <v>3590</v>
      </c>
      <c r="C35" s="75" t="s">
        <v>8880</v>
      </c>
      <c r="D35" s="75" t="s">
        <v>8881</v>
      </c>
      <c r="E35" s="75" t="s">
        <v>498</v>
      </c>
      <c r="F35" s="75" t="s">
        <v>7105</v>
      </c>
      <c r="G35" s="75" t="s">
        <v>8882</v>
      </c>
      <c r="H35" s="75" t="s">
        <v>8878</v>
      </c>
      <c r="I35" s="75"/>
      <c r="J35" s="75"/>
    </row>
    <row r="36" customFormat="false" ht="23.85" hidden="false" customHeight="false" outlineLevel="0" collapsed="false">
      <c r="A36" s="73" t="s">
        <v>676</v>
      </c>
      <c r="B36" s="73" t="s">
        <v>3584</v>
      </c>
      <c r="C36" s="73" t="s">
        <v>8883</v>
      </c>
      <c r="D36" s="73" t="s">
        <v>3853</v>
      </c>
      <c r="E36" s="73" t="s">
        <v>498</v>
      </c>
      <c r="F36" s="73" t="s">
        <v>7105</v>
      </c>
      <c r="G36" s="73" t="s">
        <v>5488</v>
      </c>
      <c r="H36" s="73" t="s">
        <v>6488</v>
      </c>
      <c r="I36" s="73" t="s">
        <v>8884</v>
      </c>
      <c r="J36" s="73"/>
    </row>
    <row r="37" customFormat="false" ht="23.85" hidden="false" customHeight="false" outlineLevel="0" collapsed="false">
      <c r="A37" s="75" t="s">
        <v>679</v>
      </c>
      <c r="B37" s="75" t="s">
        <v>3584</v>
      </c>
      <c r="C37" s="75" t="s">
        <v>8885</v>
      </c>
      <c r="D37" s="75" t="s">
        <v>3820</v>
      </c>
      <c r="E37" s="75" t="s">
        <v>498</v>
      </c>
      <c r="F37" s="75" t="s">
        <v>7105</v>
      </c>
      <c r="G37" s="75" t="s">
        <v>5488</v>
      </c>
      <c r="H37" s="75" t="s">
        <v>8886</v>
      </c>
      <c r="I37" s="75"/>
      <c r="J37" s="75"/>
    </row>
    <row r="38" customFormat="false" ht="35.05" hidden="false" customHeight="false" outlineLevel="0" collapsed="false">
      <c r="A38" s="73" t="s">
        <v>682</v>
      </c>
      <c r="B38" s="73" t="s">
        <v>8887</v>
      </c>
      <c r="C38" s="73" t="s">
        <v>8888</v>
      </c>
      <c r="D38" s="73" t="s">
        <v>3853</v>
      </c>
      <c r="E38" s="73" t="s">
        <v>498</v>
      </c>
      <c r="F38" s="73" t="s">
        <v>7105</v>
      </c>
      <c r="G38" s="73" t="s">
        <v>7809</v>
      </c>
      <c r="H38" s="73" t="s">
        <v>8873</v>
      </c>
      <c r="I38" s="73" t="s">
        <v>8889</v>
      </c>
      <c r="J38" s="73"/>
    </row>
    <row r="39" customFormat="false" ht="35.05" hidden="false" customHeight="false" outlineLevel="0" collapsed="false">
      <c r="A39" s="75" t="s">
        <v>685</v>
      </c>
      <c r="B39" s="75" t="s">
        <v>8887</v>
      </c>
      <c r="C39" s="75" t="s">
        <v>8890</v>
      </c>
      <c r="D39" s="75" t="s">
        <v>3853</v>
      </c>
      <c r="E39" s="75" t="s">
        <v>498</v>
      </c>
      <c r="F39" s="75" t="s">
        <v>7105</v>
      </c>
      <c r="G39" s="75" t="s">
        <v>7809</v>
      </c>
      <c r="H39" s="75" t="s">
        <v>8891</v>
      </c>
      <c r="I39" s="75" t="s">
        <v>8892</v>
      </c>
      <c r="J39" s="75"/>
    </row>
    <row r="40" customFormat="false" ht="35.05" hidden="false" customHeight="false" outlineLevel="0" collapsed="false">
      <c r="A40" s="73" t="s">
        <v>687</v>
      </c>
      <c r="B40" s="73" t="s">
        <v>8887</v>
      </c>
      <c r="C40" s="73" t="s">
        <v>8893</v>
      </c>
      <c r="D40" s="73" t="s">
        <v>3853</v>
      </c>
      <c r="E40" s="73" t="s">
        <v>498</v>
      </c>
      <c r="F40" s="73" t="s">
        <v>7105</v>
      </c>
      <c r="G40" s="73" t="s">
        <v>8894</v>
      </c>
      <c r="H40" s="73" t="s">
        <v>8895</v>
      </c>
      <c r="I40" s="73"/>
      <c r="J40" s="73"/>
    </row>
    <row r="41" customFormat="false" ht="35.05" hidden="false" customHeight="false" outlineLevel="0" collapsed="false">
      <c r="A41" s="75" t="s">
        <v>689</v>
      </c>
      <c r="B41" s="75" t="s">
        <v>8887</v>
      </c>
      <c r="C41" s="75" t="s">
        <v>8896</v>
      </c>
      <c r="D41" s="75" t="s">
        <v>8863</v>
      </c>
      <c r="E41" s="75" t="s">
        <v>498</v>
      </c>
      <c r="F41" s="75" t="s">
        <v>7105</v>
      </c>
      <c r="G41" s="75" t="s">
        <v>8894</v>
      </c>
      <c r="H41" s="75" t="s">
        <v>8897</v>
      </c>
      <c r="I41" s="75"/>
      <c r="J41" s="75"/>
    </row>
    <row r="42" customFormat="false" ht="35.05" hidden="false" customHeight="false" outlineLevel="0" collapsed="false">
      <c r="A42" s="73" t="s">
        <v>692</v>
      </c>
      <c r="B42" s="73" t="s">
        <v>8887</v>
      </c>
      <c r="C42" s="73" t="s">
        <v>8898</v>
      </c>
      <c r="D42" s="73" t="s">
        <v>8863</v>
      </c>
      <c r="E42" s="73" t="s">
        <v>498</v>
      </c>
      <c r="F42" s="73" t="s">
        <v>7105</v>
      </c>
      <c r="G42" s="73" t="s">
        <v>7816</v>
      </c>
      <c r="H42" s="73" t="s">
        <v>8899</v>
      </c>
      <c r="I42" s="73"/>
      <c r="J42" s="73"/>
    </row>
    <row r="43" customFormat="false" ht="35.05" hidden="false" customHeight="false" outlineLevel="0" collapsed="false">
      <c r="A43" s="75" t="s">
        <v>695</v>
      </c>
      <c r="B43" s="75" t="s">
        <v>8887</v>
      </c>
      <c r="C43" s="75" t="s">
        <v>8900</v>
      </c>
      <c r="D43" s="75" t="s">
        <v>3820</v>
      </c>
      <c r="E43" s="75" t="s">
        <v>498</v>
      </c>
      <c r="F43" s="75" t="s">
        <v>7105</v>
      </c>
      <c r="G43" s="75" t="s">
        <v>7816</v>
      </c>
      <c r="H43" s="75" t="s">
        <v>8901</v>
      </c>
      <c r="I43" s="75"/>
      <c r="J43" s="75"/>
    </row>
    <row r="44" customFormat="false" ht="35.05" hidden="false" customHeight="false" outlineLevel="0" collapsed="false">
      <c r="A44" s="73" t="s">
        <v>698</v>
      </c>
      <c r="B44" s="73" t="s">
        <v>8887</v>
      </c>
      <c r="C44" s="73" t="s">
        <v>8902</v>
      </c>
      <c r="D44" s="73" t="s">
        <v>8863</v>
      </c>
      <c r="E44" s="73" t="s">
        <v>498</v>
      </c>
      <c r="F44" s="73" t="s">
        <v>7105</v>
      </c>
      <c r="G44" s="73" t="s">
        <v>8903</v>
      </c>
      <c r="H44" s="73" t="s">
        <v>8899</v>
      </c>
      <c r="I44" s="73"/>
      <c r="J44" s="73"/>
    </row>
    <row r="45" customFormat="false" ht="35.05" hidden="false" customHeight="false" outlineLevel="0" collapsed="false">
      <c r="A45" s="75" t="s">
        <v>700</v>
      </c>
      <c r="B45" s="75" t="s">
        <v>8887</v>
      </c>
      <c r="C45" s="75" t="s">
        <v>8904</v>
      </c>
      <c r="D45" s="75" t="s">
        <v>3820</v>
      </c>
      <c r="E45" s="75" t="s">
        <v>498</v>
      </c>
      <c r="F45" s="75" t="s">
        <v>7105</v>
      </c>
      <c r="G45" s="75" t="s">
        <v>8903</v>
      </c>
      <c r="H45" s="75" t="s">
        <v>8864</v>
      </c>
      <c r="I45" s="75"/>
      <c r="J45" s="75"/>
    </row>
    <row r="46" customFormat="false" ht="23.85" hidden="false" customHeight="false" outlineLevel="0" collapsed="false">
      <c r="A46" s="73" t="s">
        <v>704</v>
      </c>
      <c r="B46" s="73" t="s">
        <v>8905</v>
      </c>
      <c r="C46" s="73" t="s">
        <v>8906</v>
      </c>
      <c r="D46" s="73" t="s">
        <v>8881</v>
      </c>
      <c r="E46" s="73" t="s">
        <v>8907</v>
      </c>
      <c r="F46" s="73" t="s">
        <v>7105</v>
      </c>
      <c r="G46" s="73" t="s">
        <v>8908</v>
      </c>
      <c r="H46" s="73" t="s">
        <v>8909</v>
      </c>
      <c r="I46" s="73" t="s">
        <v>8910</v>
      </c>
      <c r="J46" s="73"/>
    </row>
    <row r="47" customFormat="false" ht="23.85" hidden="false" customHeight="false" outlineLevel="0" collapsed="false">
      <c r="A47" s="75" t="s">
        <v>707</v>
      </c>
      <c r="B47" s="75" t="s">
        <v>8905</v>
      </c>
      <c r="C47" s="75" t="s">
        <v>8911</v>
      </c>
      <c r="D47" s="75" t="s">
        <v>8863</v>
      </c>
      <c r="E47" s="75" t="s">
        <v>1903</v>
      </c>
      <c r="F47" s="75" t="s">
        <v>7105</v>
      </c>
      <c r="G47" s="75" t="s">
        <v>8908</v>
      </c>
      <c r="H47" s="75" t="s">
        <v>8912</v>
      </c>
      <c r="I47" s="75" t="s">
        <v>8913</v>
      </c>
      <c r="J47" s="75"/>
    </row>
    <row r="48" customFormat="false" ht="23.85" hidden="false" customHeight="false" outlineLevel="0" collapsed="false">
      <c r="A48" s="73" t="s">
        <v>710</v>
      </c>
      <c r="B48" s="73" t="s">
        <v>8914</v>
      </c>
      <c r="C48" s="73" t="s">
        <v>8915</v>
      </c>
      <c r="D48" s="73" t="s">
        <v>8916</v>
      </c>
      <c r="E48" s="73" t="s">
        <v>5094</v>
      </c>
      <c r="F48" s="73" t="s">
        <v>7105</v>
      </c>
      <c r="G48" s="73" t="s">
        <v>8917</v>
      </c>
      <c r="H48" s="73" t="s">
        <v>550</v>
      </c>
      <c r="I48" s="73" t="s">
        <v>8918</v>
      </c>
      <c r="J48" s="73"/>
    </row>
    <row r="49" customFormat="false" ht="15" hidden="false" customHeight="false" outlineLevel="0" collapsed="false">
      <c r="A49" s="75" t="s">
        <v>5443</v>
      </c>
      <c r="B49" s="75" t="s">
        <v>8914</v>
      </c>
      <c r="C49" s="75" t="s">
        <v>8919</v>
      </c>
      <c r="D49" s="75" t="s">
        <v>3820</v>
      </c>
      <c r="E49" s="75" t="s">
        <v>5094</v>
      </c>
      <c r="F49" s="75" t="s">
        <v>7105</v>
      </c>
      <c r="G49" s="75" t="s">
        <v>8857</v>
      </c>
      <c r="H49" s="75" t="s">
        <v>8920</v>
      </c>
      <c r="I49" s="75" t="s">
        <v>8921</v>
      </c>
      <c r="J49" s="75"/>
    </row>
    <row r="50" customFormat="false" ht="23.85" hidden="false" customHeight="false" outlineLevel="0" collapsed="false">
      <c r="A50" s="73" t="s">
        <v>5448</v>
      </c>
      <c r="B50" s="73" t="s">
        <v>8914</v>
      </c>
      <c r="C50" s="73" t="s">
        <v>8922</v>
      </c>
      <c r="D50" s="73" t="s">
        <v>3820</v>
      </c>
      <c r="E50" s="73" t="s">
        <v>5004</v>
      </c>
      <c r="F50" s="73" t="s">
        <v>7105</v>
      </c>
      <c r="G50" s="73" t="s">
        <v>8857</v>
      </c>
      <c r="H50" s="73" t="s">
        <v>8923</v>
      </c>
      <c r="I50" s="73" t="s">
        <v>8924</v>
      </c>
      <c r="J50" s="73"/>
    </row>
    <row r="51" customFormat="false" ht="23.85" hidden="false" customHeight="false" outlineLevel="0" collapsed="false">
      <c r="A51" s="75" t="s">
        <v>5452</v>
      </c>
      <c r="B51" s="75" t="s">
        <v>4382</v>
      </c>
      <c r="C51" s="75" t="s">
        <v>8925</v>
      </c>
      <c r="D51" s="75" t="s">
        <v>3820</v>
      </c>
      <c r="E51" s="75" t="s">
        <v>5094</v>
      </c>
      <c r="F51" s="75" t="s">
        <v>7105</v>
      </c>
      <c r="G51" s="75" t="s">
        <v>8867</v>
      </c>
      <c r="H51" s="75" t="s">
        <v>8926</v>
      </c>
      <c r="I51" s="75" t="s">
        <v>8927</v>
      </c>
      <c r="J51" s="75"/>
    </row>
    <row r="52" customFormat="false" ht="23.85" hidden="false" customHeight="false" outlineLevel="0" collapsed="false">
      <c r="A52" s="73" t="s">
        <v>5457</v>
      </c>
      <c r="B52" s="73" t="s">
        <v>4382</v>
      </c>
      <c r="C52" s="73" t="s">
        <v>8928</v>
      </c>
      <c r="D52" s="73" t="s">
        <v>3820</v>
      </c>
      <c r="E52" s="73" t="s">
        <v>498</v>
      </c>
      <c r="F52" s="73" t="s">
        <v>7105</v>
      </c>
      <c r="G52" s="73" t="s">
        <v>8867</v>
      </c>
      <c r="H52" s="73" t="s">
        <v>8864</v>
      </c>
      <c r="I52" s="73" t="s">
        <v>8929</v>
      </c>
      <c r="J52" s="73"/>
    </row>
    <row r="53" customFormat="false" ht="15" hidden="false" customHeight="false" outlineLevel="0" collapsed="false">
      <c r="A53" s="75" t="s">
        <v>5460</v>
      </c>
      <c r="B53" s="75" t="s">
        <v>4382</v>
      </c>
      <c r="C53" s="75" t="s">
        <v>8930</v>
      </c>
      <c r="D53" s="75" t="s">
        <v>3853</v>
      </c>
      <c r="E53" s="75" t="s">
        <v>5094</v>
      </c>
      <c r="F53" s="75" t="s">
        <v>7105</v>
      </c>
      <c r="G53" s="75" t="s">
        <v>8931</v>
      </c>
      <c r="H53" s="75" t="s">
        <v>8932</v>
      </c>
      <c r="I53" s="75" t="s">
        <v>8933</v>
      </c>
      <c r="J53" s="75"/>
    </row>
    <row r="54" customFormat="false" ht="23.85" hidden="false" customHeight="false" outlineLevel="0" collapsed="false">
      <c r="A54" s="73" t="s">
        <v>5464</v>
      </c>
      <c r="B54" s="73" t="s">
        <v>4382</v>
      </c>
      <c r="C54" s="73" t="s">
        <v>8934</v>
      </c>
      <c r="D54" s="73" t="s">
        <v>3820</v>
      </c>
      <c r="E54" s="73" t="s">
        <v>5094</v>
      </c>
      <c r="F54" s="73" t="s">
        <v>7105</v>
      </c>
      <c r="G54" s="73" t="s">
        <v>8931</v>
      </c>
      <c r="H54" s="73" t="s">
        <v>8932</v>
      </c>
      <c r="I54" s="73" t="s">
        <v>8935</v>
      </c>
      <c r="J54" s="73"/>
    </row>
    <row r="55" customFormat="false" ht="23.85" hidden="false" customHeight="false" outlineLevel="0" collapsed="false">
      <c r="A55" s="75" t="s">
        <v>5470</v>
      </c>
      <c r="B55" s="75" t="s">
        <v>3662</v>
      </c>
      <c r="C55" s="75" t="s">
        <v>8936</v>
      </c>
      <c r="D55" s="75" t="s">
        <v>3853</v>
      </c>
      <c r="E55" s="75" t="s">
        <v>498</v>
      </c>
      <c r="F55" s="75" t="s">
        <v>7105</v>
      </c>
      <c r="G55" s="75" t="s">
        <v>5495</v>
      </c>
      <c r="H55" s="75" t="s">
        <v>8937</v>
      </c>
      <c r="I55" s="75"/>
      <c r="J55" s="75"/>
    </row>
    <row r="56" customFormat="false" ht="23.85" hidden="false" customHeight="false" outlineLevel="0" collapsed="false">
      <c r="A56" s="73" t="s">
        <v>8938</v>
      </c>
      <c r="B56" s="73" t="s">
        <v>3662</v>
      </c>
      <c r="C56" s="73" t="s">
        <v>8939</v>
      </c>
      <c r="D56" s="73" t="s">
        <v>3820</v>
      </c>
      <c r="E56" s="73" t="s">
        <v>498</v>
      </c>
      <c r="F56" s="73" t="s">
        <v>7105</v>
      </c>
      <c r="G56" s="73" t="s">
        <v>5495</v>
      </c>
      <c r="H56" s="73" t="s">
        <v>8940</v>
      </c>
      <c r="I56" s="73"/>
      <c r="J56" s="73"/>
    </row>
    <row r="57" customFormat="false" ht="35.05" hidden="false" customHeight="false" outlineLevel="0" collapsed="false">
      <c r="A57" s="75" t="s">
        <v>748</v>
      </c>
      <c r="B57" s="75" t="s">
        <v>7557</v>
      </c>
      <c r="C57" s="75" t="s">
        <v>8941</v>
      </c>
      <c r="D57" s="75" t="s">
        <v>8881</v>
      </c>
      <c r="E57" s="75" t="s">
        <v>5442</v>
      </c>
      <c r="F57" s="75" t="s">
        <v>7105</v>
      </c>
      <c r="G57" s="75" t="s">
        <v>8942</v>
      </c>
      <c r="H57" s="75" t="s">
        <v>8943</v>
      </c>
      <c r="I57" s="75" t="s">
        <v>8944</v>
      </c>
      <c r="J57" s="75"/>
    </row>
    <row r="58" customFormat="false" ht="23.85" hidden="false" customHeight="false" outlineLevel="0" collapsed="false">
      <c r="A58" s="73" t="s">
        <v>8945</v>
      </c>
      <c r="B58" s="73" t="s">
        <v>7557</v>
      </c>
      <c r="C58" s="73" t="s">
        <v>8946</v>
      </c>
      <c r="D58" s="73" t="s">
        <v>8870</v>
      </c>
      <c r="E58" s="73" t="s">
        <v>498</v>
      </c>
      <c r="F58" s="73" t="s">
        <v>7105</v>
      </c>
      <c r="G58" s="73" t="s">
        <v>8947</v>
      </c>
      <c r="H58" s="73" t="s">
        <v>8948</v>
      </c>
      <c r="I58" s="73" t="s">
        <v>8949</v>
      </c>
      <c r="J58" s="73"/>
    </row>
    <row r="59" customFormat="false" ht="23.85" hidden="false" customHeight="false" outlineLevel="0" collapsed="false">
      <c r="A59" s="75" t="s">
        <v>8950</v>
      </c>
      <c r="B59" s="75" t="s">
        <v>7557</v>
      </c>
      <c r="C59" s="75" t="s">
        <v>8951</v>
      </c>
      <c r="D59" s="75" t="s">
        <v>8870</v>
      </c>
      <c r="E59" s="75" t="s">
        <v>4931</v>
      </c>
      <c r="F59" s="75" t="s">
        <v>7105</v>
      </c>
      <c r="G59" s="75" t="s">
        <v>8952</v>
      </c>
      <c r="H59" s="75" t="s">
        <v>8953</v>
      </c>
      <c r="I59" s="75" t="s">
        <v>8954</v>
      </c>
      <c r="J59" s="75"/>
    </row>
    <row r="60" customFormat="false" ht="15" hidden="false" customHeight="false" outlineLevel="0" collapsed="false">
      <c r="A60" s="73" t="s">
        <v>8955</v>
      </c>
      <c r="B60" s="73" t="s">
        <v>8956</v>
      </c>
      <c r="C60" s="73" t="s">
        <v>8957</v>
      </c>
      <c r="D60" s="73" t="s">
        <v>3853</v>
      </c>
      <c r="E60" s="73" t="s">
        <v>498</v>
      </c>
      <c r="F60" s="73" t="s">
        <v>7105</v>
      </c>
      <c r="G60" s="73" t="s">
        <v>8958</v>
      </c>
      <c r="H60" s="73" t="s">
        <v>8959</v>
      </c>
      <c r="I60" s="73" t="s">
        <v>8960</v>
      </c>
      <c r="J60" s="73"/>
    </row>
    <row r="61" customFormat="false" ht="23.85" hidden="false" customHeight="false" outlineLevel="0" collapsed="false">
      <c r="A61" s="75" t="s">
        <v>8961</v>
      </c>
      <c r="B61" s="75" t="s">
        <v>8956</v>
      </c>
      <c r="C61" s="75" t="s">
        <v>8962</v>
      </c>
      <c r="D61" s="75" t="s">
        <v>3853</v>
      </c>
      <c r="E61" s="75" t="s">
        <v>498</v>
      </c>
      <c r="F61" s="75" t="s">
        <v>7105</v>
      </c>
      <c r="G61" s="75" t="s">
        <v>8963</v>
      </c>
      <c r="H61" s="75" t="s">
        <v>8964</v>
      </c>
      <c r="I61" s="75"/>
      <c r="J61" s="75"/>
    </row>
    <row r="62" customFormat="false" ht="23.85" hidden="false" customHeight="false" outlineLevel="0" collapsed="false">
      <c r="A62" s="73" t="s">
        <v>8965</v>
      </c>
      <c r="B62" s="73" t="s">
        <v>8956</v>
      </c>
      <c r="C62" s="73" t="s">
        <v>8966</v>
      </c>
      <c r="D62" s="73" t="s">
        <v>3853</v>
      </c>
      <c r="E62" s="73" t="s">
        <v>498</v>
      </c>
      <c r="F62" s="73" t="s">
        <v>7105</v>
      </c>
      <c r="G62" s="73" t="s">
        <v>8963</v>
      </c>
      <c r="H62" s="73" t="s">
        <v>8964</v>
      </c>
      <c r="I62" s="73"/>
      <c r="J62" s="73"/>
    </row>
    <row r="63" customFormat="false" ht="15" hidden="false" customHeight="false" outlineLevel="0" collapsed="false">
      <c r="A63" s="75" t="s">
        <v>8967</v>
      </c>
      <c r="B63" s="75" t="s">
        <v>8968</v>
      </c>
      <c r="C63" s="75" t="s">
        <v>8969</v>
      </c>
      <c r="D63" s="75" t="s">
        <v>8970</v>
      </c>
      <c r="E63" s="75" t="s">
        <v>5442</v>
      </c>
      <c r="F63" s="75" t="s">
        <v>7105</v>
      </c>
      <c r="G63" s="75" t="s">
        <v>8971</v>
      </c>
      <c r="H63" s="75" t="s">
        <v>8959</v>
      </c>
      <c r="I63" s="75" t="s">
        <v>8972</v>
      </c>
      <c r="J63" s="75"/>
    </row>
    <row r="64" customFormat="false" ht="15" hidden="false" customHeight="false" outlineLevel="0" collapsed="false">
      <c r="A64" s="73" t="s">
        <v>8973</v>
      </c>
      <c r="B64" s="73" t="s">
        <v>8968</v>
      </c>
      <c r="C64" s="73" t="s">
        <v>8974</v>
      </c>
      <c r="D64" s="73" t="s">
        <v>8975</v>
      </c>
      <c r="E64" s="73" t="s">
        <v>498</v>
      </c>
      <c r="F64" s="73" t="s">
        <v>7105</v>
      </c>
      <c r="G64" s="73" t="s">
        <v>8976</v>
      </c>
      <c r="H64" s="73" t="s">
        <v>8977</v>
      </c>
      <c r="I64" s="73"/>
      <c r="J64" s="73"/>
    </row>
    <row r="65" customFormat="false" ht="15" hidden="false" customHeight="false" outlineLevel="0" collapsed="false">
      <c r="A65" s="75" t="s">
        <v>8978</v>
      </c>
      <c r="B65" s="75" t="s">
        <v>8968</v>
      </c>
      <c r="C65" s="75" t="s">
        <v>8979</v>
      </c>
      <c r="D65" s="75" t="s">
        <v>8975</v>
      </c>
      <c r="E65" s="75" t="s">
        <v>5442</v>
      </c>
      <c r="F65" s="75" t="s">
        <v>7105</v>
      </c>
      <c r="G65" s="75" t="s">
        <v>8980</v>
      </c>
      <c r="H65" s="75" t="s">
        <v>8981</v>
      </c>
      <c r="I65" s="75" t="s">
        <v>8982</v>
      </c>
      <c r="J65" s="75"/>
    </row>
    <row r="66" customFormat="false" ht="15" hidden="false" customHeight="false" outlineLevel="0" collapsed="false">
      <c r="A66" s="73" t="s">
        <v>8983</v>
      </c>
      <c r="B66" s="73" t="s">
        <v>8968</v>
      </c>
      <c r="C66" s="73" t="s">
        <v>8984</v>
      </c>
      <c r="D66" s="73" t="s">
        <v>8985</v>
      </c>
      <c r="E66" s="73" t="s">
        <v>498</v>
      </c>
      <c r="F66" s="73" t="s">
        <v>7105</v>
      </c>
      <c r="G66" s="73" t="s">
        <v>8986</v>
      </c>
      <c r="H66" s="73" t="s">
        <v>8987</v>
      </c>
      <c r="I66" s="73" t="s">
        <v>8988</v>
      </c>
      <c r="J66" s="73"/>
    </row>
    <row r="67" customFormat="false" ht="23.85" hidden="false" customHeight="false" outlineLevel="0" collapsed="false">
      <c r="A67" s="75" t="s">
        <v>755</v>
      </c>
      <c r="B67" s="75" t="s">
        <v>8968</v>
      </c>
      <c r="C67" s="75" t="s">
        <v>8989</v>
      </c>
      <c r="D67" s="75" t="s">
        <v>8975</v>
      </c>
      <c r="E67" s="75" t="s">
        <v>498</v>
      </c>
      <c r="F67" s="75" t="s">
        <v>7105</v>
      </c>
      <c r="G67" s="75" t="s">
        <v>8990</v>
      </c>
      <c r="H67" s="75" t="s">
        <v>8991</v>
      </c>
      <c r="I67" s="75" t="s">
        <v>8992</v>
      </c>
      <c r="J67" s="75"/>
    </row>
    <row r="69" customFormat="false" ht="15" hidden="false" customHeight="false" outlineLevel="0" collapsed="false">
      <c r="A69" s="72" t="s">
        <v>8993</v>
      </c>
    </row>
    <row r="70" customFormat="false" ht="15" hidden="false" customHeight="false" outlineLevel="0" collapsed="false">
      <c r="A70" s="3" t="s">
        <v>1752</v>
      </c>
      <c r="B70" s="3" t="s">
        <v>640</v>
      </c>
      <c r="C70" s="3" t="s">
        <v>1754</v>
      </c>
      <c r="D70" s="3" t="s">
        <v>1838</v>
      </c>
      <c r="E70" s="3" t="s">
        <v>4974</v>
      </c>
      <c r="F70" s="3" t="s">
        <v>412</v>
      </c>
      <c r="G70" s="3" t="s">
        <v>8819</v>
      </c>
      <c r="H70" s="3" t="s">
        <v>440</v>
      </c>
    </row>
    <row r="71" customFormat="false" ht="23.85" hidden="false" customHeight="false" outlineLevel="0" collapsed="false">
      <c r="A71" s="73" t="s">
        <v>490</v>
      </c>
      <c r="B71" s="73" t="s">
        <v>1585</v>
      </c>
      <c r="C71" s="73" t="s">
        <v>8994</v>
      </c>
      <c r="D71" s="73" t="s">
        <v>8823</v>
      </c>
      <c r="E71" s="73" t="s">
        <v>5094</v>
      </c>
      <c r="F71" s="73" t="s">
        <v>7105</v>
      </c>
      <c r="G71" s="73" t="s">
        <v>550</v>
      </c>
      <c r="H71" s="73" t="s">
        <v>8995</v>
      </c>
    </row>
    <row r="72" customFormat="false" ht="23.85" hidden="false" customHeight="false" outlineLevel="0" collapsed="false">
      <c r="A72" s="75" t="s">
        <v>496</v>
      </c>
      <c r="B72" s="75" t="s">
        <v>1585</v>
      </c>
      <c r="C72" s="75" t="s">
        <v>8996</v>
      </c>
      <c r="D72" s="75" t="s">
        <v>8823</v>
      </c>
      <c r="E72" s="75" t="s">
        <v>5094</v>
      </c>
      <c r="F72" s="75" t="s">
        <v>7105</v>
      </c>
      <c r="G72" s="75" t="s">
        <v>8997</v>
      </c>
      <c r="H72" s="75" t="s">
        <v>8998</v>
      </c>
    </row>
    <row r="73" customFormat="false" ht="15" hidden="false" customHeight="false" outlineLevel="0" collapsed="false">
      <c r="A73" s="73" t="s">
        <v>502</v>
      </c>
      <c r="B73" s="73" t="s">
        <v>1585</v>
      </c>
      <c r="C73" s="73" t="s">
        <v>8999</v>
      </c>
      <c r="D73" s="73" t="s">
        <v>8823</v>
      </c>
      <c r="E73" s="73" t="s">
        <v>5094</v>
      </c>
      <c r="F73" s="73" t="s">
        <v>7105</v>
      </c>
      <c r="G73" s="73" t="s">
        <v>8997</v>
      </c>
      <c r="H73" s="73" t="s">
        <v>9000</v>
      </c>
    </row>
    <row r="74" customFormat="false" ht="15" hidden="false" customHeight="false" outlineLevel="0" collapsed="false">
      <c r="A74" s="75" t="s">
        <v>507</v>
      </c>
      <c r="B74" s="75" t="s">
        <v>1585</v>
      </c>
      <c r="C74" s="75" t="s">
        <v>9001</v>
      </c>
      <c r="D74" s="75" t="s">
        <v>8823</v>
      </c>
      <c r="E74" s="75" t="s">
        <v>5094</v>
      </c>
      <c r="F74" s="75" t="s">
        <v>7105</v>
      </c>
      <c r="G74" s="75" t="s">
        <v>8997</v>
      </c>
      <c r="H74" s="75" t="s">
        <v>9002</v>
      </c>
    </row>
    <row r="75" customFormat="false" ht="23.85" hidden="false" customHeight="false" outlineLevel="0" collapsed="false">
      <c r="A75" s="73" t="s">
        <v>511</v>
      </c>
      <c r="B75" s="73" t="s">
        <v>9003</v>
      </c>
      <c r="C75" s="73" t="s">
        <v>9004</v>
      </c>
      <c r="D75" s="73" t="s">
        <v>8834</v>
      </c>
      <c r="E75" s="73" t="s">
        <v>498</v>
      </c>
      <c r="F75" s="73" t="s">
        <v>7105</v>
      </c>
      <c r="G75" s="73" t="s">
        <v>8997</v>
      </c>
      <c r="H75" s="73" t="s">
        <v>9005</v>
      </c>
    </row>
    <row r="76" customFormat="false" ht="23.85" hidden="false" customHeight="false" outlineLevel="0" collapsed="false">
      <c r="A76" s="75" t="s">
        <v>516</v>
      </c>
      <c r="B76" s="75" t="s">
        <v>9003</v>
      </c>
      <c r="C76" s="75" t="s">
        <v>9006</v>
      </c>
      <c r="D76" s="75" t="s">
        <v>8823</v>
      </c>
      <c r="E76" s="75" t="s">
        <v>498</v>
      </c>
      <c r="F76" s="75" t="s">
        <v>7105</v>
      </c>
      <c r="G76" s="75" t="s">
        <v>9007</v>
      </c>
      <c r="H76" s="75" t="s">
        <v>9008</v>
      </c>
    </row>
    <row r="77" customFormat="false" ht="23.85" hidden="false" customHeight="false" outlineLevel="0" collapsed="false">
      <c r="A77" s="73" t="s">
        <v>519</v>
      </c>
      <c r="B77" s="73" t="s">
        <v>3741</v>
      </c>
      <c r="C77" s="73" t="s">
        <v>9009</v>
      </c>
      <c r="D77" s="73" t="s">
        <v>3820</v>
      </c>
      <c r="E77" s="73" t="s">
        <v>498</v>
      </c>
      <c r="F77" s="73" t="s">
        <v>7105</v>
      </c>
      <c r="G77" s="73" t="s">
        <v>9010</v>
      </c>
      <c r="H77" s="73" t="s">
        <v>9011</v>
      </c>
    </row>
    <row r="78" customFormat="false" ht="23.85" hidden="false" customHeight="false" outlineLevel="0" collapsed="false">
      <c r="A78" s="75" t="s">
        <v>523</v>
      </c>
      <c r="B78" s="75" t="s">
        <v>3741</v>
      </c>
      <c r="C78" s="75" t="s">
        <v>9012</v>
      </c>
      <c r="D78" s="75" t="s">
        <v>3820</v>
      </c>
      <c r="E78" s="75" t="s">
        <v>498</v>
      </c>
      <c r="F78" s="75" t="s">
        <v>7105</v>
      </c>
      <c r="G78" s="75" t="s">
        <v>9007</v>
      </c>
      <c r="H78" s="75" t="s">
        <v>9013</v>
      </c>
    </row>
    <row r="79" customFormat="false" ht="23.85" hidden="false" customHeight="false" outlineLevel="0" collapsed="false">
      <c r="A79" s="73" t="s">
        <v>530</v>
      </c>
      <c r="B79" s="73" t="s">
        <v>9014</v>
      </c>
      <c r="C79" s="73" t="s">
        <v>9015</v>
      </c>
      <c r="D79" s="73" t="s">
        <v>3853</v>
      </c>
      <c r="E79" s="73" t="s">
        <v>5004</v>
      </c>
      <c r="F79" s="73" t="s">
        <v>7105</v>
      </c>
      <c r="G79" s="73" t="s">
        <v>8997</v>
      </c>
      <c r="H79" s="73" t="s">
        <v>9016</v>
      </c>
    </row>
    <row r="80" customFormat="false" ht="23.85" hidden="false" customHeight="false" outlineLevel="0" collapsed="false">
      <c r="A80" s="75" t="s">
        <v>535</v>
      </c>
      <c r="B80" s="75" t="s">
        <v>9014</v>
      </c>
      <c r="C80" s="75" t="s">
        <v>9017</v>
      </c>
      <c r="D80" s="75" t="s">
        <v>3820</v>
      </c>
      <c r="E80" s="75" t="s">
        <v>5004</v>
      </c>
      <c r="F80" s="75" t="s">
        <v>7105</v>
      </c>
      <c r="G80" s="75" t="s">
        <v>8997</v>
      </c>
      <c r="H80" s="75"/>
    </row>
    <row r="81" customFormat="false" ht="35.05" hidden="false" customHeight="false" outlineLevel="0" collapsed="false">
      <c r="A81" s="73" t="s">
        <v>542</v>
      </c>
      <c r="B81" s="73" t="s">
        <v>3897</v>
      </c>
      <c r="C81" s="73" t="s">
        <v>9018</v>
      </c>
      <c r="D81" s="73" t="s">
        <v>8881</v>
      </c>
      <c r="E81" s="73" t="s">
        <v>498</v>
      </c>
      <c r="F81" s="73" t="s">
        <v>7105</v>
      </c>
      <c r="G81" s="73" t="s">
        <v>9019</v>
      </c>
      <c r="H81" s="73" t="s">
        <v>9020</v>
      </c>
    </row>
    <row r="82" customFormat="false" ht="23.85" hidden="false" customHeight="false" outlineLevel="0" collapsed="false">
      <c r="A82" s="75" t="s">
        <v>546</v>
      </c>
      <c r="B82" s="75" t="s">
        <v>3897</v>
      </c>
      <c r="C82" s="75" t="s">
        <v>9021</v>
      </c>
      <c r="D82" s="75" t="s">
        <v>3853</v>
      </c>
      <c r="E82" s="75" t="s">
        <v>498</v>
      </c>
      <c r="F82" s="75" t="s">
        <v>7105</v>
      </c>
      <c r="G82" s="75" t="s">
        <v>9022</v>
      </c>
      <c r="H82" s="75" t="s">
        <v>9023</v>
      </c>
    </row>
    <row r="83" customFormat="false" ht="23.85" hidden="false" customHeight="false" outlineLevel="0" collapsed="false">
      <c r="A83" s="73" t="s">
        <v>551</v>
      </c>
      <c r="B83" s="73" t="s">
        <v>9024</v>
      </c>
      <c r="C83" s="73" t="s">
        <v>9025</v>
      </c>
      <c r="D83" s="73" t="s">
        <v>3820</v>
      </c>
      <c r="E83" s="73" t="s">
        <v>498</v>
      </c>
      <c r="F83" s="73" t="s">
        <v>7105</v>
      </c>
      <c r="G83" s="73" t="s">
        <v>9026</v>
      </c>
      <c r="H83" s="73" t="s">
        <v>9027</v>
      </c>
    </row>
    <row r="84" customFormat="false" ht="23.85" hidden="false" customHeight="false" outlineLevel="0" collapsed="false">
      <c r="A84" s="75" t="s">
        <v>556</v>
      </c>
      <c r="B84" s="75" t="s">
        <v>9024</v>
      </c>
      <c r="C84" s="75" t="s">
        <v>9028</v>
      </c>
      <c r="D84" s="75" t="s">
        <v>3820</v>
      </c>
      <c r="E84" s="75" t="s">
        <v>498</v>
      </c>
      <c r="F84" s="75" t="s">
        <v>7105</v>
      </c>
      <c r="G84" s="75" t="s">
        <v>9029</v>
      </c>
      <c r="H84" s="75"/>
    </row>
    <row r="85" customFormat="false" ht="23.85" hidden="false" customHeight="false" outlineLevel="0" collapsed="false">
      <c r="A85" s="73" t="s">
        <v>666</v>
      </c>
      <c r="B85" s="73" t="s">
        <v>3662</v>
      </c>
      <c r="C85" s="73" t="s">
        <v>9030</v>
      </c>
      <c r="D85" s="73" t="s">
        <v>3853</v>
      </c>
      <c r="E85" s="73" t="s">
        <v>498</v>
      </c>
      <c r="F85" s="73" t="s">
        <v>7105</v>
      </c>
      <c r="G85" s="73" t="s">
        <v>9029</v>
      </c>
      <c r="H85" s="73"/>
    </row>
    <row r="86" customFormat="false" ht="23.85" hidden="false" customHeight="false" outlineLevel="0" collapsed="false">
      <c r="A86" s="75" t="s">
        <v>668</v>
      </c>
      <c r="B86" s="75" t="s">
        <v>3662</v>
      </c>
      <c r="C86" s="75" t="s">
        <v>9031</v>
      </c>
      <c r="D86" s="75" t="s">
        <v>3820</v>
      </c>
      <c r="E86" s="75" t="s">
        <v>498</v>
      </c>
      <c r="F86" s="75" t="s">
        <v>7105</v>
      </c>
      <c r="G86" s="75" t="s">
        <v>9032</v>
      </c>
      <c r="H86" s="75" t="s">
        <v>9033</v>
      </c>
    </row>
    <row r="87" customFormat="false" ht="23.85" hidden="false" customHeight="false" outlineLevel="0" collapsed="false">
      <c r="A87" s="73" t="s">
        <v>670</v>
      </c>
      <c r="B87" s="73" t="s">
        <v>9034</v>
      </c>
      <c r="C87" s="73" t="s">
        <v>9035</v>
      </c>
      <c r="D87" s="73" t="s">
        <v>3853</v>
      </c>
      <c r="E87" s="73" t="s">
        <v>5094</v>
      </c>
      <c r="F87" s="73" t="s">
        <v>7105</v>
      </c>
      <c r="G87" s="73" t="s">
        <v>9036</v>
      </c>
      <c r="H87" s="73" t="s">
        <v>9037</v>
      </c>
    </row>
    <row r="88" customFormat="false" ht="23.85" hidden="false" customHeight="false" outlineLevel="0" collapsed="false">
      <c r="A88" s="75" t="s">
        <v>673</v>
      </c>
      <c r="B88" s="75" t="s">
        <v>8956</v>
      </c>
      <c r="C88" s="75" t="s">
        <v>9038</v>
      </c>
      <c r="D88" s="75" t="s">
        <v>3853</v>
      </c>
      <c r="E88" s="75" t="s">
        <v>498</v>
      </c>
      <c r="F88" s="75" t="s">
        <v>7105</v>
      </c>
      <c r="G88" s="75" t="s">
        <v>9039</v>
      </c>
      <c r="H88" s="75" t="s">
        <v>9040</v>
      </c>
    </row>
    <row r="89" customFormat="false" ht="23.85" hidden="false" customHeight="false" outlineLevel="0" collapsed="false">
      <c r="A89" s="73" t="s">
        <v>676</v>
      </c>
      <c r="B89" s="73" t="s">
        <v>7557</v>
      </c>
      <c r="C89" s="73" t="s">
        <v>9041</v>
      </c>
      <c r="D89" s="73" t="s">
        <v>8881</v>
      </c>
      <c r="E89" s="73" t="s">
        <v>5442</v>
      </c>
      <c r="F89" s="73" t="s">
        <v>7105</v>
      </c>
      <c r="G89" s="73" t="s">
        <v>9042</v>
      </c>
      <c r="H89" s="73" t="s">
        <v>9043</v>
      </c>
    </row>
    <row r="90" customFormat="false" ht="23.85" hidden="false" customHeight="false" outlineLevel="0" collapsed="false">
      <c r="A90" s="75" t="s">
        <v>679</v>
      </c>
      <c r="B90" s="75" t="s">
        <v>8968</v>
      </c>
      <c r="C90" s="75" t="s">
        <v>9044</v>
      </c>
      <c r="D90" s="75" t="s">
        <v>8985</v>
      </c>
      <c r="E90" s="75" t="s">
        <v>5442</v>
      </c>
      <c r="F90" s="75" t="s">
        <v>7105</v>
      </c>
      <c r="G90" s="75" t="s">
        <v>9045</v>
      </c>
      <c r="H90" s="75" t="s">
        <v>9046</v>
      </c>
    </row>
    <row r="92" customFormat="false" ht="15" hidden="false" customHeight="false" outlineLevel="0" collapsed="false">
      <c r="A92" s="72" t="s">
        <v>9047</v>
      </c>
    </row>
    <row r="93" customFormat="false" ht="15" hidden="false" customHeight="false" outlineLevel="0" collapsed="false">
      <c r="A93" s="3" t="s">
        <v>1752</v>
      </c>
      <c r="B93" s="3" t="s">
        <v>9048</v>
      </c>
      <c r="C93" s="3" t="s">
        <v>3596</v>
      </c>
      <c r="D93" s="3" t="s">
        <v>3597</v>
      </c>
      <c r="E93" s="3" t="s">
        <v>9049</v>
      </c>
      <c r="F93" s="3" t="s">
        <v>488</v>
      </c>
      <c r="G93" s="3" t="s">
        <v>9050</v>
      </c>
      <c r="H93" s="3" t="s">
        <v>440</v>
      </c>
    </row>
    <row r="94" customFormat="false" ht="23.85" hidden="false" customHeight="false" outlineLevel="0" collapsed="false">
      <c r="A94" s="73" t="s">
        <v>490</v>
      </c>
      <c r="B94" s="73" t="s">
        <v>9051</v>
      </c>
      <c r="C94" s="73" t="s">
        <v>451</v>
      </c>
      <c r="D94" s="73" t="s">
        <v>9052</v>
      </c>
      <c r="E94" s="73" t="s">
        <v>451</v>
      </c>
      <c r="F94" s="73" t="s">
        <v>451</v>
      </c>
      <c r="G94" s="73" t="s">
        <v>451</v>
      </c>
      <c r="H94" s="73" t="s">
        <v>9053</v>
      </c>
    </row>
    <row r="95" customFormat="false" ht="23.85" hidden="false" customHeight="false" outlineLevel="0" collapsed="false">
      <c r="A95" s="75" t="s">
        <v>496</v>
      </c>
      <c r="B95" s="75" t="s">
        <v>9054</v>
      </c>
      <c r="C95" s="75" t="s">
        <v>451</v>
      </c>
      <c r="D95" s="75" t="s">
        <v>9055</v>
      </c>
      <c r="E95" s="75" t="s">
        <v>9056</v>
      </c>
      <c r="F95" s="75" t="s">
        <v>451</v>
      </c>
      <c r="G95" s="75" t="s">
        <v>451</v>
      </c>
      <c r="H95" s="75" t="s">
        <v>9057</v>
      </c>
    </row>
    <row r="96" customFormat="false" ht="23.85" hidden="false" customHeight="false" outlineLevel="0" collapsed="false">
      <c r="A96" s="73" t="s">
        <v>502</v>
      </c>
      <c r="B96" s="73" t="s">
        <v>9058</v>
      </c>
      <c r="C96" s="73" t="s">
        <v>451</v>
      </c>
      <c r="D96" s="73" t="s">
        <v>9059</v>
      </c>
      <c r="E96" s="73" t="s">
        <v>9056</v>
      </c>
      <c r="F96" s="73" t="s">
        <v>451</v>
      </c>
      <c r="G96" s="73" t="s">
        <v>451</v>
      </c>
      <c r="H96" s="73" t="s">
        <v>9060</v>
      </c>
    </row>
    <row r="97" customFormat="false" ht="46.25" hidden="false" customHeight="false" outlineLevel="0" collapsed="false">
      <c r="A97" s="75" t="s">
        <v>507</v>
      </c>
      <c r="B97" s="75" t="s">
        <v>9061</v>
      </c>
      <c r="C97" s="75" t="s">
        <v>9062</v>
      </c>
      <c r="D97" s="75" t="s">
        <v>9063</v>
      </c>
      <c r="E97" s="75" t="s">
        <v>9064</v>
      </c>
      <c r="F97" s="75" t="s">
        <v>3643</v>
      </c>
      <c r="G97" s="75" t="s">
        <v>9065</v>
      </c>
      <c r="H97" s="75" t="s">
        <v>9066</v>
      </c>
    </row>
    <row r="98" customFormat="false" ht="68.65" hidden="false" customHeight="false" outlineLevel="0" collapsed="false">
      <c r="A98" s="73" t="s">
        <v>511</v>
      </c>
      <c r="B98" s="73" t="s">
        <v>9067</v>
      </c>
      <c r="C98" s="73" t="s">
        <v>9068</v>
      </c>
      <c r="D98" s="73" t="s">
        <v>9069</v>
      </c>
      <c r="E98" s="73" t="s">
        <v>9070</v>
      </c>
      <c r="F98" s="73" t="s">
        <v>3643</v>
      </c>
      <c r="G98" s="73" t="s">
        <v>9071</v>
      </c>
      <c r="H98" s="73" t="s">
        <v>9072</v>
      </c>
    </row>
    <row r="99" customFormat="false" ht="35.05" hidden="false" customHeight="false" outlineLevel="0" collapsed="false">
      <c r="A99" s="75" t="s">
        <v>516</v>
      </c>
      <c r="B99" s="75" t="s">
        <v>9073</v>
      </c>
      <c r="C99" s="75" t="s">
        <v>9074</v>
      </c>
      <c r="D99" s="75" t="s">
        <v>9075</v>
      </c>
      <c r="E99" s="75" t="s">
        <v>9076</v>
      </c>
      <c r="F99" s="75" t="s">
        <v>3643</v>
      </c>
      <c r="G99" s="75" t="s">
        <v>9077</v>
      </c>
      <c r="H99" s="75" t="s">
        <v>9078</v>
      </c>
    </row>
    <row r="100" customFormat="false" ht="46.25" hidden="false" customHeight="false" outlineLevel="0" collapsed="false">
      <c r="A100" s="73" t="s">
        <v>519</v>
      </c>
      <c r="B100" s="73" t="s">
        <v>9079</v>
      </c>
      <c r="C100" s="73" t="s">
        <v>9080</v>
      </c>
      <c r="D100" s="73" t="s">
        <v>9081</v>
      </c>
      <c r="E100" s="73" t="s">
        <v>9082</v>
      </c>
      <c r="F100" s="73" t="s">
        <v>3643</v>
      </c>
      <c r="G100" s="73" t="s">
        <v>9083</v>
      </c>
      <c r="H100" s="73" t="s">
        <v>9084</v>
      </c>
    </row>
    <row r="101" customFormat="false" ht="79.85" hidden="false" customHeight="false" outlineLevel="0" collapsed="false">
      <c r="A101" s="75" t="s">
        <v>523</v>
      </c>
      <c r="B101" s="75" t="s">
        <v>9085</v>
      </c>
      <c r="C101" s="75" t="s">
        <v>9086</v>
      </c>
      <c r="D101" s="75" t="s">
        <v>9087</v>
      </c>
      <c r="E101" s="75" t="s">
        <v>9088</v>
      </c>
      <c r="F101" s="75" t="s">
        <v>540</v>
      </c>
      <c r="G101" s="75" t="s">
        <v>9089</v>
      </c>
      <c r="H101" s="75" t="s">
        <v>9090</v>
      </c>
    </row>
    <row r="102" customFormat="false" ht="57.45" hidden="false" customHeight="false" outlineLevel="0" collapsed="false">
      <c r="A102" s="73" t="s">
        <v>530</v>
      </c>
      <c r="B102" s="73" t="s">
        <v>9091</v>
      </c>
      <c r="C102" s="73" t="s">
        <v>9092</v>
      </c>
      <c r="D102" s="73" t="s">
        <v>9093</v>
      </c>
      <c r="E102" s="73" t="s">
        <v>9094</v>
      </c>
      <c r="F102" s="73" t="s">
        <v>3643</v>
      </c>
      <c r="G102" s="73" t="s">
        <v>9095</v>
      </c>
      <c r="H102" s="73" t="s">
        <v>9096</v>
      </c>
    </row>
    <row r="103" customFormat="false" ht="57.45" hidden="false" customHeight="false" outlineLevel="0" collapsed="false">
      <c r="A103" s="75" t="s">
        <v>535</v>
      </c>
      <c r="B103" s="75" t="s">
        <v>9097</v>
      </c>
      <c r="C103" s="75" t="s">
        <v>9098</v>
      </c>
      <c r="D103" s="75" t="s">
        <v>9099</v>
      </c>
      <c r="E103" s="75" t="s">
        <v>9100</v>
      </c>
      <c r="F103" s="75" t="s">
        <v>3643</v>
      </c>
      <c r="G103" s="75" t="s">
        <v>9101</v>
      </c>
      <c r="H103" s="75"/>
    </row>
    <row r="104" customFormat="false" ht="57.45" hidden="false" customHeight="false" outlineLevel="0" collapsed="false">
      <c r="A104" s="73" t="s">
        <v>542</v>
      </c>
      <c r="B104" s="73" t="s">
        <v>9102</v>
      </c>
      <c r="C104" s="73" t="s">
        <v>9103</v>
      </c>
      <c r="D104" s="73" t="s">
        <v>9104</v>
      </c>
      <c r="E104" s="73" t="s">
        <v>9105</v>
      </c>
      <c r="F104" s="73" t="s">
        <v>9106</v>
      </c>
      <c r="G104" s="73" t="s">
        <v>9107</v>
      </c>
      <c r="H104" s="73" t="s">
        <v>9108</v>
      </c>
    </row>
    <row r="105" customFormat="false" ht="68.65" hidden="false" customHeight="false" outlineLevel="0" collapsed="false">
      <c r="A105" s="75" t="s">
        <v>546</v>
      </c>
      <c r="B105" s="75" t="s">
        <v>9109</v>
      </c>
      <c r="C105" s="75" t="s">
        <v>9110</v>
      </c>
      <c r="D105" s="75" t="s">
        <v>9111</v>
      </c>
      <c r="E105" s="75" t="s">
        <v>9112</v>
      </c>
      <c r="F105" s="75" t="s">
        <v>3643</v>
      </c>
      <c r="G105" s="75" t="s">
        <v>9113</v>
      </c>
      <c r="H105" s="75" t="s">
        <v>9114</v>
      </c>
    </row>
    <row r="106" customFormat="false" ht="35.05" hidden="false" customHeight="false" outlineLevel="0" collapsed="false">
      <c r="A106" s="73" t="s">
        <v>551</v>
      </c>
      <c r="B106" s="73" t="s">
        <v>9115</v>
      </c>
      <c r="C106" s="73" t="s">
        <v>9116</v>
      </c>
      <c r="D106" s="73" t="s">
        <v>9117</v>
      </c>
      <c r="E106" s="73" t="s">
        <v>9118</v>
      </c>
      <c r="F106" s="73" t="s">
        <v>3643</v>
      </c>
      <c r="G106" s="73" t="s">
        <v>451</v>
      </c>
      <c r="H106" s="73" t="s">
        <v>9119</v>
      </c>
    </row>
    <row r="107" customFormat="false" ht="46.25" hidden="false" customHeight="false" outlineLevel="0" collapsed="false">
      <c r="A107" s="75" t="s">
        <v>556</v>
      </c>
      <c r="B107" s="75" t="s">
        <v>9120</v>
      </c>
      <c r="C107" s="75" t="s">
        <v>9121</v>
      </c>
      <c r="D107" s="75" t="s">
        <v>9122</v>
      </c>
      <c r="E107" s="75" t="s">
        <v>9123</v>
      </c>
      <c r="F107" s="75" t="s">
        <v>9124</v>
      </c>
      <c r="G107" s="75" t="s">
        <v>9125</v>
      </c>
      <c r="H107" s="75" t="s">
        <v>9126</v>
      </c>
    </row>
    <row r="108" customFormat="false" ht="46.25" hidden="false" customHeight="false" outlineLevel="0" collapsed="false">
      <c r="A108" s="73" t="s">
        <v>666</v>
      </c>
      <c r="B108" s="73" t="s">
        <v>9127</v>
      </c>
      <c r="C108" s="73" t="s">
        <v>451</v>
      </c>
      <c r="D108" s="73" t="s">
        <v>9128</v>
      </c>
      <c r="E108" s="73" t="s">
        <v>451</v>
      </c>
      <c r="F108" s="73" t="s">
        <v>7469</v>
      </c>
      <c r="G108" s="73" t="s">
        <v>9129</v>
      </c>
      <c r="H108" s="73" t="s">
        <v>9130</v>
      </c>
    </row>
    <row r="110" customFormat="false" ht="15" hidden="false" customHeight="false" outlineLevel="0" collapsed="false">
      <c r="A110" s="72" t="s">
        <v>9131</v>
      </c>
    </row>
    <row r="111" customFormat="false" ht="15" hidden="false" customHeight="false" outlineLevel="0" collapsed="false">
      <c r="A111" s="3" t="s">
        <v>1752</v>
      </c>
      <c r="B111" s="3" t="s">
        <v>640</v>
      </c>
      <c r="C111" s="3" t="s">
        <v>1754</v>
      </c>
      <c r="D111" s="3" t="s">
        <v>1838</v>
      </c>
      <c r="E111" s="3" t="s">
        <v>412</v>
      </c>
      <c r="F111" s="3" t="s">
        <v>8819</v>
      </c>
      <c r="G111" s="3" t="s">
        <v>440</v>
      </c>
    </row>
    <row r="112" customFormat="false" ht="23.85" hidden="false" customHeight="false" outlineLevel="0" collapsed="false">
      <c r="A112" s="73" t="s">
        <v>490</v>
      </c>
      <c r="B112" s="73" t="s">
        <v>1585</v>
      </c>
      <c r="C112" s="73" t="s">
        <v>9132</v>
      </c>
      <c r="D112" s="73" t="s">
        <v>8823</v>
      </c>
      <c r="E112" s="73" t="s">
        <v>7105</v>
      </c>
      <c r="F112" s="73" t="s">
        <v>550</v>
      </c>
      <c r="G112" s="73" t="s">
        <v>9133</v>
      </c>
    </row>
    <row r="113" customFormat="false" ht="23.85" hidden="false" customHeight="false" outlineLevel="0" collapsed="false">
      <c r="A113" s="75" t="s">
        <v>496</v>
      </c>
      <c r="B113" s="75" t="s">
        <v>9134</v>
      </c>
      <c r="C113" s="75" t="s">
        <v>9135</v>
      </c>
      <c r="D113" s="75" t="s">
        <v>8823</v>
      </c>
      <c r="E113" s="75" t="s">
        <v>7105</v>
      </c>
      <c r="F113" s="75" t="s">
        <v>9136</v>
      </c>
      <c r="G113" s="75" t="s">
        <v>9137</v>
      </c>
    </row>
    <row r="114" customFormat="false" ht="23.85" hidden="false" customHeight="false" outlineLevel="0" collapsed="false">
      <c r="A114" s="73" t="s">
        <v>502</v>
      </c>
      <c r="B114" s="73" t="s">
        <v>9134</v>
      </c>
      <c r="C114" s="73" t="s">
        <v>9138</v>
      </c>
      <c r="D114" s="73" t="s">
        <v>8823</v>
      </c>
      <c r="E114" s="73" t="s">
        <v>7105</v>
      </c>
      <c r="F114" s="73" t="s">
        <v>9136</v>
      </c>
      <c r="G114" s="73" t="s">
        <v>9139</v>
      </c>
    </row>
    <row r="115" customFormat="false" ht="23.85" hidden="false" customHeight="false" outlineLevel="0" collapsed="false">
      <c r="A115" s="75" t="s">
        <v>507</v>
      </c>
      <c r="B115" s="75" t="s">
        <v>9134</v>
      </c>
      <c r="C115" s="75" t="s">
        <v>9140</v>
      </c>
      <c r="D115" s="75" t="s">
        <v>8823</v>
      </c>
      <c r="E115" s="75" t="s">
        <v>7105</v>
      </c>
      <c r="F115" s="75" t="s">
        <v>9136</v>
      </c>
      <c r="G115" s="75" t="s">
        <v>9141</v>
      </c>
    </row>
    <row r="116" customFormat="false" ht="23.85" hidden="false" customHeight="false" outlineLevel="0" collapsed="false">
      <c r="A116" s="73" t="s">
        <v>511</v>
      </c>
      <c r="B116" s="73" t="s">
        <v>545</v>
      </c>
      <c r="C116" s="73" t="s">
        <v>9142</v>
      </c>
      <c r="D116" s="73" t="s">
        <v>3820</v>
      </c>
      <c r="E116" s="73" t="s">
        <v>7105</v>
      </c>
      <c r="F116" s="73" t="s">
        <v>9143</v>
      </c>
      <c r="G116" s="73" t="s">
        <v>9144</v>
      </c>
    </row>
    <row r="117" customFormat="false" ht="23.85" hidden="false" customHeight="false" outlineLevel="0" collapsed="false">
      <c r="A117" s="75" t="s">
        <v>516</v>
      </c>
      <c r="B117" s="75" t="s">
        <v>9145</v>
      </c>
      <c r="C117" s="75" t="s">
        <v>9146</v>
      </c>
      <c r="D117" s="75" t="s">
        <v>8823</v>
      </c>
      <c r="E117" s="75" t="s">
        <v>7105</v>
      </c>
      <c r="F117" s="75" t="s">
        <v>9147</v>
      </c>
      <c r="G117" s="75" t="s">
        <v>9148</v>
      </c>
    </row>
    <row r="118" customFormat="false" ht="23.85" hidden="false" customHeight="false" outlineLevel="0" collapsed="false">
      <c r="A118" s="73" t="s">
        <v>519</v>
      </c>
      <c r="B118" s="73" t="s">
        <v>9145</v>
      </c>
      <c r="C118" s="73" t="s">
        <v>9149</v>
      </c>
      <c r="D118" s="73" t="s">
        <v>8823</v>
      </c>
      <c r="E118" s="73" t="s">
        <v>7105</v>
      </c>
      <c r="F118" s="73" t="s">
        <v>9147</v>
      </c>
      <c r="G118" s="73" t="s">
        <v>9150</v>
      </c>
    </row>
    <row r="119" customFormat="false" ht="23.85" hidden="false" customHeight="false" outlineLevel="0" collapsed="false">
      <c r="A119" s="75" t="s">
        <v>523</v>
      </c>
      <c r="B119" s="75" t="s">
        <v>9145</v>
      </c>
      <c r="C119" s="75" t="s">
        <v>9151</v>
      </c>
      <c r="D119" s="75" t="s">
        <v>8823</v>
      </c>
      <c r="E119" s="75" t="s">
        <v>7105</v>
      </c>
      <c r="F119" s="75" t="s">
        <v>9147</v>
      </c>
      <c r="G119" s="75" t="s">
        <v>9152</v>
      </c>
    </row>
    <row r="120" customFormat="false" ht="23.85" hidden="false" customHeight="false" outlineLevel="0" collapsed="false">
      <c r="A120" s="73" t="s">
        <v>530</v>
      </c>
      <c r="B120" s="73" t="s">
        <v>9145</v>
      </c>
      <c r="C120" s="73" t="s">
        <v>9153</v>
      </c>
      <c r="D120" s="73" t="s">
        <v>8823</v>
      </c>
      <c r="E120" s="73" t="s">
        <v>7105</v>
      </c>
      <c r="F120" s="73" t="s">
        <v>9147</v>
      </c>
      <c r="G120" s="73"/>
    </row>
    <row r="121" customFormat="false" ht="23.85" hidden="false" customHeight="false" outlineLevel="0" collapsed="false">
      <c r="A121" s="75" t="s">
        <v>535</v>
      </c>
      <c r="B121" s="75" t="s">
        <v>3662</v>
      </c>
      <c r="C121" s="75" t="s">
        <v>9154</v>
      </c>
      <c r="D121" s="75" t="s">
        <v>3820</v>
      </c>
      <c r="E121" s="75" t="s">
        <v>7105</v>
      </c>
      <c r="F121" s="75" t="s">
        <v>9147</v>
      </c>
      <c r="G121" s="75" t="s">
        <v>9155</v>
      </c>
    </row>
    <row r="122" customFormat="false" ht="23.85" hidden="false" customHeight="false" outlineLevel="0" collapsed="false">
      <c r="A122" s="73" t="s">
        <v>542</v>
      </c>
      <c r="B122" s="73" t="s">
        <v>9156</v>
      </c>
      <c r="C122" s="73" t="s">
        <v>9157</v>
      </c>
      <c r="D122" s="73" t="s">
        <v>8834</v>
      </c>
      <c r="E122" s="73" t="s">
        <v>7105</v>
      </c>
      <c r="F122" s="73" t="s">
        <v>9147</v>
      </c>
      <c r="G122" s="73" t="s">
        <v>9158</v>
      </c>
    </row>
    <row r="123" customFormat="false" ht="23.85" hidden="false" customHeight="false" outlineLevel="0" collapsed="false">
      <c r="A123" s="75" t="s">
        <v>546</v>
      </c>
      <c r="B123" s="75" t="s">
        <v>4234</v>
      </c>
      <c r="C123" s="75" t="s">
        <v>9159</v>
      </c>
      <c r="D123" s="75" t="s">
        <v>3853</v>
      </c>
      <c r="E123" s="75" t="s">
        <v>7105</v>
      </c>
      <c r="F123" s="75" t="s">
        <v>9160</v>
      </c>
      <c r="G123" s="75" t="s">
        <v>9161</v>
      </c>
    </row>
    <row r="124" customFormat="false" ht="23.85" hidden="false" customHeight="false" outlineLevel="0" collapsed="false">
      <c r="A124" s="73" t="s">
        <v>551</v>
      </c>
      <c r="B124" s="73" t="s">
        <v>6369</v>
      </c>
      <c r="C124" s="73" t="s">
        <v>9162</v>
      </c>
      <c r="D124" s="73" t="s">
        <v>3853</v>
      </c>
      <c r="E124" s="73" t="s">
        <v>7105</v>
      </c>
      <c r="F124" s="73" t="s">
        <v>9163</v>
      </c>
      <c r="G124" s="73" t="s">
        <v>9164</v>
      </c>
    </row>
    <row r="125" customFormat="false" ht="23.85" hidden="false" customHeight="false" outlineLevel="0" collapsed="false">
      <c r="A125" s="75" t="s">
        <v>556</v>
      </c>
      <c r="B125" s="75" t="s">
        <v>7557</v>
      </c>
      <c r="C125" s="75" t="s">
        <v>9165</v>
      </c>
      <c r="D125" s="75" t="s">
        <v>8881</v>
      </c>
      <c r="E125" s="75" t="s">
        <v>7105</v>
      </c>
      <c r="F125" s="75" t="s">
        <v>9166</v>
      </c>
      <c r="G125" s="75" t="s">
        <v>9167</v>
      </c>
    </row>
    <row r="126" customFormat="false" ht="15" hidden="false" customHeight="false" outlineLevel="0" collapsed="false">
      <c r="A126" s="73" t="s">
        <v>666</v>
      </c>
      <c r="B126" s="73" t="s">
        <v>8968</v>
      </c>
      <c r="C126" s="73" t="s">
        <v>9168</v>
      </c>
      <c r="D126" s="73" t="s">
        <v>8985</v>
      </c>
      <c r="E126" s="73" t="s">
        <v>7105</v>
      </c>
      <c r="F126" s="73" t="s">
        <v>9169</v>
      </c>
      <c r="G126" s="73"/>
    </row>
    <row r="128" customFormat="false" ht="15" hidden="false" customHeight="false" outlineLevel="0" collapsed="false">
      <c r="A128" s="72" t="s">
        <v>9170</v>
      </c>
    </row>
    <row r="129" customFormat="false" ht="15" hidden="false" customHeight="false" outlineLevel="0" collapsed="false">
      <c r="A129" s="3" t="s">
        <v>509</v>
      </c>
      <c r="B129" s="3" t="s">
        <v>566</v>
      </c>
      <c r="C129" s="3" t="s">
        <v>458</v>
      </c>
      <c r="D129" s="3" t="s">
        <v>715</v>
      </c>
      <c r="E129" s="3" t="s">
        <v>5332</v>
      </c>
      <c r="F129" s="3" t="s">
        <v>1847</v>
      </c>
      <c r="G129" s="3" t="s">
        <v>9171</v>
      </c>
    </row>
    <row r="130" customFormat="false" ht="35.05" hidden="false" customHeight="false" outlineLevel="0" collapsed="false">
      <c r="A130" s="73" t="s">
        <v>1790</v>
      </c>
      <c r="B130" s="73" t="s">
        <v>8917</v>
      </c>
      <c r="C130" s="73" t="s">
        <v>9172</v>
      </c>
      <c r="D130" s="73" t="s">
        <v>9173</v>
      </c>
      <c r="E130" s="73" t="s">
        <v>9174</v>
      </c>
      <c r="F130" s="73" t="s">
        <v>9175</v>
      </c>
      <c r="G130" s="73" t="s">
        <v>9176</v>
      </c>
    </row>
    <row r="131" customFormat="false" ht="35.05" hidden="false" customHeight="false" outlineLevel="0" collapsed="false">
      <c r="A131" s="75" t="s">
        <v>1790</v>
      </c>
      <c r="B131" s="75" t="s">
        <v>9177</v>
      </c>
      <c r="C131" s="75" t="s">
        <v>9178</v>
      </c>
      <c r="D131" s="75" t="s">
        <v>9179</v>
      </c>
      <c r="E131" s="75" t="s">
        <v>9180</v>
      </c>
      <c r="F131" s="75" t="s">
        <v>9181</v>
      </c>
      <c r="G131" s="75" t="s">
        <v>9182</v>
      </c>
    </row>
    <row r="132" customFormat="false" ht="35.05" hidden="false" customHeight="false" outlineLevel="0" collapsed="false">
      <c r="A132" s="73" t="s">
        <v>1780</v>
      </c>
      <c r="B132" s="73" t="s">
        <v>9183</v>
      </c>
      <c r="C132" s="73" t="s">
        <v>9184</v>
      </c>
      <c r="D132" s="73" t="s">
        <v>9185</v>
      </c>
      <c r="E132" s="73" t="s">
        <v>9186</v>
      </c>
      <c r="F132" s="73" t="s">
        <v>9187</v>
      </c>
      <c r="G132" s="73" t="s">
        <v>5673</v>
      </c>
    </row>
    <row r="133" customFormat="false" ht="35.05" hidden="false" customHeight="false" outlineLevel="0" collapsed="false">
      <c r="A133" s="75" t="s">
        <v>1780</v>
      </c>
      <c r="B133" s="75" t="s">
        <v>9188</v>
      </c>
      <c r="C133" s="75" t="s">
        <v>9189</v>
      </c>
      <c r="D133" s="75" t="s">
        <v>9190</v>
      </c>
      <c r="E133" s="75" t="s">
        <v>9191</v>
      </c>
      <c r="F133" s="75" t="s">
        <v>9192</v>
      </c>
      <c r="G133" s="75" t="s">
        <v>9193</v>
      </c>
    </row>
    <row r="134" customFormat="false" ht="23.85" hidden="false" customHeight="false" outlineLevel="0" collapsed="false">
      <c r="A134" s="73" t="s">
        <v>5684</v>
      </c>
      <c r="B134" s="73" t="s">
        <v>9194</v>
      </c>
      <c r="C134" s="73" t="s">
        <v>9195</v>
      </c>
      <c r="D134" s="73" t="s">
        <v>9196</v>
      </c>
      <c r="E134" s="73" t="s">
        <v>9197</v>
      </c>
      <c r="F134" s="73" t="s">
        <v>9198</v>
      </c>
      <c r="G134" s="73" t="s">
        <v>9199</v>
      </c>
    </row>
    <row r="135" customFormat="false" ht="23.85" hidden="false" customHeight="false" outlineLevel="0" collapsed="false">
      <c r="A135" s="75" t="s">
        <v>5684</v>
      </c>
      <c r="B135" s="75" t="s">
        <v>9200</v>
      </c>
      <c r="C135" s="75" t="s">
        <v>9201</v>
      </c>
      <c r="D135" s="75" t="s">
        <v>9202</v>
      </c>
      <c r="E135" s="75" t="s">
        <v>9203</v>
      </c>
      <c r="F135" s="75" t="s">
        <v>9204</v>
      </c>
      <c r="G135" s="75" t="s">
        <v>9205</v>
      </c>
    </row>
    <row r="136" customFormat="false" ht="23.85" hidden="false" customHeight="false" outlineLevel="0" collapsed="false">
      <c r="A136" s="73" t="s">
        <v>5684</v>
      </c>
      <c r="B136" s="73" t="s">
        <v>9206</v>
      </c>
      <c r="C136" s="73" t="s">
        <v>9207</v>
      </c>
      <c r="D136" s="73" t="s">
        <v>9208</v>
      </c>
      <c r="E136" s="73" t="s">
        <v>451</v>
      </c>
      <c r="F136" s="73" t="s">
        <v>451</v>
      </c>
      <c r="G136" s="73" t="s">
        <v>9209</v>
      </c>
    </row>
    <row r="137" customFormat="false" ht="23.85" hidden="false" customHeight="false" outlineLevel="0" collapsed="false">
      <c r="A137" s="75" t="s">
        <v>5693</v>
      </c>
      <c r="B137" s="75" t="s">
        <v>9210</v>
      </c>
      <c r="C137" s="75" t="s">
        <v>9211</v>
      </c>
      <c r="D137" s="75" t="s">
        <v>9212</v>
      </c>
      <c r="E137" s="75" t="s">
        <v>9213</v>
      </c>
      <c r="F137" s="75" t="s">
        <v>9214</v>
      </c>
      <c r="G137" s="75" t="s">
        <v>9215</v>
      </c>
    </row>
    <row r="138" customFormat="false" ht="23.85" hidden="false" customHeight="false" outlineLevel="0" collapsed="false">
      <c r="A138" s="73" t="s">
        <v>5693</v>
      </c>
      <c r="B138" s="73" t="s">
        <v>8986</v>
      </c>
      <c r="C138" s="73" t="s">
        <v>9216</v>
      </c>
      <c r="D138" s="73" t="s">
        <v>9217</v>
      </c>
      <c r="E138" s="73" t="s">
        <v>9217</v>
      </c>
      <c r="F138" s="73" t="s">
        <v>9217</v>
      </c>
      <c r="G138" s="73" t="s">
        <v>9218</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7.35" hidden="false" customHeight="false" outlineLevel="0" collapsed="false">
      <c r="A1" s="273" t="s">
        <v>9219</v>
      </c>
      <c r="B1" s="273"/>
      <c r="C1" s="273"/>
      <c r="D1" s="273"/>
      <c r="E1" s="273"/>
      <c r="F1" s="273"/>
      <c r="G1" s="273"/>
    </row>
    <row r="3" customFormat="false" ht="52.2" hidden="false" customHeight="false" outlineLevel="0" collapsed="false">
      <c r="A3" s="3" t="s">
        <v>638</v>
      </c>
      <c r="B3" s="3" t="s">
        <v>9220</v>
      </c>
      <c r="C3" s="3" t="s">
        <v>9221</v>
      </c>
      <c r="D3" s="3" t="s">
        <v>9222</v>
      </c>
      <c r="E3" s="3" t="s">
        <v>9223</v>
      </c>
      <c r="F3" s="3" t="s">
        <v>9224</v>
      </c>
      <c r="G3" s="3" t="s">
        <v>9225</v>
      </c>
      <c r="H3" s="3" t="s">
        <v>9226</v>
      </c>
    </row>
    <row r="4" customFormat="false" ht="102.2" hidden="false" customHeight="false" outlineLevel="0" collapsed="false">
      <c r="A4" s="117" t="n">
        <v>1</v>
      </c>
      <c r="B4" s="182" t="s">
        <v>9227</v>
      </c>
      <c r="C4" s="182" t="s">
        <v>9228</v>
      </c>
      <c r="D4" s="182" t="s">
        <v>9229</v>
      </c>
      <c r="E4" s="182" t="s">
        <v>9230</v>
      </c>
      <c r="F4" s="182" t="s">
        <v>9231</v>
      </c>
      <c r="G4" s="182" t="s">
        <v>9232</v>
      </c>
      <c r="H4" s="182" t="s">
        <v>9233</v>
      </c>
    </row>
    <row r="5" customFormat="false" ht="113.4" hidden="false" customHeight="false" outlineLevel="0" collapsed="false">
      <c r="A5" s="117" t="n">
        <v>2</v>
      </c>
      <c r="B5" s="182" t="s">
        <v>9234</v>
      </c>
      <c r="C5" s="182" t="s">
        <v>9235</v>
      </c>
      <c r="D5" s="182" t="s">
        <v>9236</v>
      </c>
      <c r="E5" s="182" t="s">
        <v>9237</v>
      </c>
      <c r="F5" s="182" t="s">
        <v>9238</v>
      </c>
      <c r="G5" s="182" t="s">
        <v>9228</v>
      </c>
      <c r="H5" s="182" t="s">
        <v>9239</v>
      </c>
    </row>
    <row r="6" customFormat="false" ht="113.4" hidden="false" customHeight="false" outlineLevel="0" collapsed="false">
      <c r="A6" s="117" t="n">
        <v>3</v>
      </c>
      <c r="B6" s="182" t="s">
        <v>9234</v>
      </c>
      <c r="C6" s="182" t="s">
        <v>2451</v>
      </c>
      <c r="D6" s="182" t="s">
        <v>9240</v>
      </c>
      <c r="E6" s="182" t="s">
        <v>9241</v>
      </c>
      <c r="F6" s="182" t="s">
        <v>9242</v>
      </c>
      <c r="G6" s="182" t="s">
        <v>9228</v>
      </c>
      <c r="H6" s="182" t="s">
        <v>9239</v>
      </c>
    </row>
    <row r="7" customFormat="false" ht="124.6" hidden="false" customHeight="false" outlineLevel="0" collapsed="false">
      <c r="A7" s="117" t="n">
        <v>4</v>
      </c>
      <c r="B7" s="182" t="s">
        <v>9234</v>
      </c>
      <c r="C7" s="182" t="s">
        <v>9243</v>
      </c>
      <c r="D7" s="182" t="s">
        <v>9244</v>
      </c>
      <c r="E7" s="182" t="s">
        <v>9245</v>
      </c>
      <c r="F7" s="182" t="s">
        <v>9246</v>
      </c>
      <c r="G7" s="182" t="s">
        <v>9228</v>
      </c>
      <c r="H7" s="182" t="s">
        <v>9247</v>
      </c>
    </row>
    <row r="8" customFormat="false" ht="79.85" hidden="false" customHeight="false" outlineLevel="0" collapsed="false">
      <c r="A8" s="117" t="n">
        <v>5</v>
      </c>
      <c r="B8" s="182" t="s">
        <v>9234</v>
      </c>
      <c r="C8" s="182" t="s">
        <v>9248</v>
      </c>
      <c r="D8" s="182" t="s">
        <v>9249</v>
      </c>
      <c r="E8" s="182" t="s">
        <v>9250</v>
      </c>
      <c r="F8" s="182" t="s">
        <v>9251</v>
      </c>
      <c r="G8" s="182" t="s">
        <v>9252</v>
      </c>
      <c r="H8" s="182" t="s">
        <v>9253</v>
      </c>
    </row>
    <row r="9" customFormat="false" ht="102.2" hidden="false" customHeight="false" outlineLevel="0" collapsed="false">
      <c r="A9" s="117" t="n">
        <v>6</v>
      </c>
      <c r="B9" s="182" t="s">
        <v>9234</v>
      </c>
      <c r="C9" s="182" t="s">
        <v>9254</v>
      </c>
      <c r="D9" s="182" t="s">
        <v>9255</v>
      </c>
      <c r="E9" s="182" t="s">
        <v>9256</v>
      </c>
      <c r="F9" s="182" t="s">
        <v>9257</v>
      </c>
      <c r="G9" s="182" t="s">
        <v>9228</v>
      </c>
      <c r="H9" s="182" t="s">
        <v>9258</v>
      </c>
    </row>
    <row r="10" customFormat="false" ht="102.2" hidden="false" customHeight="false" outlineLevel="0" collapsed="false">
      <c r="A10" s="117" t="n">
        <v>7</v>
      </c>
      <c r="B10" s="182" t="s">
        <v>9234</v>
      </c>
      <c r="C10" s="182" t="s">
        <v>9259</v>
      </c>
      <c r="D10" s="182" t="s">
        <v>9260</v>
      </c>
      <c r="E10" s="182" t="s">
        <v>9261</v>
      </c>
      <c r="F10" s="182" t="s">
        <v>9262</v>
      </c>
      <c r="G10" s="182" t="s">
        <v>9228</v>
      </c>
      <c r="H10" s="182" t="s">
        <v>9263</v>
      </c>
    </row>
    <row r="11" customFormat="false" ht="113.4" hidden="false" customHeight="false" outlineLevel="0" collapsed="false">
      <c r="A11" s="117" t="n">
        <v>8</v>
      </c>
      <c r="B11" s="182" t="s">
        <v>9234</v>
      </c>
      <c r="C11" s="182" t="s">
        <v>9264</v>
      </c>
      <c r="D11" s="182" t="s">
        <v>9265</v>
      </c>
      <c r="E11" s="182" t="s">
        <v>9266</v>
      </c>
      <c r="F11" s="182" t="s">
        <v>9267</v>
      </c>
      <c r="G11" s="182" t="s">
        <v>3650</v>
      </c>
      <c r="H11" s="182" t="s">
        <v>9268</v>
      </c>
    </row>
    <row r="12" customFormat="false" ht="113.4" hidden="false" customHeight="false" outlineLevel="0" collapsed="false">
      <c r="A12" s="117" t="n">
        <v>9</v>
      </c>
      <c r="B12" s="182" t="s">
        <v>9234</v>
      </c>
      <c r="C12" s="182" t="s">
        <v>9269</v>
      </c>
      <c r="D12" s="182" t="s">
        <v>9265</v>
      </c>
      <c r="E12" s="182" t="s">
        <v>9266</v>
      </c>
      <c r="F12" s="182" t="s">
        <v>9267</v>
      </c>
      <c r="G12" s="182" t="s">
        <v>3650</v>
      </c>
      <c r="H12" s="182" t="s">
        <v>9268</v>
      </c>
    </row>
    <row r="13" customFormat="false" ht="113.4" hidden="false" customHeight="false" outlineLevel="0" collapsed="false">
      <c r="A13" s="117" t="n">
        <v>10</v>
      </c>
      <c r="B13" s="182" t="s">
        <v>9234</v>
      </c>
      <c r="C13" s="182" t="s">
        <v>9270</v>
      </c>
      <c r="D13" s="182" t="s">
        <v>9265</v>
      </c>
      <c r="E13" s="182" t="s">
        <v>9266</v>
      </c>
      <c r="F13" s="182" t="s">
        <v>9267</v>
      </c>
      <c r="G13" s="182" t="s">
        <v>3650</v>
      </c>
      <c r="H13" s="182" t="s">
        <v>9268</v>
      </c>
    </row>
    <row r="14" customFormat="false" ht="102.2" hidden="false" customHeight="false" outlineLevel="0" collapsed="false">
      <c r="A14" s="117" t="n">
        <v>11</v>
      </c>
      <c r="B14" s="182" t="s">
        <v>9234</v>
      </c>
      <c r="C14" s="182" t="s">
        <v>9271</v>
      </c>
      <c r="D14" s="182" t="s">
        <v>9272</v>
      </c>
      <c r="E14" s="182" t="s">
        <v>9273</v>
      </c>
      <c r="F14" s="182" t="s">
        <v>9274</v>
      </c>
      <c r="G14" s="182" t="s">
        <v>9228</v>
      </c>
      <c r="H14" s="182" t="s">
        <v>9258</v>
      </c>
    </row>
    <row r="15" customFormat="false" ht="113.4" hidden="false" customHeight="false" outlineLevel="0" collapsed="false">
      <c r="A15" s="117" t="n">
        <v>12</v>
      </c>
      <c r="B15" s="182" t="s">
        <v>9234</v>
      </c>
      <c r="C15" s="182" t="s">
        <v>9275</v>
      </c>
      <c r="D15" s="182" t="s">
        <v>9276</v>
      </c>
      <c r="E15" s="182" t="s">
        <v>9277</v>
      </c>
      <c r="F15" s="182" t="s">
        <v>9278</v>
      </c>
      <c r="G15" s="182" t="s">
        <v>9228</v>
      </c>
      <c r="H15" s="182" t="s">
        <v>9279</v>
      </c>
    </row>
    <row r="16" customFormat="false" ht="102.2" hidden="false" customHeight="false" outlineLevel="0" collapsed="false">
      <c r="A16" s="117" t="n">
        <v>13</v>
      </c>
      <c r="B16" s="182" t="s">
        <v>9234</v>
      </c>
      <c r="C16" s="182" t="s">
        <v>9280</v>
      </c>
      <c r="D16" s="182" t="s">
        <v>9281</v>
      </c>
      <c r="E16" s="182" t="s">
        <v>9282</v>
      </c>
      <c r="F16" s="182" t="s">
        <v>9283</v>
      </c>
      <c r="G16" s="182" t="s">
        <v>9228</v>
      </c>
      <c r="H16" s="182" t="s">
        <v>9284</v>
      </c>
    </row>
    <row r="17" customFormat="false" ht="102.2" hidden="false" customHeight="false" outlineLevel="0" collapsed="false">
      <c r="A17" s="117" t="n">
        <v>14</v>
      </c>
      <c r="B17" s="182" t="s">
        <v>9234</v>
      </c>
      <c r="C17" s="182" t="s">
        <v>3650</v>
      </c>
      <c r="D17" s="182" t="s">
        <v>9285</v>
      </c>
      <c r="E17" s="182" t="s">
        <v>9286</v>
      </c>
      <c r="F17" s="182" t="s">
        <v>9287</v>
      </c>
      <c r="G17" s="182" t="s">
        <v>9228</v>
      </c>
      <c r="H17" s="182" t="s">
        <v>9288</v>
      </c>
    </row>
    <row r="18" customFormat="false" ht="113.4" hidden="false" customHeight="false" outlineLevel="0" collapsed="false">
      <c r="A18" s="117" t="n">
        <v>15</v>
      </c>
      <c r="B18" s="182" t="s">
        <v>9234</v>
      </c>
      <c r="C18" s="182" t="s">
        <v>9289</v>
      </c>
      <c r="D18" s="182" t="s">
        <v>9290</v>
      </c>
      <c r="E18" s="182" t="s">
        <v>9291</v>
      </c>
      <c r="F18" s="182" t="s">
        <v>9292</v>
      </c>
      <c r="G18" s="182" t="s">
        <v>9228</v>
      </c>
      <c r="H18" s="182" t="s">
        <v>9279</v>
      </c>
    </row>
    <row r="21" customFormat="false" ht="15" hidden="false" customHeight="false" outlineLevel="0" collapsed="false">
      <c r="A21" s="78" t="s">
        <v>9293</v>
      </c>
      <c r="B21" s="78"/>
      <c r="C21" s="78"/>
      <c r="D21" s="78"/>
      <c r="E21" s="78"/>
      <c r="F21" s="78"/>
      <c r="G21" s="78"/>
      <c r="H21" s="78"/>
      <c r="I21" s="78"/>
      <c r="J21" s="78"/>
      <c r="K21" s="78"/>
    </row>
    <row r="22" customFormat="false" ht="15" hidden="false" customHeight="false" outlineLevel="0" collapsed="false">
      <c r="A22" s="1" t="s">
        <v>9294</v>
      </c>
    </row>
    <row r="24" customFormat="false" ht="39.55" hidden="false" customHeight="false" outlineLevel="0" collapsed="false">
      <c r="A24" s="3" t="s">
        <v>9295</v>
      </c>
      <c r="B24" s="3" t="s">
        <v>9296</v>
      </c>
      <c r="C24" s="3" t="s">
        <v>9297</v>
      </c>
      <c r="D24" s="3" t="s">
        <v>9298</v>
      </c>
      <c r="E24" s="3" t="s">
        <v>606</v>
      </c>
      <c r="F24" s="3" t="s">
        <v>9299</v>
      </c>
      <c r="G24" s="3" t="s">
        <v>9300</v>
      </c>
      <c r="H24" s="3" t="s">
        <v>9301</v>
      </c>
      <c r="I24" s="3" t="s">
        <v>9302</v>
      </c>
      <c r="J24" s="3" t="s">
        <v>7913</v>
      </c>
      <c r="K24" s="3" t="s">
        <v>1151</v>
      </c>
      <c r="L24" s="3" t="s">
        <v>1903</v>
      </c>
    </row>
    <row r="25" customFormat="false" ht="35.05" hidden="false" customHeight="false" outlineLevel="0" collapsed="false">
      <c r="A25" s="8" t="s">
        <v>9303</v>
      </c>
      <c r="B25" s="117" t="s">
        <v>568</v>
      </c>
      <c r="C25" s="117" t="s">
        <v>568</v>
      </c>
      <c r="D25" s="117" t="s">
        <v>568</v>
      </c>
      <c r="E25" s="117" t="s">
        <v>592</v>
      </c>
      <c r="F25" s="117" t="s">
        <v>592</v>
      </c>
      <c r="G25" s="117" t="s">
        <v>568</v>
      </c>
      <c r="H25" s="117" t="s">
        <v>592</v>
      </c>
      <c r="I25" s="117" t="s">
        <v>559</v>
      </c>
      <c r="J25" s="117" t="s">
        <v>592</v>
      </c>
      <c r="K25" s="117" t="s">
        <v>592</v>
      </c>
      <c r="L25" s="117" t="s">
        <v>592</v>
      </c>
    </row>
    <row r="26" customFormat="false" ht="57.45" hidden="false" customHeight="false" outlineLevel="0" collapsed="false">
      <c r="A26" s="8" t="s">
        <v>9304</v>
      </c>
      <c r="B26" s="117" t="s">
        <v>559</v>
      </c>
      <c r="C26" s="117" t="s">
        <v>592</v>
      </c>
      <c r="D26" s="117" t="s">
        <v>592</v>
      </c>
      <c r="E26" s="117" t="s">
        <v>568</v>
      </c>
      <c r="F26" s="117" t="s">
        <v>592</v>
      </c>
      <c r="G26" s="117" t="s">
        <v>568</v>
      </c>
      <c r="H26" s="117" t="s">
        <v>592</v>
      </c>
      <c r="I26" s="117" t="s">
        <v>592</v>
      </c>
      <c r="J26" s="117" t="s">
        <v>568</v>
      </c>
      <c r="K26" s="117" t="s">
        <v>592</v>
      </c>
      <c r="L26" s="117" t="s">
        <v>592</v>
      </c>
    </row>
    <row r="27" customFormat="false" ht="46.25" hidden="false" customHeight="false" outlineLevel="0" collapsed="false">
      <c r="A27" s="8" t="s">
        <v>9305</v>
      </c>
      <c r="B27" s="117" t="s">
        <v>592</v>
      </c>
      <c r="C27" s="117" t="s">
        <v>559</v>
      </c>
      <c r="D27" s="117" t="s">
        <v>592</v>
      </c>
      <c r="E27" s="117" t="s">
        <v>568</v>
      </c>
      <c r="F27" s="117" t="s">
        <v>592</v>
      </c>
      <c r="G27" s="117" t="s">
        <v>568</v>
      </c>
      <c r="H27" s="117" t="s">
        <v>592</v>
      </c>
      <c r="I27" s="117" t="s">
        <v>592</v>
      </c>
      <c r="J27" s="117" t="s">
        <v>568</v>
      </c>
      <c r="K27" s="117" t="s">
        <v>592</v>
      </c>
      <c r="L27" s="117" t="s">
        <v>592</v>
      </c>
    </row>
    <row r="28" customFormat="false" ht="35.05" hidden="false" customHeight="false" outlineLevel="0" collapsed="false">
      <c r="A28" s="8" t="s">
        <v>9306</v>
      </c>
      <c r="B28" s="117" t="s">
        <v>592</v>
      </c>
      <c r="C28" s="117" t="s">
        <v>592</v>
      </c>
      <c r="D28" s="117" t="s">
        <v>559</v>
      </c>
      <c r="E28" s="117" t="s">
        <v>6413</v>
      </c>
      <c r="F28" s="117" t="s">
        <v>592</v>
      </c>
      <c r="G28" s="117" t="s">
        <v>568</v>
      </c>
      <c r="H28" s="117" t="s">
        <v>592</v>
      </c>
      <c r="I28" s="117" t="s">
        <v>592</v>
      </c>
      <c r="J28" s="117" t="s">
        <v>568</v>
      </c>
      <c r="K28" s="117" t="s">
        <v>592</v>
      </c>
      <c r="L28" s="117" t="s">
        <v>568</v>
      </c>
    </row>
    <row r="29" customFormat="false" ht="23.85" hidden="false" customHeight="false" outlineLevel="0" collapsed="false">
      <c r="A29" s="8" t="s">
        <v>9307</v>
      </c>
      <c r="B29" s="117" t="s">
        <v>592</v>
      </c>
      <c r="C29" s="117" t="s">
        <v>568</v>
      </c>
      <c r="D29" s="117" t="s">
        <v>6413</v>
      </c>
      <c r="E29" s="117" t="s">
        <v>559</v>
      </c>
      <c r="F29" s="117" t="s">
        <v>592</v>
      </c>
      <c r="G29" s="117" t="s">
        <v>592</v>
      </c>
      <c r="H29" s="117" t="s">
        <v>592</v>
      </c>
      <c r="I29" s="117" t="s">
        <v>592</v>
      </c>
      <c r="J29" s="117" t="s">
        <v>592</v>
      </c>
      <c r="K29" s="117" t="s">
        <v>568</v>
      </c>
      <c r="L29" s="117" t="s">
        <v>559</v>
      </c>
    </row>
    <row r="30" customFormat="false" ht="46.25" hidden="false" customHeight="false" outlineLevel="0" collapsed="false">
      <c r="A30" s="8" t="s">
        <v>9308</v>
      </c>
      <c r="B30" s="117" t="s">
        <v>592</v>
      </c>
      <c r="C30" s="117" t="s">
        <v>592</v>
      </c>
      <c r="D30" s="117" t="s">
        <v>592</v>
      </c>
      <c r="E30" s="117" t="s">
        <v>592</v>
      </c>
      <c r="F30" s="117" t="s">
        <v>559</v>
      </c>
      <c r="G30" s="117" t="s">
        <v>568</v>
      </c>
      <c r="H30" s="117" t="s">
        <v>592</v>
      </c>
      <c r="I30" s="117" t="s">
        <v>568</v>
      </c>
      <c r="J30" s="117" t="s">
        <v>592</v>
      </c>
      <c r="K30" s="117" t="s">
        <v>592</v>
      </c>
      <c r="L30" s="117" t="s">
        <v>592</v>
      </c>
    </row>
    <row r="31" customFormat="false" ht="46.25" hidden="false" customHeight="false" outlineLevel="0" collapsed="false">
      <c r="A31" s="8" t="s">
        <v>9309</v>
      </c>
      <c r="B31" s="117" t="s">
        <v>592</v>
      </c>
      <c r="C31" s="117" t="s">
        <v>592</v>
      </c>
      <c r="D31" s="117" t="s">
        <v>592</v>
      </c>
      <c r="E31" s="117" t="s">
        <v>592</v>
      </c>
      <c r="F31" s="117" t="s">
        <v>559</v>
      </c>
      <c r="G31" s="117" t="s">
        <v>568</v>
      </c>
      <c r="H31" s="117" t="s">
        <v>592</v>
      </c>
      <c r="I31" s="117" t="s">
        <v>568</v>
      </c>
      <c r="J31" s="117" t="s">
        <v>592</v>
      </c>
      <c r="K31" s="117" t="s">
        <v>592</v>
      </c>
      <c r="L31" s="117" t="s">
        <v>592</v>
      </c>
    </row>
    <row r="32" customFormat="false" ht="46.25" hidden="false" customHeight="false" outlineLevel="0" collapsed="false">
      <c r="A32" s="8" t="s">
        <v>9310</v>
      </c>
      <c r="B32" s="117" t="s">
        <v>592</v>
      </c>
      <c r="C32" s="117" t="s">
        <v>592</v>
      </c>
      <c r="D32" s="117" t="s">
        <v>592</v>
      </c>
      <c r="E32" s="117" t="s">
        <v>592</v>
      </c>
      <c r="F32" s="117" t="s">
        <v>568</v>
      </c>
      <c r="G32" s="117" t="s">
        <v>559</v>
      </c>
      <c r="H32" s="117" t="s">
        <v>568</v>
      </c>
      <c r="I32" s="117" t="s">
        <v>568</v>
      </c>
      <c r="J32" s="117" t="s">
        <v>592</v>
      </c>
      <c r="K32" s="117" t="s">
        <v>592</v>
      </c>
      <c r="L32" s="117" t="s">
        <v>592</v>
      </c>
    </row>
    <row r="33" customFormat="false" ht="46.25" hidden="false" customHeight="false" outlineLevel="0" collapsed="false">
      <c r="A33" s="8" t="s">
        <v>9311</v>
      </c>
      <c r="B33" s="117" t="s">
        <v>592</v>
      </c>
      <c r="C33" s="117" t="s">
        <v>592</v>
      </c>
      <c r="D33" s="117" t="s">
        <v>592</v>
      </c>
      <c r="E33" s="117" t="s">
        <v>592</v>
      </c>
      <c r="F33" s="117" t="s">
        <v>592</v>
      </c>
      <c r="G33" s="117" t="s">
        <v>559</v>
      </c>
      <c r="H33" s="117" t="s">
        <v>6413</v>
      </c>
      <c r="I33" s="117" t="s">
        <v>559</v>
      </c>
      <c r="J33" s="117" t="s">
        <v>592</v>
      </c>
      <c r="K33" s="117" t="s">
        <v>592</v>
      </c>
      <c r="L33" s="117" t="s">
        <v>592</v>
      </c>
    </row>
    <row r="34" customFormat="false" ht="57.45" hidden="false" customHeight="false" outlineLevel="0" collapsed="false">
      <c r="A34" s="8" t="s">
        <v>9312</v>
      </c>
      <c r="B34" s="117" t="s">
        <v>592</v>
      </c>
      <c r="C34" s="117" t="s">
        <v>592</v>
      </c>
      <c r="D34" s="117" t="s">
        <v>592</v>
      </c>
      <c r="E34" s="117" t="s">
        <v>592</v>
      </c>
      <c r="F34" s="117" t="s">
        <v>592</v>
      </c>
      <c r="G34" s="117" t="s">
        <v>568</v>
      </c>
      <c r="H34" s="117" t="s">
        <v>559</v>
      </c>
      <c r="I34" s="117" t="s">
        <v>559</v>
      </c>
      <c r="J34" s="117" t="s">
        <v>592</v>
      </c>
      <c r="K34" s="117" t="s">
        <v>592</v>
      </c>
      <c r="L34" s="117" t="s">
        <v>592</v>
      </c>
    </row>
    <row r="35" customFormat="false" ht="46.25" hidden="false" customHeight="false" outlineLevel="0" collapsed="false">
      <c r="A35" s="8" t="s">
        <v>9313</v>
      </c>
      <c r="B35" s="117" t="s">
        <v>592</v>
      </c>
      <c r="C35" s="117" t="s">
        <v>592</v>
      </c>
      <c r="D35" s="117" t="s">
        <v>592</v>
      </c>
      <c r="E35" s="117" t="s">
        <v>592</v>
      </c>
      <c r="F35" s="117" t="s">
        <v>592</v>
      </c>
      <c r="G35" s="117" t="s">
        <v>568</v>
      </c>
      <c r="H35" s="117" t="s">
        <v>559</v>
      </c>
      <c r="I35" s="117" t="s">
        <v>559</v>
      </c>
      <c r="J35" s="117" t="s">
        <v>592</v>
      </c>
      <c r="K35" s="117" t="s">
        <v>592</v>
      </c>
      <c r="L35" s="117" t="s">
        <v>592</v>
      </c>
    </row>
    <row r="36" customFormat="false" ht="35.05" hidden="false" customHeight="false" outlineLevel="0" collapsed="false">
      <c r="A36" s="8" t="s">
        <v>9314</v>
      </c>
      <c r="B36" s="117" t="s">
        <v>592</v>
      </c>
      <c r="C36" s="117" t="s">
        <v>592</v>
      </c>
      <c r="D36" s="117" t="s">
        <v>568</v>
      </c>
      <c r="E36" s="117" t="s">
        <v>592</v>
      </c>
      <c r="F36" s="117" t="s">
        <v>568</v>
      </c>
      <c r="G36" s="117" t="s">
        <v>6413</v>
      </c>
      <c r="H36" s="117" t="s">
        <v>568</v>
      </c>
      <c r="I36" s="117" t="s">
        <v>592</v>
      </c>
      <c r="J36" s="117" t="s">
        <v>592</v>
      </c>
      <c r="K36" s="117" t="s">
        <v>592</v>
      </c>
      <c r="L36" s="117" t="s">
        <v>592</v>
      </c>
    </row>
    <row r="37" customFormat="false" ht="35.05" hidden="false" customHeight="false" outlineLevel="0" collapsed="false">
      <c r="A37" s="8" t="s">
        <v>9315</v>
      </c>
      <c r="B37" s="117" t="s">
        <v>568</v>
      </c>
      <c r="C37" s="117" t="s">
        <v>568</v>
      </c>
      <c r="D37" s="117" t="s">
        <v>568</v>
      </c>
      <c r="E37" s="117" t="s">
        <v>592</v>
      </c>
      <c r="F37" s="117" t="s">
        <v>568</v>
      </c>
      <c r="G37" s="117" t="s">
        <v>568</v>
      </c>
      <c r="H37" s="117" t="s">
        <v>592</v>
      </c>
      <c r="I37" s="117" t="s">
        <v>592</v>
      </c>
      <c r="J37" s="117" t="s">
        <v>559</v>
      </c>
      <c r="K37" s="117" t="s">
        <v>592</v>
      </c>
      <c r="L37" s="117" t="s">
        <v>592</v>
      </c>
    </row>
    <row r="38" customFormat="false" ht="46.25" hidden="false" customHeight="false" outlineLevel="0" collapsed="false">
      <c r="A38" s="8" t="s">
        <v>9316</v>
      </c>
      <c r="B38" s="117" t="s">
        <v>592</v>
      </c>
      <c r="C38" s="117" t="s">
        <v>592</v>
      </c>
      <c r="D38" s="117" t="s">
        <v>592</v>
      </c>
      <c r="E38" s="117" t="s">
        <v>568</v>
      </c>
      <c r="F38" s="117" t="s">
        <v>568</v>
      </c>
      <c r="G38" s="117" t="s">
        <v>568</v>
      </c>
      <c r="H38" s="117" t="s">
        <v>592</v>
      </c>
      <c r="I38" s="117" t="s">
        <v>592</v>
      </c>
      <c r="J38" s="117" t="s">
        <v>592</v>
      </c>
      <c r="K38" s="117" t="s">
        <v>559</v>
      </c>
      <c r="L38" s="117" t="s">
        <v>568</v>
      </c>
    </row>
    <row r="39" customFormat="false" ht="23.85" hidden="false" customHeight="false" outlineLevel="0" collapsed="false">
      <c r="A39" s="8" t="s">
        <v>9317</v>
      </c>
      <c r="B39" s="117" t="s">
        <v>592</v>
      </c>
      <c r="C39" s="117" t="s">
        <v>592</v>
      </c>
      <c r="D39" s="117" t="s">
        <v>568</v>
      </c>
      <c r="E39" s="117" t="s">
        <v>559</v>
      </c>
      <c r="F39" s="117" t="s">
        <v>592</v>
      </c>
      <c r="G39" s="117" t="s">
        <v>592</v>
      </c>
      <c r="H39" s="117" t="s">
        <v>592</v>
      </c>
      <c r="I39" s="117" t="s">
        <v>592</v>
      </c>
      <c r="J39" s="117" t="s">
        <v>592</v>
      </c>
      <c r="K39" s="117" t="s">
        <v>592</v>
      </c>
      <c r="L39" s="117" t="s">
        <v>592</v>
      </c>
    </row>
    <row r="40" customFormat="false" ht="46.25" hidden="false" customHeight="false" outlineLevel="0" collapsed="false">
      <c r="A40" s="8" t="s">
        <v>9318</v>
      </c>
      <c r="B40" s="117" t="s">
        <v>568</v>
      </c>
      <c r="C40" s="117" t="s">
        <v>568</v>
      </c>
      <c r="D40" s="117" t="s">
        <v>568</v>
      </c>
      <c r="E40" s="117" t="s">
        <v>568</v>
      </c>
      <c r="F40" s="117" t="s">
        <v>592</v>
      </c>
      <c r="G40" s="117" t="s">
        <v>592</v>
      </c>
      <c r="H40" s="117" t="s">
        <v>592</v>
      </c>
      <c r="I40" s="117" t="s">
        <v>592</v>
      </c>
      <c r="J40" s="117" t="s">
        <v>592</v>
      </c>
      <c r="K40" s="117" t="s">
        <v>592</v>
      </c>
      <c r="L40" s="117" t="s">
        <v>559</v>
      </c>
    </row>
    <row r="41" customFormat="false" ht="57.45" hidden="false" customHeight="false" outlineLevel="0" collapsed="false">
      <c r="A41" s="8" t="s">
        <v>9319</v>
      </c>
      <c r="B41" s="117" t="s">
        <v>559</v>
      </c>
      <c r="C41" s="117" t="s">
        <v>559</v>
      </c>
      <c r="D41" s="117" t="s">
        <v>559</v>
      </c>
      <c r="E41" s="117" t="s">
        <v>592</v>
      </c>
      <c r="F41" s="117" t="s">
        <v>568</v>
      </c>
      <c r="G41" s="117" t="s">
        <v>592</v>
      </c>
      <c r="H41" s="117" t="s">
        <v>592</v>
      </c>
      <c r="I41" s="117" t="s">
        <v>592</v>
      </c>
      <c r="J41" s="117" t="s">
        <v>568</v>
      </c>
      <c r="K41" s="117" t="s">
        <v>592</v>
      </c>
      <c r="L41" s="117" t="s">
        <v>592</v>
      </c>
    </row>
    <row r="42" customFormat="false" ht="46.25" hidden="false" customHeight="false" outlineLevel="0" collapsed="false">
      <c r="A42" s="8" t="s">
        <v>9320</v>
      </c>
      <c r="B42" s="117" t="s">
        <v>568</v>
      </c>
      <c r="C42" s="117" t="s">
        <v>568</v>
      </c>
      <c r="D42" s="117" t="s">
        <v>568</v>
      </c>
      <c r="E42" s="117" t="s">
        <v>568</v>
      </c>
      <c r="F42" s="117" t="s">
        <v>568</v>
      </c>
      <c r="G42" s="117" t="s">
        <v>568</v>
      </c>
      <c r="H42" s="117" t="s">
        <v>568</v>
      </c>
      <c r="I42" s="117" t="s">
        <v>559</v>
      </c>
      <c r="J42" s="117" t="s">
        <v>568</v>
      </c>
      <c r="K42" s="117" t="s">
        <v>568</v>
      </c>
      <c r="L42" s="117" t="s">
        <v>568</v>
      </c>
    </row>
    <row r="43" customFormat="false" ht="46.25" hidden="false" customHeight="false" outlineLevel="0" collapsed="false">
      <c r="A43" s="8" t="s">
        <v>9321</v>
      </c>
      <c r="B43" s="117" t="s">
        <v>592</v>
      </c>
      <c r="C43" s="117" t="s">
        <v>592</v>
      </c>
      <c r="D43" s="117" t="s">
        <v>592</v>
      </c>
      <c r="E43" s="117" t="s">
        <v>592</v>
      </c>
      <c r="F43" s="117" t="s">
        <v>592</v>
      </c>
      <c r="G43" s="117" t="s">
        <v>592</v>
      </c>
      <c r="H43" s="117" t="s">
        <v>559</v>
      </c>
      <c r="I43" s="117" t="s">
        <v>559</v>
      </c>
      <c r="J43" s="117" t="s">
        <v>592</v>
      </c>
      <c r="K43" s="117" t="s">
        <v>592</v>
      </c>
      <c r="L43" s="117" t="s">
        <v>592</v>
      </c>
    </row>
    <row r="44" customFormat="false" ht="46.25" hidden="false" customHeight="false" outlineLevel="0" collapsed="false">
      <c r="A44" s="8" t="s">
        <v>9322</v>
      </c>
      <c r="B44" s="117" t="s">
        <v>568</v>
      </c>
      <c r="C44" s="117" t="s">
        <v>568</v>
      </c>
      <c r="D44" s="117" t="s">
        <v>568</v>
      </c>
      <c r="E44" s="117" t="s">
        <v>592</v>
      </c>
      <c r="F44" s="117" t="s">
        <v>592</v>
      </c>
      <c r="G44" s="117" t="s">
        <v>592</v>
      </c>
      <c r="H44" s="117" t="s">
        <v>592</v>
      </c>
      <c r="I44" s="117" t="s">
        <v>559</v>
      </c>
      <c r="J44" s="117" t="s">
        <v>592</v>
      </c>
      <c r="K44" s="117" t="s">
        <v>592</v>
      </c>
      <c r="L44" s="117" t="s">
        <v>592</v>
      </c>
    </row>
    <row r="47" customFormat="false" ht="15" hidden="false" customHeight="false" outlineLevel="0" collapsed="false">
      <c r="A47" s="78" t="s">
        <v>9323</v>
      </c>
      <c r="B47" s="78"/>
      <c r="C47" s="78"/>
      <c r="D47" s="78"/>
      <c r="E47" s="78"/>
    </row>
    <row r="49" customFormat="false" ht="52.2" hidden="false" customHeight="false" outlineLevel="0" collapsed="false">
      <c r="A49" s="3" t="s">
        <v>509</v>
      </c>
      <c r="B49" s="3" t="s">
        <v>9324</v>
      </c>
      <c r="C49" s="3" t="s">
        <v>9325</v>
      </c>
      <c r="D49" s="3" t="s">
        <v>2639</v>
      </c>
      <c r="E49" s="3" t="s">
        <v>9326</v>
      </c>
    </row>
    <row r="50" customFormat="false" ht="57.45" hidden="false" customHeight="false" outlineLevel="0" collapsed="false">
      <c r="A50" s="117" t="s">
        <v>9327</v>
      </c>
      <c r="B50" s="8" t="s">
        <v>9328</v>
      </c>
      <c r="C50" s="8" t="s">
        <v>9329</v>
      </c>
      <c r="D50" s="8" t="s">
        <v>9330</v>
      </c>
      <c r="E50" s="8" t="s">
        <v>9331</v>
      </c>
    </row>
    <row r="51" customFormat="false" ht="57.45" hidden="false" customHeight="false" outlineLevel="0" collapsed="false">
      <c r="A51" s="117" t="s">
        <v>1790</v>
      </c>
      <c r="B51" s="8" t="s">
        <v>9332</v>
      </c>
      <c r="C51" s="8" t="s">
        <v>9333</v>
      </c>
      <c r="D51" s="8" t="s">
        <v>9334</v>
      </c>
      <c r="E51" s="8" t="s">
        <v>9331</v>
      </c>
    </row>
    <row r="52" customFormat="false" ht="79.85" hidden="false" customHeight="false" outlineLevel="0" collapsed="false">
      <c r="A52" s="117" t="s">
        <v>9335</v>
      </c>
      <c r="B52" s="8" t="s">
        <v>9336</v>
      </c>
      <c r="C52" s="8" t="s">
        <v>9337</v>
      </c>
      <c r="D52" s="8" t="s">
        <v>9338</v>
      </c>
      <c r="E52" s="8" t="s">
        <v>9339</v>
      </c>
    </row>
    <row r="53" customFormat="false" ht="68.65" hidden="false" customHeight="false" outlineLevel="0" collapsed="false">
      <c r="A53" s="117" t="s">
        <v>1780</v>
      </c>
      <c r="B53" s="8" t="s">
        <v>9340</v>
      </c>
      <c r="C53" s="8" t="s">
        <v>3650</v>
      </c>
      <c r="D53" s="8" t="s">
        <v>9341</v>
      </c>
      <c r="E53" s="8" t="s">
        <v>9342</v>
      </c>
    </row>
    <row r="54" customFormat="false" ht="68.65" hidden="false" customHeight="false" outlineLevel="0" collapsed="false">
      <c r="A54" s="117" t="s">
        <v>9343</v>
      </c>
      <c r="B54" s="8" t="s">
        <v>9344</v>
      </c>
      <c r="C54" s="8" t="s">
        <v>9345</v>
      </c>
      <c r="D54" s="8" t="s">
        <v>9346</v>
      </c>
      <c r="E54" s="8" t="s">
        <v>9331</v>
      </c>
    </row>
    <row r="55" customFormat="false" ht="46.25" hidden="false" customHeight="false" outlineLevel="0" collapsed="false">
      <c r="A55" s="117" t="s">
        <v>5684</v>
      </c>
      <c r="B55" s="8" t="s">
        <v>9347</v>
      </c>
      <c r="C55" s="8" t="s">
        <v>9348</v>
      </c>
      <c r="D55" s="8" t="s">
        <v>9349</v>
      </c>
      <c r="E55" s="8" t="s">
        <v>9331</v>
      </c>
    </row>
    <row r="56" customFormat="false" ht="79.85" hidden="false" customHeight="false" outlineLevel="0" collapsed="false">
      <c r="A56" s="117" t="s">
        <v>9350</v>
      </c>
      <c r="B56" s="8" t="s">
        <v>9351</v>
      </c>
      <c r="C56" s="8" t="s">
        <v>9352</v>
      </c>
      <c r="D56" s="8" t="s">
        <v>9353</v>
      </c>
      <c r="E56" s="8" t="s">
        <v>9342</v>
      </c>
    </row>
    <row r="57" customFormat="false" ht="91" hidden="false" customHeight="false" outlineLevel="0" collapsed="false">
      <c r="A57" s="117" t="s">
        <v>5693</v>
      </c>
      <c r="B57" s="8" t="s">
        <v>9354</v>
      </c>
      <c r="C57" s="8" t="s">
        <v>9355</v>
      </c>
      <c r="D57" s="8" t="s">
        <v>9356</v>
      </c>
      <c r="E57" s="8" t="s">
        <v>9342</v>
      </c>
    </row>
    <row r="58" customFormat="false" ht="91" hidden="false" customHeight="false" outlineLevel="0" collapsed="false">
      <c r="A58" s="117" t="s">
        <v>9357</v>
      </c>
      <c r="B58" s="8" t="s">
        <v>9358</v>
      </c>
      <c r="C58" s="8" t="s">
        <v>9359</v>
      </c>
      <c r="D58" s="8" t="s">
        <v>9360</v>
      </c>
      <c r="E58" s="8" t="s">
        <v>9361</v>
      </c>
    </row>
    <row r="59" customFormat="false" ht="68.65" hidden="false" customHeight="false" outlineLevel="0" collapsed="false">
      <c r="A59" s="117" t="s">
        <v>9362</v>
      </c>
      <c r="B59" s="8" t="s">
        <v>9363</v>
      </c>
      <c r="C59" s="8" t="s">
        <v>9364</v>
      </c>
      <c r="D59" s="8" t="s">
        <v>4117</v>
      </c>
      <c r="E59" s="8" t="s">
        <v>9331</v>
      </c>
    </row>
  </sheetData>
  <mergeCells count="3">
    <mergeCell ref="A1:G1"/>
    <mergeCell ref="A21:K21"/>
    <mergeCell ref="A47:E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7.35" hidden="false" customHeight="false" outlineLevel="0" collapsed="false">
      <c r="A1" s="273" t="s">
        <v>9365</v>
      </c>
      <c r="B1" s="273"/>
      <c r="C1" s="273"/>
      <c r="D1" s="273"/>
    </row>
    <row r="3" customFormat="false" ht="15" hidden="false" customHeight="false" outlineLevel="0" collapsed="false">
      <c r="A3" s="78" t="s">
        <v>9366</v>
      </c>
      <c r="B3" s="78"/>
      <c r="C3" s="78"/>
      <c r="D3" s="78"/>
    </row>
    <row r="5" customFormat="false" ht="15" hidden="false" customHeight="false" outlineLevel="0" collapsed="false">
      <c r="A5" s="274" t="s">
        <v>483</v>
      </c>
      <c r="B5" s="274" t="s">
        <v>9367</v>
      </c>
      <c r="C5" s="274" t="s">
        <v>9368</v>
      </c>
    </row>
    <row r="6" customFormat="false" ht="382.05" hidden="false" customHeight="false" outlineLevel="0" collapsed="false">
      <c r="A6" s="117" t="n">
        <v>1</v>
      </c>
      <c r="B6" s="182" t="s">
        <v>9369</v>
      </c>
      <c r="C6" s="182" t="s">
        <v>9370</v>
      </c>
    </row>
    <row r="7" customFormat="false" ht="359.7" hidden="false" customHeight="false" outlineLevel="0" collapsed="false">
      <c r="A7" s="117" t="n">
        <v>2</v>
      </c>
      <c r="B7" s="182" t="s">
        <v>452</v>
      </c>
      <c r="C7" s="182" t="s">
        <v>9371</v>
      </c>
    </row>
    <row r="8" customFormat="false" ht="337.3" hidden="false" customHeight="false" outlineLevel="0" collapsed="false">
      <c r="A8" s="117" t="n">
        <v>3</v>
      </c>
      <c r="B8" s="182" t="s">
        <v>3429</v>
      </c>
      <c r="C8" s="182" t="s">
        <v>9372</v>
      </c>
    </row>
    <row r="9" customFormat="false" ht="538.8" hidden="false" customHeight="false" outlineLevel="0" collapsed="false">
      <c r="A9" s="117" t="n">
        <v>4</v>
      </c>
      <c r="B9" s="182" t="s">
        <v>9373</v>
      </c>
      <c r="C9" s="182" t="s">
        <v>9374</v>
      </c>
    </row>
    <row r="10" customFormat="false" ht="404.45" hidden="false" customHeight="false" outlineLevel="0" collapsed="false">
      <c r="A10" s="117" t="n">
        <v>5</v>
      </c>
      <c r="B10" s="182" t="s">
        <v>9375</v>
      </c>
      <c r="C10" s="182" t="s">
        <v>9376</v>
      </c>
    </row>
    <row r="11" customFormat="false" ht="460.4" hidden="false" customHeight="false" outlineLevel="0" collapsed="false">
      <c r="A11" s="117" t="n">
        <v>6</v>
      </c>
      <c r="B11" s="182" t="s">
        <v>9377</v>
      </c>
      <c r="C11" s="182" t="s">
        <v>9378</v>
      </c>
    </row>
    <row r="12" customFormat="false" ht="572.35" hidden="false" customHeight="false" outlineLevel="0" collapsed="false">
      <c r="A12" s="117" t="n">
        <v>7</v>
      </c>
      <c r="B12" s="182" t="s">
        <v>9379</v>
      </c>
      <c r="C12" s="182" t="s">
        <v>9380</v>
      </c>
    </row>
    <row r="13" customFormat="false" ht="516.4" hidden="false" customHeight="false" outlineLevel="0" collapsed="false">
      <c r="A13" s="117" t="n">
        <v>8</v>
      </c>
      <c r="B13" s="182" t="s">
        <v>9381</v>
      </c>
      <c r="C13" s="182" t="s">
        <v>9382</v>
      </c>
    </row>
    <row r="14" customFormat="false" ht="426.85" hidden="false" customHeight="false" outlineLevel="0" collapsed="false">
      <c r="A14" s="117" t="n">
        <v>9</v>
      </c>
      <c r="B14" s="182" t="s">
        <v>9383</v>
      </c>
      <c r="C14" s="182" t="s">
        <v>9384</v>
      </c>
    </row>
    <row r="15" customFormat="false" ht="482.8" hidden="false" customHeight="false" outlineLevel="0" collapsed="false">
      <c r="A15" s="117" t="n">
        <v>10</v>
      </c>
      <c r="B15" s="182" t="s">
        <v>9385</v>
      </c>
      <c r="C15" s="182" t="s">
        <v>9386</v>
      </c>
    </row>
    <row r="18" customFormat="false" ht="15" hidden="false" customHeight="false" outlineLevel="0" collapsed="false">
      <c r="A18" s="78" t="s">
        <v>9387</v>
      </c>
      <c r="B18" s="78"/>
      <c r="C18" s="78"/>
    </row>
    <row r="20" customFormat="false" ht="15" hidden="false" customHeight="false" outlineLevel="0" collapsed="false">
      <c r="A20" s="274" t="s">
        <v>483</v>
      </c>
      <c r="B20" s="274" t="s">
        <v>9388</v>
      </c>
      <c r="C20" s="274" t="s">
        <v>9389</v>
      </c>
    </row>
    <row r="21" customFormat="false" ht="57.45" hidden="false" customHeight="false" outlineLevel="0" collapsed="false">
      <c r="A21" s="8" t="n">
        <v>1</v>
      </c>
      <c r="B21" s="8" t="s">
        <v>9390</v>
      </c>
      <c r="C21" s="8" t="s">
        <v>9391</v>
      </c>
    </row>
    <row r="22" customFormat="false" ht="57.45" hidden="false" customHeight="false" outlineLevel="0" collapsed="false">
      <c r="A22" s="8" t="n">
        <v>2</v>
      </c>
      <c r="B22" s="8" t="s">
        <v>9392</v>
      </c>
      <c r="C22" s="8" t="s">
        <v>9393</v>
      </c>
    </row>
    <row r="23" customFormat="false" ht="57.45" hidden="false" customHeight="false" outlineLevel="0" collapsed="false">
      <c r="A23" s="8" t="n">
        <v>3</v>
      </c>
      <c r="B23" s="8" t="s">
        <v>9394</v>
      </c>
      <c r="C23" s="8" t="s">
        <v>9395</v>
      </c>
    </row>
    <row r="24" customFormat="false" ht="57.45" hidden="false" customHeight="false" outlineLevel="0" collapsed="false">
      <c r="A24" s="8" t="n">
        <v>4</v>
      </c>
      <c r="B24" s="8" t="s">
        <v>9396</v>
      </c>
      <c r="C24" s="8" t="s">
        <v>9397</v>
      </c>
    </row>
    <row r="25" customFormat="false" ht="68.65" hidden="false" customHeight="false" outlineLevel="0" collapsed="false">
      <c r="A25" s="8" t="n">
        <v>5</v>
      </c>
      <c r="B25" s="8" t="s">
        <v>9398</v>
      </c>
      <c r="C25" s="8" t="s">
        <v>9399</v>
      </c>
    </row>
    <row r="28" customFormat="false" ht="15" hidden="false" customHeight="false" outlineLevel="0" collapsed="false">
      <c r="A28" s="78" t="s">
        <v>9400</v>
      </c>
      <c r="B28" s="78"/>
      <c r="C28" s="78"/>
    </row>
    <row r="30" customFormat="false" ht="15" hidden="false" customHeight="false" outlineLevel="0" collapsed="false">
      <c r="A30" s="274" t="s">
        <v>483</v>
      </c>
      <c r="B30" s="274" t="s">
        <v>9401</v>
      </c>
      <c r="C30" s="274" t="s">
        <v>9402</v>
      </c>
    </row>
    <row r="31" customFormat="false" ht="135.8" hidden="false" customHeight="false" outlineLevel="0" collapsed="false">
      <c r="A31" s="117" t="n">
        <v>1</v>
      </c>
      <c r="B31" s="182" t="s">
        <v>9403</v>
      </c>
      <c r="C31" s="182" t="s">
        <v>9404</v>
      </c>
    </row>
    <row r="32" customFormat="false" ht="102.2" hidden="false" customHeight="false" outlineLevel="0" collapsed="false">
      <c r="A32" s="117" t="n">
        <v>2</v>
      </c>
      <c r="B32" s="182" t="s">
        <v>9405</v>
      </c>
      <c r="C32" s="182" t="s">
        <v>9406</v>
      </c>
    </row>
    <row r="33" customFormat="false" ht="113.4" hidden="false" customHeight="false" outlineLevel="0" collapsed="false">
      <c r="A33" s="117" t="n">
        <v>3</v>
      </c>
      <c r="B33" s="182" t="s">
        <v>9407</v>
      </c>
      <c r="C33" s="182" t="s">
        <v>9408</v>
      </c>
    </row>
    <row r="34" customFormat="false" ht="113.4" hidden="false" customHeight="false" outlineLevel="0" collapsed="false">
      <c r="A34" s="117" t="n">
        <v>4</v>
      </c>
      <c r="B34" s="182" t="s">
        <v>9409</v>
      </c>
      <c r="C34" s="182" t="s">
        <v>9410</v>
      </c>
    </row>
    <row r="35" customFormat="false" ht="124.6" hidden="false" customHeight="false" outlineLevel="0" collapsed="false">
      <c r="A35" s="117" t="n">
        <v>5</v>
      </c>
      <c r="B35" s="182" t="s">
        <v>9411</v>
      </c>
      <c r="C35" s="182" t="s">
        <v>9412</v>
      </c>
    </row>
    <row r="38" customFormat="false" ht="15" hidden="false" customHeight="false" outlineLevel="0" collapsed="false">
      <c r="A38" s="78" t="s">
        <v>9413</v>
      </c>
      <c r="B38" s="78"/>
      <c r="C38" s="78"/>
      <c r="D38" s="78"/>
    </row>
    <row r="40" customFormat="false" ht="15" hidden="false" customHeight="false" outlineLevel="0" collapsed="false">
      <c r="A40" s="274" t="s">
        <v>9414</v>
      </c>
      <c r="B40" s="274" t="s">
        <v>9415</v>
      </c>
      <c r="C40" s="274" t="s">
        <v>9416</v>
      </c>
      <c r="D40" s="274" t="s">
        <v>9417</v>
      </c>
    </row>
    <row r="41" customFormat="false" ht="292.5" hidden="false" customHeight="false" outlineLevel="0" collapsed="false">
      <c r="A41" s="117" t="n">
        <v>1</v>
      </c>
      <c r="B41" s="182" t="s">
        <v>9418</v>
      </c>
      <c r="C41" s="182" t="s">
        <v>9419</v>
      </c>
      <c r="D41" s="182" t="s">
        <v>9420</v>
      </c>
    </row>
    <row r="42" customFormat="false" ht="281.3" hidden="false" customHeight="false" outlineLevel="0" collapsed="false">
      <c r="A42" s="117" t="n">
        <v>2</v>
      </c>
      <c r="B42" s="182" t="s">
        <v>9421</v>
      </c>
      <c r="C42" s="182" t="s">
        <v>9422</v>
      </c>
      <c r="D42" s="182" t="s">
        <v>9423</v>
      </c>
    </row>
    <row r="43" customFormat="false" ht="258.95" hidden="false" customHeight="false" outlineLevel="0" collapsed="false">
      <c r="A43" s="117" t="n">
        <v>3</v>
      </c>
      <c r="B43" s="182" t="s">
        <v>9424</v>
      </c>
      <c r="C43" s="182" t="s">
        <v>9425</v>
      </c>
      <c r="D43" s="182" t="s">
        <v>9426</v>
      </c>
    </row>
    <row r="44" customFormat="false" ht="326.1" hidden="false" customHeight="false" outlineLevel="0" collapsed="false">
      <c r="A44" s="117" t="n">
        <v>4</v>
      </c>
      <c r="B44" s="182" t="s">
        <v>9427</v>
      </c>
      <c r="C44" s="182" t="s">
        <v>9428</v>
      </c>
      <c r="D44" s="182" t="s">
        <v>9429</v>
      </c>
    </row>
    <row r="45" customFormat="false" ht="337.3" hidden="false" customHeight="false" outlineLevel="0" collapsed="false">
      <c r="A45" s="117" t="n">
        <v>5</v>
      </c>
      <c r="B45" s="182" t="s">
        <v>9430</v>
      </c>
      <c r="C45" s="182" t="s">
        <v>9431</v>
      </c>
      <c r="D45" s="182" t="s">
        <v>9432</v>
      </c>
    </row>
    <row r="48" customFormat="false" ht="15" hidden="false" customHeight="false" outlineLevel="0" collapsed="false">
      <c r="A48" s="78" t="s">
        <v>9433</v>
      </c>
      <c r="B48" s="78"/>
      <c r="C48" s="78"/>
      <c r="D48" s="78"/>
      <c r="E48" s="78"/>
    </row>
    <row r="50" customFormat="false" ht="15" hidden="false" customHeight="false" outlineLevel="0" collapsed="false">
      <c r="A50" s="274" t="s">
        <v>9434</v>
      </c>
      <c r="B50" s="274" t="s">
        <v>3596</v>
      </c>
      <c r="C50" s="274" t="s">
        <v>9435</v>
      </c>
      <c r="D50" s="274" t="s">
        <v>9436</v>
      </c>
      <c r="E50" s="274" t="s">
        <v>1728</v>
      </c>
    </row>
    <row r="51" customFormat="false" ht="292.5" hidden="false" customHeight="false" outlineLevel="0" collapsed="false">
      <c r="A51" s="117" t="n">
        <v>1</v>
      </c>
      <c r="B51" s="182" t="s">
        <v>9437</v>
      </c>
      <c r="C51" s="182" t="s">
        <v>9438</v>
      </c>
      <c r="D51" s="182" t="s">
        <v>9439</v>
      </c>
      <c r="E51" s="182" t="s">
        <v>9440</v>
      </c>
    </row>
    <row r="52" customFormat="false" ht="225.35" hidden="false" customHeight="false" outlineLevel="0" collapsed="false">
      <c r="A52" s="117" t="n">
        <v>2</v>
      </c>
      <c r="B52" s="182" t="s">
        <v>9441</v>
      </c>
      <c r="C52" s="182" t="s">
        <v>9442</v>
      </c>
      <c r="D52" s="182" t="s">
        <v>9443</v>
      </c>
      <c r="E52" s="182" t="s">
        <v>9444</v>
      </c>
    </row>
    <row r="53" customFormat="false" ht="191.75" hidden="false" customHeight="false" outlineLevel="0" collapsed="false">
      <c r="A53" s="117" t="n">
        <v>3</v>
      </c>
      <c r="B53" s="182" t="s">
        <v>9445</v>
      </c>
      <c r="C53" s="182" t="s">
        <v>9446</v>
      </c>
      <c r="D53" s="182" t="s">
        <v>9447</v>
      </c>
      <c r="E53" s="182" t="s">
        <v>9448</v>
      </c>
    </row>
    <row r="54" customFormat="false" ht="247.75" hidden="false" customHeight="false" outlineLevel="0" collapsed="false">
      <c r="A54" s="117" t="n">
        <v>4</v>
      </c>
      <c r="B54" s="182" t="s">
        <v>9449</v>
      </c>
      <c r="C54" s="182" t="s">
        <v>9450</v>
      </c>
      <c r="D54" s="182" t="s">
        <v>9451</v>
      </c>
      <c r="E54" s="182" t="s">
        <v>9452</v>
      </c>
    </row>
    <row r="55" customFormat="false" ht="225.35" hidden="false" customHeight="false" outlineLevel="0" collapsed="false">
      <c r="A55" s="117" t="n">
        <v>5</v>
      </c>
      <c r="B55" s="182" t="s">
        <v>9453</v>
      </c>
      <c r="C55" s="182" t="s">
        <v>9454</v>
      </c>
      <c r="D55" s="182" t="s">
        <v>9455</v>
      </c>
      <c r="E55" s="182" t="s">
        <v>9456</v>
      </c>
    </row>
  </sheetData>
  <mergeCells count="6">
    <mergeCell ref="A1:D1"/>
    <mergeCell ref="A3:D3"/>
    <mergeCell ref="A18:C18"/>
    <mergeCell ref="A28:C28"/>
    <mergeCell ref="A38:D38"/>
    <mergeCell ref="A48:E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7.35" hidden="false" customHeight="false" outlineLevel="0" collapsed="false">
      <c r="A1" s="273" t="s">
        <v>9457</v>
      </c>
      <c r="B1" s="273"/>
      <c r="C1" s="273"/>
      <c r="D1" s="273"/>
      <c r="E1" s="273"/>
      <c r="F1" s="273"/>
      <c r="G1" s="273"/>
      <c r="H1" s="273"/>
      <c r="I1" s="273"/>
      <c r="J1" s="273"/>
      <c r="K1" s="273"/>
    </row>
    <row r="3" customFormat="false" ht="77.6" hidden="false" customHeight="false" outlineLevel="0" collapsed="false">
      <c r="A3" s="3" t="s">
        <v>9458</v>
      </c>
      <c r="B3" s="3" t="s">
        <v>2640</v>
      </c>
      <c r="C3" s="3" t="s">
        <v>284</v>
      </c>
      <c r="D3" s="3" t="s">
        <v>9459</v>
      </c>
      <c r="E3" s="3" t="s">
        <v>9460</v>
      </c>
      <c r="F3" s="3" t="s">
        <v>9461</v>
      </c>
      <c r="G3" s="3" t="s">
        <v>9462</v>
      </c>
      <c r="H3" s="3" t="s">
        <v>9463</v>
      </c>
      <c r="I3" s="3" t="s">
        <v>9464</v>
      </c>
      <c r="J3" s="3" t="s">
        <v>9465</v>
      </c>
      <c r="K3" s="3" t="s">
        <v>9466</v>
      </c>
    </row>
    <row r="4" customFormat="false" ht="91" hidden="false" customHeight="false" outlineLevel="0" collapsed="false">
      <c r="A4" s="182" t="s">
        <v>9467</v>
      </c>
      <c r="B4" s="182" t="s">
        <v>9468</v>
      </c>
      <c r="C4" s="182" t="s">
        <v>996</v>
      </c>
      <c r="D4" s="182" t="s">
        <v>9469</v>
      </c>
      <c r="E4" s="116" t="s">
        <v>9470</v>
      </c>
      <c r="F4" s="182" t="n">
        <v>15000</v>
      </c>
      <c r="G4" s="182" t="n">
        <v>8500</v>
      </c>
      <c r="H4" s="182" t="s">
        <v>9471</v>
      </c>
      <c r="I4" s="182" t="s">
        <v>9472</v>
      </c>
      <c r="J4" s="182" t="s">
        <v>9473</v>
      </c>
      <c r="K4" s="182" t="s">
        <v>9474</v>
      </c>
    </row>
    <row r="5" customFormat="false" ht="91" hidden="false" customHeight="false" outlineLevel="0" collapsed="false">
      <c r="A5" s="182" t="s">
        <v>9475</v>
      </c>
      <c r="B5" s="182" t="s">
        <v>9476</v>
      </c>
      <c r="C5" s="182" t="s">
        <v>996</v>
      </c>
      <c r="D5" s="182" t="s">
        <v>9477</v>
      </c>
      <c r="E5" s="116" t="s">
        <v>9478</v>
      </c>
      <c r="F5" s="182" t="n">
        <v>8000</v>
      </c>
      <c r="G5" s="182" t="n">
        <v>3000</v>
      </c>
      <c r="H5" s="182" t="s">
        <v>9479</v>
      </c>
      <c r="I5" s="182" t="s">
        <v>9480</v>
      </c>
      <c r="J5" s="182" t="s">
        <v>9481</v>
      </c>
      <c r="K5" s="182" t="s">
        <v>9482</v>
      </c>
    </row>
    <row r="6" customFormat="false" ht="91" hidden="false" customHeight="false" outlineLevel="0" collapsed="false">
      <c r="A6" s="182" t="s">
        <v>9483</v>
      </c>
      <c r="B6" s="182" t="s">
        <v>9484</v>
      </c>
      <c r="C6" s="182" t="s">
        <v>9485</v>
      </c>
      <c r="D6" s="182" t="s">
        <v>9486</v>
      </c>
      <c r="E6" s="116" t="s">
        <v>9487</v>
      </c>
      <c r="F6" s="182" t="n">
        <v>25000</v>
      </c>
      <c r="G6" s="182" t="n">
        <v>12000</v>
      </c>
      <c r="H6" s="182" t="s">
        <v>9488</v>
      </c>
      <c r="I6" s="182" t="s">
        <v>9489</v>
      </c>
      <c r="J6" s="182" t="s">
        <v>9490</v>
      </c>
      <c r="K6" s="182" t="s">
        <v>9491</v>
      </c>
    </row>
    <row r="7" customFormat="false" ht="79.85" hidden="false" customHeight="false" outlineLevel="0" collapsed="false">
      <c r="A7" s="182" t="s">
        <v>9492</v>
      </c>
      <c r="B7" s="182" t="s">
        <v>9493</v>
      </c>
      <c r="C7" s="182" t="s">
        <v>9494</v>
      </c>
      <c r="D7" s="182" t="s">
        <v>9495</v>
      </c>
      <c r="E7" s="116" t="s">
        <v>9496</v>
      </c>
      <c r="F7" s="182" t="n">
        <v>5000</v>
      </c>
      <c r="G7" s="182" t="n">
        <v>1500</v>
      </c>
      <c r="H7" s="182" t="s">
        <v>9497</v>
      </c>
      <c r="I7" s="182" t="s">
        <v>9498</v>
      </c>
      <c r="J7" s="182" t="s">
        <v>9499</v>
      </c>
      <c r="K7" s="182" t="s">
        <v>9500</v>
      </c>
    </row>
    <row r="8" customFormat="false" ht="79.85" hidden="false" customHeight="false" outlineLevel="0" collapsed="false">
      <c r="A8" s="182" t="s">
        <v>9501</v>
      </c>
      <c r="B8" s="182" t="s">
        <v>9502</v>
      </c>
      <c r="C8" s="182" t="s">
        <v>9503</v>
      </c>
      <c r="D8" s="182" t="s">
        <v>9504</v>
      </c>
      <c r="E8" s="116" t="s">
        <v>9505</v>
      </c>
      <c r="F8" s="182" t="n">
        <v>4000</v>
      </c>
      <c r="G8" s="182" t="n">
        <v>2500</v>
      </c>
      <c r="H8" s="182" t="s">
        <v>9506</v>
      </c>
      <c r="I8" s="182" t="s">
        <v>9507</v>
      </c>
      <c r="J8" s="182" t="s">
        <v>9508</v>
      </c>
      <c r="K8" s="182" t="s">
        <v>9509</v>
      </c>
    </row>
    <row r="9" customFormat="false" ht="91" hidden="false" customHeight="false" outlineLevel="0" collapsed="false">
      <c r="A9" s="182" t="s">
        <v>9510</v>
      </c>
      <c r="B9" s="182" t="s">
        <v>9511</v>
      </c>
      <c r="C9" s="182" t="s">
        <v>996</v>
      </c>
      <c r="D9" s="182" t="s">
        <v>9477</v>
      </c>
      <c r="E9" s="116" t="s">
        <v>9512</v>
      </c>
      <c r="F9" s="182" t="n">
        <v>12000</v>
      </c>
      <c r="G9" s="182" t="n">
        <v>6000</v>
      </c>
      <c r="H9" s="182" t="s">
        <v>9513</v>
      </c>
      <c r="I9" s="182" t="s">
        <v>9514</v>
      </c>
      <c r="J9" s="182" t="s">
        <v>9515</v>
      </c>
      <c r="K9" s="182" t="s">
        <v>9516</v>
      </c>
    </row>
    <row r="10" customFormat="false" ht="91" hidden="false" customHeight="false" outlineLevel="0" collapsed="false">
      <c r="A10" s="182" t="s">
        <v>9517</v>
      </c>
      <c r="B10" s="182" t="s">
        <v>9518</v>
      </c>
      <c r="C10" s="182" t="s">
        <v>9485</v>
      </c>
      <c r="D10" s="182" t="s">
        <v>9519</v>
      </c>
      <c r="E10" s="116" t="s">
        <v>9520</v>
      </c>
      <c r="F10" s="182" t="n">
        <v>18000</v>
      </c>
      <c r="G10" s="182" t="n">
        <v>9000</v>
      </c>
      <c r="H10" s="182" t="s">
        <v>9521</v>
      </c>
      <c r="I10" s="182" t="s">
        <v>9522</v>
      </c>
      <c r="J10" s="182" t="s">
        <v>9523</v>
      </c>
      <c r="K10" s="182" t="s">
        <v>9524</v>
      </c>
    </row>
    <row r="11" customFormat="false" ht="91" hidden="false" customHeight="false" outlineLevel="0" collapsed="false">
      <c r="A11" s="182" t="s">
        <v>9525</v>
      </c>
      <c r="B11" s="182" t="s">
        <v>9526</v>
      </c>
      <c r="C11" s="182" t="s">
        <v>9494</v>
      </c>
      <c r="D11" s="182" t="s">
        <v>9527</v>
      </c>
      <c r="E11" s="116" t="s">
        <v>9528</v>
      </c>
      <c r="F11" s="182" t="n">
        <v>6000</v>
      </c>
      <c r="G11" s="182" t="n">
        <v>3500</v>
      </c>
      <c r="H11" s="182" t="s">
        <v>9529</v>
      </c>
      <c r="I11" s="182" t="s">
        <v>9530</v>
      </c>
      <c r="J11" s="182" t="s">
        <v>9531</v>
      </c>
      <c r="K11" s="182" t="s">
        <v>9532</v>
      </c>
    </row>
    <row r="12" customFormat="false" ht="79.85" hidden="false" customHeight="false" outlineLevel="0" collapsed="false">
      <c r="A12" s="182" t="s">
        <v>9533</v>
      </c>
      <c r="B12" s="182" t="s">
        <v>9534</v>
      </c>
      <c r="C12" s="182" t="s">
        <v>9485</v>
      </c>
      <c r="D12" s="182" t="s">
        <v>9535</v>
      </c>
      <c r="E12" s="116" t="s">
        <v>9536</v>
      </c>
      <c r="F12" s="182" t="n">
        <v>4500</v>
      </c>
      <c r="G12" s="182" t="n">
        <v>2000</v>
      </c>
      <c r="H12" s="182" t="s">
        <v>9537</v>
      </c>
      <c r="I12" s="182" t="s">
        <v>9538</v>
      </c>
      <c r="J12" s="182" t="s">
        <v>9539</v>
      </c>
      <c r="K12" s="182" t="s">
        <v>9540</v>
      </c>
    </row>
    <row r="13" customFormat="false" ht="91" hidden="false" customHeight="false" outlineLevel="0" collapsed="false">
      <c r="A13" s="182" t="s">
        <v>9541</v>
      </c>
      <c r="B13" s="182" t="s">
        <v>9542</v>
      </c>
      <c r="C13" s="182" t="s">
        <v>9494</v>
      </c>
      <c r="D13" s="182" t="s">
        <v>9543</v>
      </c>
      <c r="E13" s="116" t="s">
        <v>9544</v>
      </c>
      <c r="F13" s="182" t="n">
        <v>3500</v>
      </c>
      <c r="G13" s="182" t="n">
        <v>1800</v>
      </c>
      <c r="H13" s="182" t="s">
        <v>9545</v>
      </c>
      <c r="I13" s="182" t="s">
        <v>9546</v>
      </c>
      <c r="J13" s="182" t="s">
        <v>9547</v>
      </c>
      <c r="K13" s="182" t="s">
        <v>9548</v>
      </c>
    </row>
    <row r="17" customFormat="false" ht="15" hidden="false" customHeight="false" outlineLevel="0" collapsed="false">
      <c r="A17" s="78" t="s">
        <v>9549</v>
      </c>
      <c r="B17" s="78"/>
      <c r="C17" s="78"/>
    </row>
    <row r="19" customFormat="false" ht="46.25" hidden="false" customHeight="false" outlineLevel="0" collapsed="false">
      <c r="A19" s="275" t="s">
        <v>9550</v>
      </c>
      <c r="B19" s="276"/>
    </row>
    <row r="20" customFormat="false" ht="15" hidden="false" customHeight="false" outlineLevel="0" collapsed="false">
      <c r="A20" s="275"/>
      <c r="B20" s="276"/>
    </row>
    <row r="21" customFormat="false" ht="79.85" hidden="false" customHeight="false" outlineLevel="0" collapsed="false">
      <c r="A21" s="275" t="s">
        <v>9551</v>
      </c>
      <c r="B21" s="276" t="s">
        <v>9552</v>
      </c>
    </row>
    <row r="22" customFormat="false" ht="46.25" hidden="false" customHeight="false" outlineLevel="0" collapsed="false">
      <c r="A22" s="275" t="s">
        <v>9553</v>
      </c>
      <c r="B22" s="276" t="s">
        <v>9554</v>
      </c>
    </row>
    <row r="23" customFormat="false" ht="46.25" hidden="false" customHeight="false" outlineLevel="0" collapsed="false">
      <c r="A23" s="275" t="s">
        <v>9555</v>
      </c>
      <c r="B23" s="276" t="s">
        <v>9556</v>
      </c>
    </row>
    <row r="24" customFormat="false" ht="79.85" hidden="false" customHeight="false" outlineLevel="0" collapsed="false">
      <c r="A24" s="275" t="s">
        <v>9557</v>
      </c>
      <c r="B24" s="276" t="s">
        <v>9558</v>
      </c>
    </row>
    <row r="25" customFormat="false" ht="57.45" hidden="false" customHeight="false" outlineLevel="0" collapsed="false">
      <c r="A25" s="275" t="s">
        <v>9559</v>
      </c>
      <c r="B25" s="276" t="s">
        <v>9560</v>
      </c>
    </row>
    <row r="26" customFormat="false" ht="35.05" hidden="false" customHeight="false" outlineLevel="0" collapsed="false">
      <c r="A26" s="275" t="s">
        <v>9561</v>
      </c>
      <c r="B26" s="276" t="s">
        <v>9562</v>
      </c>
    </row>
    <row r="27" customFormat="false" ht="15" hidden="false" customHeight="false" outlineLevel="0" collapsed="false">
      <c r="A27" s="275"/>
      <c r="B27" s="276"/>
    </row>
    <row r="28" customFormat="false" ht="68.65" hidden="false" customHeight="false" outlineLevel="0" collapsed="false">
      <c r="A28" s="275" t="s">
        <v>9563</v>
      </c>
      <c r="B28" s="276"/>
    </row>
    <row r="29" customFormat="false" ht="68.65" hidden="false" customHeight="false" outlineLevel="0" collapsed="false">
      <c r="A29" s="277" t="s">
        <v>9564</v>
      </c>
      <c r="B29" s="276" t="s">
        <v>9565</v>
      </c>
    </row>
    <row r="30" customFormat="false" ht="79.85" hidden="false" customHeight="false" outlineLevel="0" collapsed="false">
      <c r="A30" s="277" t="s">
        <v>9566</v>
      </c>
      <c r="B30" s="276" t="s">
        <v>9567</v>
      </c>
    </row>
    <row r="31" customFormat="false" ht="35.05" hidden="false" customHeight="false" outlineLevel="0" collapsed="false">
      <c r="A31" s="277" t="s">
        <v>9568</v>
      </c>
      <c r="B31" s="276" t="s">
        <v>9569</v>
      </c>
    </row>
    <row r="32" customFormat="false" ht="79.85" hidden="false" customHeight="false" outlineLevel="0" collapsed="false">
      <c r="A32" s="277" t="s">
        <v>9570</v>
      </c>
      <c r="B32" s="276" t="s">
        <v>9571</v>
      </c>
    </row>
    <row r="33" customFormat="false" ht="68.65" hidden="false" customHeight="false" outlineLevel="0" collapsed="false">
      <c r="A33" s="277" t="s">
        <v>9572</v>
      </c>
      <c r="B33" s="276" t="s">
        <v>9573</v>
      </c>
    </row>
    <row r="34" customFormat="false" ht="79.85" hidden="false" customHeight="false" outlineLevel="0" collapsed="false">
      <c r="A34" s="277" t="s">
        <v>9574</v>
      </c>
      <c r="B34" s="276" t="s">
        <v>9575</v>
      </c>
    </row>
    <row r="35" customFormat="false" ht="15" hidden="false" customHeight="false" outlineLevel="0" collapsed="false">
      <c r="A35" s="275"/>
      <c r="B35" s="276"/>
    </row>
    <row r="36" customFormat="false" ht="23.85" hidden="false" customHeight="false" outlineLevel="0" collapsed="false">
      <c r="A36" s="275" t="s">
        <v>9576</v>
      </c>
      <c r="B36" s="276"/>
    </row>
    <row r="37" customFormat="false" ht="46.25" hidden="false" customHeight="false" outlineLevel="0" collapsed="false">
      <c r="A37" s="277" t="s">
        <v>9577</v>
      </c>
      <c r="B37" s="276" t="s">
        <v>9578</v>
      </c>
    </row>
    <row r="38" customFormat="false" ht="91" hidden="false" customHeight="false" outlineLevel="0" collapsed="false">
      <c r="A38" s="277" t="s">
        <v>9579</v>
      </c>
      <c r="B38" s="276" t="s">
        <v>9580</v>
      </c>
    </row>
    <row r="39" customFormat="false" ht="79.85" hidden="false" customHeight="false" outlineLevel="0" collapsed="false">
      <c r="A39" s="277" t="s">
        <v>9581</v>
      </c>
      <c r="B39" s="276" t="s">
        <v>9582</v>
      </c>
    </row>
    <row r="40" customFormat="false" ht="79.85" hidden="false" customHeight="false" outlineLevel="0" collapsed="false">
      <c r="A40" s="277" t="s">
        <v>9583</v>
      </c>
      <c r="B40" s="276" t="s">
        <v>9584</v>
      </c>
    </row>
  </sheetData>
  <mergeCells count="2">
    <mergeCell ref="A1:K1"/>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4" min="2" style="0" width="15"/>
    <col collapsed="false" customWidth="true" hidden="false" outlineLevel="0" max="5" min="5" style="0" width="12"/>
    <col collapsed="false" customWidth="true" hidden="false" outlineLevel="0" max="7" min="6" style="0" width="20"/>
  </cols>
  <sheetData>
    <row r="1" customFormat="false" ht="17.35" hidden="false" customHeight="false" outlineLevel="0" collapsed="false">
      <c r="A1" s="273" t="s">
        <v>9585</v>
      </c>
      <c r="B1" s="273"/>
      <c r="C1" s="273"/>
      <c r="D1" s="273"/>
      <c r="E1" s="273"/>
      <c r="F1" s="273"/>
      <c r="G1" s="273"/>
    </row>
    <row r="3" customFormat="false" ht="15" hidden="false" customHeight="false" outlineLevel="0" collapsed="false">
      <c r="A3" s="78" t="s">
        <v>9586</v>
      </c>
      <c r="B3" s="78"/>
      <c r="C3" s="78"/>
      <c r="D3" s="78"/>
      <c r="E3" s="78"/>
      <c r="F3" s="78"/>
      <c r="G3" s="78"/>
    </row>
    <row r="4" customFormat="false" ht="26.85" hidden="false" customHeight="false" outlineLevel="0" collapsed="false">
      <c r="A4" s="3" t="s">
        <v>483</v>
      </c>
      <c r="B4" s="3" t="s">
        <v>9587</v>
      </c>
      <c r="C4" s="3" t="s">
        <v>9588</v>
      </c>
      <c r="D4" s="3" t="s">
        <v>9589</v>
      </c>
      <c r="E4" s="3" t="s">
        <v>5478</v>
      </c>
      <c r="F4" s="3" t="s">
        <v>3598</v>
      </c>
      <c r="G4" s="3" t="s">
        <v>9590</v>
      </c>
    </row>
    <row r="5" customFormat="false" ht="35.05" hidden="false" customHeight="false" outlineLevel="0" collapsed="false">
      <c r="A5" s="75" t="n">
        <v>1</v>
      </c>
      <c r="B5" s="75" t="s">
        <v>9591</v>
      </c>
      <c r="C5" s="75" t="s">
        <v>9592</v>
      </c>
      <c r="D5" s="75" t="s">
        <v>9593</v>
      </c>
      <c r="E5" s="75" t="s">
        <v>9594</v>
      </c>
      <c r="F5" s="75" t="s">
        <v>3815</v>
      </c>
      <c r="G5" s="75" t="s">
        <v>9595</v>
      </c>
    </row>
    <row r="6" customFormat="false" ht="35.05" hidden="false" customHeight="false" outlineLevel="0" collapsed="false">
      <c r="A6" s="73" t="n">
        <v>2</v>
      </c>
      <c r="B6" s="73" t="s">
        <v>9596</v>
      </c>
      <c r="C6" s="73" t="s">
        <v>9597</v>
      </c>
      <c r="D6" s="73" t="s">
        <v>9598</v>
      </c>
      <c r="E6" s="73" t="s">
        <v>4927</v>
      </c>
      <c r="F6" s="73" t="s">
        <v>9599</v>
      </c>
      <c r="G6" s="73" t="s">
        <v>9600</v>
      </c>
    </row>
    <row r="7" customFormat="false" ht="46.25" hidden="false" customHeight="false" outlineLevel="0" collapsed="false">
      <c r="A7" s="75" t="n">
        <v>3</v>
      </c>
      <c r="B7" s="75" t="s">
        <v>9601</v>
      </c>
      <c r="C7" s="75" t="s">
        <v>9602</v>
      </c>
      <c r="D7" s="75" t="s">
        <v>9603</v>
      </c>
      <c r="E7" s="75" t="s">
        <v>4927</v>
      </c>
      <c r="F7" s="75" t="s">
        <v>8823</v>
      </c>
      <c r="G7" s="75" t="s">
        <v>9604</v>
      </c>
    </row>
    <row r="8" customFormat="false" ht="23.85" hidden="false" customHeight="false" outlineLevel="0" collapsed="false">
      <c r="A8" s="73" t="n">
        <v>4</v>
      </c>
      <c r="B8" s="73" t="s">
        <v>9605</v>
      </c>
      <c r="C8" s="73" t="s">
        <v>9606</v>
      </c>
      <c r="D8" s="73" t="s">
        <v>9607</v>
      </c>
      <c r="E8" s="73" t="s">
        <v>9608</v>
      </c>
      <c r="F8" s="73" t="s">
        <v>3820</v>
      </c>
      <c r="G8" s="73" t="s">
        <v>9609</v>
      </c>
    </row>
    <row r="9" customFormat="false" ht="23.85" hidden="false" customHeight="false" outlineLevel="0" collapsed="false">
      <c r="A9" s="75" t="n">
        <v>5</v>
      </c>
      <c r="B9" s="75" t="s">
        <v>9610</v>
      </c>
      <c r="C9" s="75" t="s">
        <v>9611</v>
      </c>
      <c r="D9" s="75" t="s">
        <v>9612</v>
      </c>
      <c r="E9" s="75" t="s">
        <v>9613</v>
      </c>
      <c r="F9" s="75" t="s">
        <v>8823</v>
      </c>
      <c r="G9" s="75" t="s">
        <v>9614</v>
      </c>
    </row>
    <row r="10" customFormat="false" ht="35.05" hidden="false" customHeight="false" outlineLevel="0" collapsed="false">
      <c r="A10" s="73" t="n">
        <v>6</v>
      </c>
      <c r="B10" s="73" t="s">
        <v>1748</v>
      </c>
      <c r="C10" s="73" t="s">
        <v>9615</v>
      </c>
      <c r="D10" s="73" t="s">
        <v>9616</v>
      </c>
      <c r="E10" s="73" t="s">
        <v>9613</v>
      </c>
      <c r="F10" s="73" t="s">
        <v>3853</v>
      </c>
      <c r="G10" s="73" t="s">
        <v>9617</v>
      </c>
    </row>
    <row r="11" customFormat="false" ht="35.05" hidden="false" customHeight="false" outlineLevel="0" collapsed="false">
      <c r="A11" s="75" t="n">
        <v>7</v>
      </c>
      <c r="B11" s="75" t="s">
        <v>9618</v>
      </c>
      <c r="C11" s="75" t="s">
        <v>9619</v>
      </c>
      <c r="D11" s="75" t="s">
        <v>9620</v>
      </c>
      <c r="E11" s="75" t="s">
        <v>9621</v>
      </c>
      <c r="F11" s="75" t="s">
        <v>3857</v>
      </c>
      <c r="G11" s="75" t="s">
        <v>9622</v>
      </c>
    </row>
    <row r="12" customFormat="false" ht="23.85" hidden="false" customHeight="false" outlineLevel="0" collapsed="false">
      <c r="A12" s="73" t="n">
        <v>8</v>
      </c>
      <c r="B12" s="73" t="s">
        <v>2864</v>
      </c>
      <c r="C12" s="73" t="s">
        <v>9623</v>
      </c>
      <c r="D12" s="73" t="s">
        <v>9624</v>
      </c>
      <c r="E12" s="73" t="s">
        <v>9625</v>
      </c>
      <c r="F12" s="73" t="s">
        <v>550</v>
      </c>
      <c r="G12" s="73" t="s">
        <v>9626</v>
      </c>
    </row>
    <row r="15" customFormat="false" ht="15" hidden="false" customHeight="false" outlineLevel="0" collapsed="false">
      <c r="A15" s="78" t="s">
        <v>9627</v>
      </c>
      <c r="B15" s="78"/>
      <c r="C15" s="78"/>
      <c r="D15" s="78"/>
    </row>
    <row r="16" customFormat="false" ht="26.85" hidden="false" customHeight="false" outlineLevel="0" collapsed="false">
      <c r="A16" s="3" t="s">
        <v>9587</v>
      </c>
      <c r="B16" s="3" t="s">
        <v>3248</v>
      </c>
      <c r="C16" s="3" t="s">
        <v>9628</v>
      </c>
      <c r="D16" s="3" t="s">
        <v>9629</v>
      </c>
    </row>
    <row r="17" customFormat="false" ht="15" hidden="false" customHeight="false" outlineLevel="0" collapsed="false">
      <c r="A17" s="75" t="s">
        <v>2864</v>
      </c>
      <c r="B17" s="75" t="n">
        <v>1300</v>
      </c>
      <c r="C17" s="75" t="s">
        <v>9630</v>
      </c>
      <c r="D17" s="75" t="n">
        <v>1368</v>
      </c>
    </row>
    <row r="18" customFormat="false" ht="15" hidden="false" customHeight="false" outlineLevel="0" collapsed="false">
      <c r="A18" s="73" t="s">
        <v>9618</v>
      </c>
      <c r="B18" s="73" t="n">
        <v>1368</v>
      </c>
      <c r="C18" s="73" t="s">
        <v>6577</v>
      </c>
      <c r="D18" s="73" t="n">
        <v>2281</v>
      </c>
    </row>
    <row r="19" customFormat="false" ht="15" hidden="false" customHeight="false" outlineLevel="0" collapsed="false">
      <c r="A19" s="75" t="s">
        <v>1748</v>
      </c>
      <c r="B19" s="75" t="n">
        <v>2281</v>
      </c>
      <c r="C19" s="75" t="s">
        <v>6230</v>
      </c>
      <c r="D19" s="75" t="n">
        <v>2851</v>
      </c>
    </row>
    <row r="20" customFormat="false" ht="15" hidden="false" customHeight="false" outlineLevel="0" collapsed="false">
      <c r="A20" s="73" t="s">
        <v>9610</v>
      </c>
      <c r="B20" s="73" t="n">
        <v>2851</v>
      </c>
      <c r="C20" s="73" t="s">
        <v>9631</v>
      </c>
      <c r="D20" s="73" t="n">
        <v>4073</v>
      </c>
    </row>
    <row r="21" customFormat="false" ht="15" hidden="false" customHeight="false" outlineLevel="0" collapsed="false">
      <c r="A21" s="75" t="s">
        <v>9605</v>
      </c>
      <c r="B21" s="75" t="n">
        <v>4073</v>
      </c>
      <c r="C21" s="75" t="s">
        <v>6205</v>
      </c>
      <c r="D21" s="75" t="n">
        <v>8146</v>
      </c>
    </row>
    <row r="22" customFormat="false" ht="15" hidden="false" customHeight="false" outlineLevel="0" collapsed="false">
      <c r="A22" s="73" t="s">
        <v>9601</v>
      </c>
      <c r="B22" s="73" t="n">
        <v>8146</v>
      </c>
      <c r="C22" s="73" t="s">
        <v>6577</v>
      </c>
      <c r="D22" s="73" t="n">
        <v>13577</v>
      </c>
    </row>
    <row r="23" customFormat="false" ht="15" hidden="false" customHeight="false" outlineLevel="0" collapsed="false">
      <c r="A23" s="75" t="s">
        <v>9596</v>
      </c>
      <c r="B23" s="75" t="n">
        <v>13577</v>
      </c>
      <c r="C23" s="75" t="s">
        <v>6232</v>
      </c>
      <c r="D23" s="75" t="n">
        <v>15086</v>
      </c>
    </row>
    <row r="24" customFormat="false" ht="15" hidden="false" customHeight="false" outlineLevel="0" collapsed="false">
      <c r="A24" s="73" t="s">
        <v>9591</v>
      </c>
      <c r="B24" s="73" t="n">
        <v>15086</v>
      </c>
      <c r="C24" s="73" t="s">
        <v>950</v>
      </c>
      <c r="D24" s="73" t="n">
        <v>15086</v>
      </c>
    </row>
    <row r="26" customFormat="false" ht="15" hidden="false" customHeight="false" outlineLevel="0" collapsed="false">
      <c r="A26" s="78" t="s">
        <v>9632</v>
      </c>
      <c r="B26" s="78"/>
      <c r="C26" s="78"/>
      <c r="D26" s="78"/>
      <c r="E26" s="78"/>
      <c r="F26" s="78"/>
      <c r="G26" s="78"/>
      <c r="H26" s="78"/>
    </row>
    <row r="27" customFormat="false" ht="26.85" hidden="false" customHeight="false" outlineLevel="0" collapsed="false">
      <c r="A27" s="3" t="s">
        <v>9633</v>
      </c>
      <c r="B27" s="3" t="s">
        <v>9634</v>
      </c>
      <c r="C27" s="3" t="s">
        <v>9635</v>
      </c>
      <c r="D27" s="3" t="s">
        <v>9591</v>
      </c>
      <c r="E27" s="3" t="s">
        <v>9596</v>
      </c>
      <c r="F27" s="3" t="s">
        <v>9601</v>
      </c>
      <c r="G27" s="3" t="s">
        <v>9636</v>
      </c>
      <c r="H27" s="3" t="s">
        <v>9637</v>
      </c>
    </row>
    <row r="28" customFormat="false" ht="15" hidden="false" customHeight="false" outlineLevel="0" collapsed="false">
      <c r="A28" s="75" t="s">
        <v>151</v>
      </c>
      <c r="B28" s="75" t="n">
        <v>200</v>
      </c>
      <c r="C28" s="75" t="s">
        <v>8737</v>
      </c>
      <c r="D28" s="75" t="n">
        <v>2263</v>
      </c>
      <c r="E28" s="75" t="n">
        <v>2037</v>
      </c>
      <c r="F28" s="75" t="n">
        <v>1222</v>
      </c>
      <c r="G28" s="75" t="n">
        <v>611</v>
      </c>
      <c r="H28" s="75" t="n">
        <v>428</v>
      </c>
    </row>
    <row r="29" customFormat="false" ht="15" hidden="false" customHeight="false" outlineLevel="0" collapsed="false">
      <c r="A29" s="73" t="s">
        <v>162</v>
      </c>
      <c r="B29" s="73" t="n">
        <v>150</v>
      </c>
      <c r="C29" s="73" t="s">
        <v>465</v>
      </c>
      <c r="D29" s="73" t="n">
        <v>1697</v>
      </c>
      <c r="E29" s="73" t="n">
        <v>1528</v>
      </c>
      <c r="F29" s="73" t="n">
        <v>917</v>
      </c>
      <c r="G29" s="73" t="n">
        <v>459</v>
      </c>
      <c r="H29" s="73" t="n">
        <v>321</v>
      </c>
    </row>
    <row r="30" customFormat="false" ht="15" hidden="false" customHeight="false" outlineLevel="0" collapsed="false">
      <c r="A30" s="75" t="s">
        <v>1049</v>
      </c>
      <c r="B30" s="75" t="n">
        <v>180</v>
      </c>
      <c r="C30" s="75" t="s">
        <v>9638</v>
      </c>
      <c r="D30" s="75" t="n">
        <v>2112</v>
      </c>
      <c r="E30" s="75" t="n">
        <v>1902</v>
      </c>
      <c r="F30" s="75" t="n">
        <v>1143</v>
      </c>
      <c r="G30" s="75" t="n">
        <v>571</v>
      </c>
      <c r="H30" s="75" t="n">
        <v>399</v>
      </c>
    </row>
    <row r="31" customFormat="false" ht="15" hidden="false" customHeight="false" outlineLevel="0" collapsed="false">
      <c r="A31" s="73" t="s">
        <v>1051</v>
      </c>
      <c r="B31" s="73" t="n">
        <v>170</v>
      </c>
      <c r="C31" s="73" t="s">
        <v>9639</v>
      </c>
      <c r="D31" s="73" t="n">
        <v>1995</v>
      </c>
      <c r="E31" s="73" t="n">
        <v>1797</v>
      </c>
      <c r="F31" s="73" t="n">
        <v>1079</v>
      </c>
      <c r="G31" s="73" t="n">
        <v>539</v>
      </c>
      <c r="H31" s="73" t="n">
        <v>377</v>
      </c>
    </row>
    <row r="32" customFormat="false" ht="15" hidden="false" customHeight="false" outlineLevel="0" collapsed="false">
      <c r="A32" s="75" t="s">
        <v>194</v>
      </c>
      <c r="B32" s="75" t="n">
        <v>250</v>
      </c>
      <c r="C32" s="75" t="s">
        <v>9640</v>
      </c>
      <c r="D32" s="75" t="n">
        <v>2866</v>
      </c>
      <c r="E32" s="75" t="n">
        <v>2579</v>
      </c>
      <c r="F32" s="75" t="n">
        <v>1548</v>
      </c>
      <c r="G32" s="75" t="n">
        <v>774</v>
      </c>
      <c r="H32" s="75" t="n">
        <v>540</v>
      </c>
    </row>
    <row r="33" customFormat="false" ht="15" hidden="false" customHeight="false" outlineLevel="0" collapsed="false">
      <c r="A33" s="73" t="s">
        <v>204</v>
      </c>
      <c r="B33" s="73" t="n">
        <v>200</v>
      </c>
      <c r="C33" s="73" t="s">
        <v>8737</v>
      </c>
      <c r="D33" s="73" t="n">
        <v>2263</v>
      </c>
      <c r="E33" s="73" t="n">
        <v>2037</v>
      </c>
      <c r="F33" s="73" t="n">
        <v>1222</v>
      </c>
      <c r="G33" s="73" t="n">
        <v>611</v>
      </c>
      <c r="H33" s="73" t="n">
        <v>428</v>
      </c>
    </row>
    <row r="34" customFormat="false" ht="15" hidden="false" customHeight="false" outlineLevel="0" collapsed="false">
      <c r="A34" s="75" t="s">
        <v>232</v>
      </c>
      <c r="B34" s="75" t="n">
        <v>100</v>
      </c>
      <c r="C34" s="75" t="s">
        <v>890</v>
      </c>
      <c r="D34" s="75" t="n">
        <v>1206</v>
      </c>
      <c r="E34" s="75" t="n">
        <v>1086</v>
      </c>
      <c r="F34" s="75" t="n">
        <v>652</v>
      </c>
      <c r="G34" s="75" t="n">
        <v>326</v>
      </c>
      <c r="H34" s="75" t="n">
        <v>228</v>
      </c>
    </row>
    <row r="35" customFormat="false" ht="15" hidden="false" customHeight="false" outlineLevel="0" collapsed="false">
      <c r="A35" s="73" t="s">
        <v>242</v>
      </c>
      <c r="B35" s="73" t="n">
        <v>50</v>
      </c>
      <c r="C35" s="73" t="s">
        <v>6226</v>
      </c>
      <c r="D35" s="73" t="n">
        <v>603</v>
      </c>
      <c r="E35" s="73" t="n">
        <v>543</v>
      </c>
      <c r="F35" s="73" t="n">
        <v>326</v>
      </c>
      <c r="G35" s="73" t="n">
        <v>163</v>
      </c>
      <c r="H35" s="73" t="n">
        <v>114</v>
      </c>
    </row>
    <row r="37" customFormat="false" ht="15" hidden="false" customHeight="false" outlineLevel="0" collapsed="false">
      <c r="A37" s="78" t="s">
        <v>9641</v>
      </c>
      <c r="B37" s="78"/>
      <c r="C37" s="78"/>
      <c r="D37" s="78"/>
      <c r="E37" s="78"/>
      <c r="F37" s="78"/>
      <c r="G37" s="78"/>
      <c r="H37" s="78"/>
    </row>
    <row r="38" customFormat="false" ht="26.85" hidden="false" customHeight="false" outlineLevel="0" collapsed="false">
      <c r="A38" s="3" t="s">
        <v>284</v>
      </c>
      <c r="B38" s="3" t="s">
        <v>9634</v>
      </c>
      <c r="C38" s="3" t="s">
        <v>9635</v>
      </c>
      <c r="D38" s="3" t="s">
        <v>9591</v>
      </c>
      <c r="E38" s="3" t="s">
        <v>9596</v>
      </c>
      <c r="F38" s="3" t="s">
        <v>9601</v>
      </c>
      <c r="G38" s="3" t="s">
        <v>9636</v>
      </c>
      <c r="H38" s="3" t="s">
        <v>9637</v>
      </c>
    </row>
    <row r="39" customFormat="false" ht="15" hidden="false" customHeight="false" outlineLevel="0" collapsed="false">
      <c r="A39" s="75" t="s">
        <v>9642</v>
      </c>
      <c r="B39" s="75" t="n">
        <v>350</v>
      </c>
      <c r="C39" s="75" t="s">
        <v>9643</v>
      </c>
      <c r="D39" s="75" t="n">
        <v>5180</v>
      </c>
      <c r="E39" s="75" t="n">
        <v>4663</v>
      </c>
      <c r="F39" s="75" t="n">
        <v>2799</v>
      </c>
      <c r="G39" s="75" t="n">
        <v>1400</v>
      </c>
      <c r="H39" s="75" t="n">
        <v>978</v>
      </c>
    </row>
    <row r="40" customFormat="false" ht="15" hidden="false" customHeight="false" outlineLevel="0" collapsed="false">
      <c r="A40" s="73" t="s">
        <v>9644</v>
      </c>
      <c r="B40" s="73" t="n">
        <v>550</v>
      </c>
      <c r="C40" s="73" t="s">
        <v>831</v>
      </c>
      <c r="D40" s="73" t="n">
        <v>8129</v>
      </c>
      <c r="E40" s="73" t="n">
        <v>7317</v>
      </c>
      <c r="F40" s="73" t="n">
        <v>4394</v>
      </c>
      <c r="G40" s="73" t="n">
        <v>2197</v>
      </c>
      <c r="H40" s="73" t="n">
        <v>1535</v>
      </c>
    </row>
    <row r="41" customFormat="false" ht="15" hidden="false" customHeight="false" outlineLevel="0" collapsed="false">
      <c r="A41" s="75" t="s">
        <v>233</v>
      </c>
      <c r="B41" s="75" t="n">
        <v>250</v>
      </c>
      <c r="C41" s="75" t="s">
        <v>9640</v>
      </c>
      <c r="D41" s="75" t="n">
        <v>3698</v>
      </c>
      <c r="E41" s="75" t="n">
        <v>3328</v>
      </c>
      <c r="F41" s="75" t="n">
        <v>1999</v>
      </c>
      <c r="G41" s="75" t="n">
        <v>999</v>
      </c>
      <c r="H41" s="75" t="n">
        <v>699</v>
      </c>
    </row>
    <row r="42" customFormat="false" ht="15" hidden="false" customHeight="false" outlineLevel="0" collapsed="false">
      <c r="A42" s="73" t="s">
        <v>243</v>
      </c>
      <c r="B42" s="73" t="n">
        <v>150</v>
      </c>
      <c r="C42" s="73" t="s">
        <v>465</v>
      </c>
      <c r="D42" s="73" t="n">
        <v>2217</v>
      </c>
      <c r="E42" s="73" t="n">
        <v>1997</v>
      </c>
      <c r="F42" s="73" t="n">
        <v>1200</v>
      </c>
      <c r="G42" s="73" t="n">
        <v>600</v>
      </c>
      <c r="H42" s="73" t="n">
        <v>420</v>
      </c>
    </row>
    <row r="45" customFormat="false" ht="15" hidden="false" customHeight="false" outlineLevel="0" collapsed="false">
      <c r="A45" s="78" t="s">
        <v>9645</v>
      </c>
      <c r="B45" s="78"/>
      <c r="C45" s="78"/>
      <c r="D45" s="78"/>
      <c r="E45" s="78"/>
      <c r="F45" s="78"/>
      <c r="G45" s="78"/>
      <c r="H45" s="78"/>
      <c r="I45" s="78"/>
    </row>
    <row r="46" customFormat="false" ht="26.85" hidden="false" customHeight="false" outlineLevel="0" collapsed="false">
      <c r="A46" s="3" t="s">
        <v>509</v>
      </c>
      <c r="B46" s="3" t="s">
        <v>9591</v>
      </c>
      <c r="C46" s="3" t="s">
        <v>9596</v>
      </c>
      <c r="D46" s="3" t="s">
        <v>9601</v>
      </c>
      <c r="E46" s="3" t="s">
        <v>9636</v>
      </c>
      <c r="F46" s="3" t="s">
        <v>9637</v>
      </c>
      <c r="G46" s="3" t="s">
        <v>1748</v>
      </c>
      <c r="H46" s="3" t="s">
        <v>9618</v>
      </c>
      <c r="I46" s="3" t="s">
        <v>2864</v>
      </c>
    </row>
    <row r="47" customFormat="false" ht="15" hidden="false" customHeight="false" outlineLevel="0" collapsed="false">
      <c r="A47" s="75" t="s">
        <v>1790</v>
      </c>
      <c r="B47" s="75"/>
      <c r="C47" s="75"/>
      <c r="D47" s="75"/>
      <c r="E47" s="75"/>
      <c r="F47" s="75"/>
      <c r="G47" s="75"/>
      <c r="H47" s="75"/>
      <c r="I47" s="75"/>
    </row>
    <row r="48" customFormat="false" ht="15" hidden="false" customHeight="false" outlineLevel="0" collapsed="false">
      <c r="A48" s="73" t="s">
        <v>1780</v>
      </c>
      <c r="B48" s="73"/>
      <c r="C48" s="73"/>
      <c r="D48" s="73"/>
      <c r="E48" s="73"/>
      <c r="F48" s="73"/>
      <c r="G48" s="73"/>
      <c r="H48" s="73"/>
      <c r="I48" s="73"/>
    </row>
    <row r="49" customFormat="false" ht="15" hidden="false" customHeight="false" outlineLevel="0" collapsed="false">
      <c r="A49" s="75" t="s">
        <v>5684</v>
      </c>
      <c r="B49" s="75"/>
      <c r="C49" s="75"/>
      <c r="D49" s="75"/>
      <c r="E49" s="75"/>
      <c r="F49" s="75"/>
      <c r="G49" s="75"/>
      <c r="H49" s="75"/>
      <c r="I49" s="75"/>
    </row>
    <row r="50" customFormat="false" ht="15" hidden="false" customHeight="false" outlineLevel="0" collapsed="false">
      <c r="A50" s="73" t="s">
        <v>5693</v>
      </c>
      <c r="B50" s="73"/>
      <c r="C50" s="73"/>
      <c r="D50" s="73"/>
      <c r="E50" s="73"/>
      <c r="F50" s="73"/>
      <c r="G50" s="73"/>
      <c r="H50" s="73"/>
      <c r="I50" s="73"/>
    </row>
    <row r="51" customFormat="false" ht="15" hidden="false" customHeight="false" outlineLevel="0" collapsed="false">
      <c r="A51" s="75" t="s">
        <v>9646</v>
      </c>
      <c r="B51" s="75"/>
      <c r="C51" s="75"/>
      <c r="D51" s="75"/>
      <c r="E51" s="75"/>
      <c r="F51" s="75"/>
      <c r="G51" s="75"/>
      <c r="H51" s="75"/>
      <c r="I51" s="75"/>
    </row>
    <row r="52" customFormat="false" ht="15" hidden="false" customHeight="false" outlineLevel="0" collapsed="false">
      <c r="A52" s="73" t="s">
        <v>9647</v>
      </c>
      <c r="B52" s="73"/>
      <c r="C52" s="73"/>
      <c r="D52" s="73"/>
      <c r="E52" s="73"/>
      <c r="F52" s="73"/>
      <c r="G52" s="73"/>
      <c r="H52" s="73"/>
      <c r="I52" s="73"/>
    </row>
    <row r="53" customFormat="false" ht="15" hidden="false" customHeight="false" outlineLevel="0" collapsed="false">
      <c r="A53" s="75" t="s">
        <v>9648</v>
      </c>
      <c r="B53" s="75"/>
      <c r="C53" s="75"/>
      <c r="D53" s="75"/>
      <c r="E53" s="75"/>
      <c r="F53" s="75"/>
      <c r="G53" s="75"/>
      <c r="H53" s="75"/>
      <c r="I53" s="75"/>
    </row>
    <row r="54" customFormat="false" ht="15" hidden="false" customHeight="false" outlineLevel="0" collapsed="false">
      <c r="A54" s="73" t="s">
        <v>9649</v>
      </c>
      <c r="B54" s="73"/>
      <c r="C54" s="73"/>
      <c r="D54" s="73"/>
      <c r="E54" s="73"/>
      <c r="F54" s="73"/>
      <c r="G54" s="73"/>
      <c r="H54" s="73"/>
      <c r="I54" s="73"/>
    </row>
    <row r="55" customFormat="false" ht="15" hidden="false" customHeight="false" outlineLevel="0" collapsed="false">
      <c r="A55" s="75" t="s">
        <v>9650</v>
      </c>
      <c r="B55" s="75"/>
      <c r="C55" s="75"/>
      <c r="D55" s="75"/>
      <c r="E55" s="75"/>
      <c r="F55" s="75"/>
      <c r="G55" s="75"/>
      <c r="H55" s="75"/>
      <c r="I55" s="75"/>
    </row>
    <row r="56" customFormat="false" ht="15" hidden="false" customHeight="false" outlineLevel="0" collapsed="false">
      <c r="A56" s="73" t="s">
        <v>9651</v>
      </c>
      <c r="B56" s="73"/>
      <c r="C56" s="73"/>
      <c r="D56" s="73"/>
      <c r="E56" s="73"/>
      <c r="F56" s="73"/>
      <c r="G56" s="73"/>
      <c r="H56" s="73"/>
      <c r="I56" s="73"/>
    </row>
    <row r="57" customFormat="false" ht="15" hidden="false" customHeight="false" outlineLevel="0" collapsed="false">
      <c r="A57" s="75" t="s">
        <v>9652</v>
      </c>
      <c r="B57" s="75"/>
      <c r="C57" s="75"/>
      <c r="D57" s="75"/>
      <c r="E57" s="75"/>
      <c r="F57" s="75"/>
      <c r="G57" s="75"/>
      <c r="H57" s="75"/>
      <c r="I57" s="75"/>
    </row>
    <row r="58" customFormat="false" ht="15" hidden="false" customHeight="false" outlineLevel="0" collapsed="false">
      <c r="A58" s="73" t="s">
        <v>9653</v>
      </c>
      <c r="B58" s="73"/>
      <c r="C58" s="73"/>
      <c r="D58" s="73"/>
      <c r="E58" s="73"/>
      <c r="F58" s="73"/>
      <c r="G58" s="73"/>
      <c r="H58" s="73"/>
      <c r="I58" s="73"/>
    </row>
    <row r="59" customFormat="false" ht="15" hidden="false" customHeight="false" outlineLevel="0" collapsed="false">
      <c r="A59" s="75" t="s">
        <v>9654</v>
      </c>
      <c r="B59" s="75"/>
      <c r="C59" s="75"/>
      <c r="D59" s="75"/>
      <c r="E59" s="75"/>
      <c r="F59" s="75"/>
      <c r="G59" s="75"/>
      <c r="H59" s="75"/>
      <c r="I59" s="75"/>
    </row>
    <row r="60" customFormat="false" ht="15" hidden="false" customHeight="false" outlineLevel="0" collapsed="false">
      <c r="A60" s="73" t="s">
        <v>9655</v>
      </c>
      <c r="B60" s="73"/>
      <c r="C60" s="73"/>
      <c r="D60" s="73"/>
      <c r="E60" s="73"/>
      <c r="F60" s="73"/>
      <c r="G60" s="73"/>
      <c r="H60" s="73"/>
      <c r="I60" s="73"/>
    </row>
    <row r="61" customFormat="false" ht="15" hidden="false" customHeight="false" outlineLevel="0" collapsed="false">
      <c r="A61" s="75" t="s">
        <v>9656</v>
      </c>
      <c r="B61" s="75"/>
      <c r="C61" s="75"/>
      <c r="D61" s="75"/>
      <c r="E61" s="75"/>
      <c r="F61" s="75"/>
      <c r="G61" s="75"/>
      <c r="H61" s="75"/>
      <c r="I61" s="75"/>
    </row>
    <row r="62" customFormat="false" ht="15" hidden="false" customHeight="false" outlineLevel="0" collapsed="false">
      <c r="A62" s="73" t="s">
        <v>9657</v>
      </c>
      <c r="B62" s="73"/>
      <c r="C62" s="73"/>
      <c r="D62" s="73"/>
      <c r="E62" s="73"/>
      <c r="F62" s="73"/>
      <c r="G62" s="73"/>
      <c r="H62" s="73"/>
      <c r="I62" s="73"/>
    </row>
    <row r="63" customFormat="false" ht="15" hidden="false" customHeight="false" outlineLevel="0" collapsed="false">
      <c r="A63" s="75" t="s">
        <v>9658</v>
      </c>
      <c r="B63" s="75"/>
      <c r="C63" s="75"/>
      <c r="D63" s="75"/>
      <c r="E63" s="75"/>
      <c r="F63" s="75"/>
      <c r="G63" s="75"/>
      <c r="H63" s="75"/>
      <c r="I63" s="75"/>
    </row>
    <row r="64" customFormat="false" ht="15" hidden="false" customHeight="false" outlineLevel="0" collapsed="false">
      <c r="A64" s="73" t="s">
        <v>9659</v>
      </c>
      <c r="B64" s="73"/>
      <c r="C64" s="73"/>
      <c r="D64" s="73"/>
      <c r="E64" s="73"/>
      <c r="F64" s="73"/>
      <c r="G64" s="73"/>
      <c r="H64" s="73"/>
      <c r="I64" s="73"/>
    </row>
    <row r="65" customFormat="false" ht="15" hidden="false" customHeight="false" outlineLevel="0" collapsed="false">
      <c r="A65" s="75" t="s">
        <v>9660</v>
      </c>
      <c r="B65" s="75"/>
      <c r="C65" s="75"/>
      <c r="D65" s="75"/>
      <c r="E65" s="75"/>
      <c r="F65" s="75"/>
      <c r="G65" s="75"/>
      <c r="H65" s="75"/>
      <c r="I65" s="75"/>
    </row>
    <row r="66" customFormat="false" ht="15" hidden="false" customHeight="false" outlineLevel="0" collapsed="false">
      <c r="A66" s="73" t="s">
        <v>9661</v>
      </c>
      <c r="B66" s="73"/>
      <c r="C66" s="73"/>
      <c r="D66" s="73"/>
      <c r="E66" s="73"/>
      <c r="F66" s="73"/>
      <c r="G66" s="73"/>
      <c r="H66" s="73"/>
      <c r="I66" s="73"/>
    </row>
    <row r="67" customFormat="false" ht="15" hidden="false" customHeight="false" outlineLevel="0" collapsed="false">
      <c r="A67" s="75" t="s">
        <v>9662</v>
      </c>
      <c r="B67" s="75"/>
      <c r="C67" s="75"/>
      <c r="D67" s="75"/>
      <c r="E67" s="75"/>
      <c r="F67" s="75"/>
      <c r="G67" s="75"/>
      <c r="H67" s="75"/>
      <c r="I67" s="75"/>
    </row>
    <row r="68" customFormat="false" ht="15" hidden="false" customHeight="false" outlineLevel="0" collapsed="false">
      <c r="A68" s="73" t="s">
        <v>9663</v>
      </c>
      <c r="B68" s="73"/>
      <c r="C68" s="73"/>
      <c r="D68" s="73"/>
      <c r="E68" s="73"/>
      <c r="F68" s="73"/>
      <c r="G68" s="73"/>
      <c r="H68" s="73"/>
      <c r="I68" s="73"/>
    </row>
    <row r="69" customFormat="false" ht="15" hidden="false" customHeight="false" outlineLevel="0" collapsed="false">
      <c r="A69" s="75" t="s">
        <v>9664</v>
      </c>
      <c r="B69" s="75"/>
      <c r="C69" s="75"/>
      <c r="D69" s="75"/>
      <c r="E69" s="75"/>
      <c r="F69" s="75"/>
      <c r="G69" s="75"/>
      <c r="H69" s="75"/>
      <c r="I69" s="75"/>
    </row>
    <row r="70" customFormat="false" ht="15" hidden="false" customHeight="false" outlineLevel="0" collapsed="false">
      <c r="A70" s="73" t="s">
        <v>9665</v>
      </c>
      <c r="B70" s="73"/>
      <c r="C70" s="73"/>
      <c r="D70" s="73"/>
      <c r="E70" s="73"/>
      <c r="F70" s="73"/>
      <c r="G70" s="73"/>
      <c r="H70" s="73"/>
      <c r="I70" s="73"/>
    </row>
    <row r="71" customFormat="false" ht="15" hidden="false" customHeight="false" outlineLevel="0" collapsed="false">
      <c r="A71" s="75" t="s">
        <v>9666</v>
      </c>
      <c r="B71" s="75"/>
      <c r="C71" s="75"/>
      <c r="D71" s="75"/>
      <c r="E71" s="75"/>
      <c r="F71" s="75"/>
      <c r="G71" s="75"/>
      <c r="H71" s="75"/>
      <c r="I71" s="75"/>
    </row>
    <row r="72" customFormat="false" ht="15" hidden="false" customHeight="false" outlineLevel="0" collapsed="false">
      <c r="A72" s="73" t="s">
        <v>9667</v>
      </c>
      <c r="B72" s="73"/>
      <c r="C72" s="73"/>
      <c r="D72" s="73"/>
      <c r="E72" s="73"/>
      <c r="F72" s="73"/>
      <c r="G72" s="73"/>
      <c r="H72" s="73"/>
      <c r="I72" s="73"/>
    </row>
    <row r="73" customFormat="false" ht="15" hidden="false" customHeight="false" outlineLevel="0" collapsed="false">
      <c r="A73" s="75" t="s">
        <v>9668</v>
      </c>
      <c r="B73" s="75"/>
      <c r="C73" s="75"/>
      <c r="D73" s="75"/>
      <c r="E73" s="75"/>
      <c r="F73" s="75"/>
      <c r="G73" s="75"/>
      <c r="H73" s="75"/>
      <c r="I73" s="75"/>
    </row>
    <row r="74" customFormat="false" ht="15" hidden="false" customHeight="false" outlineLevel="0" collapsed="false">
      <c r="A74" s="73" t="s">
        <v>9669</v>
      </c>
      <c r="B74" s="73"/>
      <c r="C74" s="73"/>
      <c r="D74" s="73"/>
      <c r="E74" s="73"/>
      <c r="F74" s="73"/>
      <c r="G74" s="73"/>
      <c r="H74" s="73"/>
      <c r="I74" s="73"/>
    </row>
  </sheetData>
  <mergeCells count="6">
    <mergeCell ref="A1:G1"/>
    <mergeCell ref="A3:G3"/>
    <mergeCell ref="A15:D15"/>
    <mergeCell ref="A26:H26"/>
    <mergeCell ref="A37:H37"/>
    <mergeCell ref="A45:I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20"/>
    <col collapsed="false" customWidth="true" hidden="false" outlineLevel="0" max="3" min="3" style="0" width="18"/>
    <col collapsed="false" customWidth="true" hidden="false" outlineLevel="0" max="5" min="4" style="0" width="25"/>
  </cols>
  <sheetData>
    <row r="1" customFormat="false" ht="17.35" hidden="false" customHeight="false" outlineLevel="0" collapsed="false">
      <c r="A1" s="273" t="s">
        <v>9670</v>
      </c>
      <c r="B1" s="273"/>
      <c r="C1" s="273"/>
      <c r="D1" s="273"/>
      <c r="E1" s="273"/>
    </row>
    <row r="3" customFormat="false" ht="15" hidden="false" customHeight="false" outlineLevel="0" collapsed="false">
      <c r="A3" s="78" t="s">
        <v>9671</v>
      </c>
      <c r="B3" s="78"/>
      <c r="C3" s="78"/>
      <c r="D3" s="78"/>
      <c r="E3" s="78"/>
    </row>
    <row r="4" customFormat="false" ht="15" hidden="false" customHeight="false" outlineLevel="0" collapsed="false">
      <c r="A4" s="3" t="s">
        <v>3799</v>
      </c>
      <c r="B4" s="3" t="s">
        <v>9672</v>
      </c>
      <c r="C4" s="3" t="s">
        <v>9673</v>
      </c>
      <c r="D4" s="3" t="s">
        <v>2637</v>
      </c>
      <c r="E4" s="3" t="s">
        <v>5478</v>
      </c>
    </row>
    <row r="5" customFormat="false" ht="15" hidden="false" customHeight="false" outlineLevel="0" collapsed="false">
      <c r="A5" s="75" t="s">
        <v>9674</v>
      </c>
      <c r="B5" s="75" t="s">
        <v>9675</v>
      </c>
      <c r="C5" s="75" t="s">
        <v>9676</v>
      </c>
      <c r="D5" s="75" t="s">
        <v>9677</v>
      </c>
      <c r="E5" s="75" t="s">
        <v>9594</v>
      </c>
    </row>
    <row r="6" customFormat="false" ht="15" hidden="false" customHeight="false" outlineLevel="0" collapsed="false">
      <c r="A6" s="73" t="s">
        <v>9678</v>
      </c>
      <c r="B6" s="73" t="s">
        <v>3815</v>
      </c>
      <c r="C6" s="73" t="s">
        <v>9676</v>
      </c>
      <c r="D6" s="73" t="s">
        <v>9679</v>
      </c>
      <c r="E6" s="73" t="s">
        <v>9594</v>
      </c>
    </row>
    <row r="7" customFormat="false" ht="15" hidden="false" customHeight="false" outlineLevel="0" collapsed="false">
      <c r="A7" s="75" t="s">
        <v>310</v>
      </c>
      <c r="B7" s="75" t="s">
        <v>9599</v>
      </c>
      <c r="C7" s="75" t="s">
        <v>9680</v>
      </c>
      <c r="D7" s="75" t="s">
        <v>9681</v>
      </c>
      <c r="E7" s="75" t="s">
        <v>9682</v>
      </c>
    </row>
    <row r="8" customFormat="false" ht="15" hidden="false" customHeight="false" outlineLevel="0" collapsed="false">
      <c r="A8" s="73" t="s">
        <v>6536</v>
      </c>
      <c r="B8" s="73" t="s">
        <v>9599</v>
      </c>
      <c r="C8" s="73" t="s">
        <v>9683</v>
      </c>
      <c r="D8" s="73" t="s">
        <v>9684</v>
      </c>
      <c r="E8" s="73" t="s">
        <v>9608</v>
      </c>
    </row>
    <row r="9" customFormat="false" ht="15" hidden="false" customHeight="false" outlineLevel="0" collapsed="false">
      <c r="A9" s="75" t="s">
        <v>9685</v>
      </c>
      <c r="B9" s="75" t="s">
        <v>3815</v>
      </c>
      <c r="C9" s="75" t="s">
        <v>9676</v>
      </c>
      <c r="D9" s="75" t="s">
        <v>9686</v>
      </c>
      <c r="E9" s="75" t="s">
        <v>9594</v>
      </c>
    </row>
    <row r="10" customFormat="false" ht="15" hidden="false" customHeight="false" outlineLevel="0" collapsed="false">
      <c r="A10" s="73" t="s">
        <v>320</v>
      </c>
      <c r="B10" s="73" t="s">
        <v>8823</v>
      </c>
      <c r="C10" s="73" t="s">
        <v>9676</v>
      </c>
      <c r="D10" s="73" t="s">
        <v>9687</v>
      </c>
      <c r="E10" s="73" t="s">
        <v>4927</v>
      </c>
    </row>
    <row r="11" customFormat="false" ht="15" hidden="false" customHeight="false" outlineLevel="0" collapsed="false">
      <c r="A11" s="75" t="s">
        <v>9688</v>
      </c>
      <c r="B11" s="75" t="s">
        <v>3853</v>
      </c>
      <c r="C11" s="75" t="s">
        <v>672</v>
      </c>
      <c r="D11" s="75" t="s">
        <v>9689</v>
      </c>
      <c r="E11" s="75" t="s">
        <v>4076</v>
      </c>
    </row>
    <row r="13" customFormat="false" ht="15" hidden="false" customHeight="false" outlineLevel="0" collapsed="false">
      <c r="A13" s="78" t="s">
        <v>9690</v>
      </c>
      <c r="B13" s="78"/>
      <c r="C13" s="78"/>
      <c r="D13" s="78"/>
      <c r="E13" s="78"/>
    </row>
    <row r="14" customFormat="false" ht="15" hidden="false" customHeight="false" outlineLevel="0" collapsed="false">
      <c r="A14" s="3" t="s">
        <v>566</v>
      </c>
      <c r="B14" s="3" t="s">
        <v>9691</v>
      </c>
      <c r="C14" s="3" t="s">
        <v>9402</v>
      </c>
      <c r="D14" s="3" t="s">
        <v>3799</v>
      </c>
      <c r="E14" s="3" t="s">
        <v>4453</v>
      </c>
    </row>
    <row r="15" customFormat="false" ht="23.85" hidden="false" customHeight="false" outlineLevel="0" collapsed="false">
      <c r="A15" s="75" t="s">
        <v>527</v>
      </c>
      <c r="B15" s="75" t="s">
        <v>9692</v>
      </c>
      <c r="C15" s="75" t="s">
        <v>9693</v>
      </c>
      <c r="D15" s="75" t="s">
        <v>9694</v>
      </c>
      <c r="E15" s="75" t="s">
        <v>9695</v>
      </c>
    </row>
    <row r="16" customFormat="false" ht="23.85" hidden="false" customHeight="false" outlineLevel="0" collapsed="false">
      <c r="A16" s="73" t="s">
        <v>1772</v>
      </c>
      <c r="B16" s="73" t="s">
        <v>9696</v>
      </c>
      <c r="C16" s="73" t="s">
        <v>9697</v>
      </c>
      <c r="D16" s="73" t="s">
        <v>9698</v>
      </c>
      <c r="E16" s="73" t="s">
        <v>9699</v>
      </c>
    </row>
    <row r="17" customFormat="false" ht="23.85" hidden="false" customHeight="false" outlineLevel="0" collapsed="false">
      <c r="A17" s="75" t="s">
        <v>2456</v>
      </c>
      <c r="B17" s="75" t="s">
        <v>9700</v>
      </c>
      <c r="C17" s="75" t="s">
        <v>9701</v>
      </c>
      <c r="D17" s="75" t="s">
        <v>826</v>
      </c>
      <c r="E17" s="75" t="s">
        <v>9702</v>
      </c>
    </row>
    <row r="18" customFormat="false" ht="23.85" hidden="false" customHeight="false" outlineLevel="0" collapsed="false">
      <c r="A18" s="73" t="s">
        <v>3615</v>
      </c>
      <c r="B18" s="73" t="s">
        <v>9703</v>
      </c>
      <c r="C18" s="73" t="s">
        <v>9704</v>
      </c>
      <c r="D18" s="73" t="s">
        <v>9705</v>
      </c>
      <c r="E18" s="73" t="s">
        <v>9706</v>
      </c>
    </row>
    <row r="19" customFormat="false" ht="23.85" hidden="false" customHeight="false" outlineLevel="0" collapsed="false">
      <c r="A19" s="75" t="s">
        <v>3634</v>
      </c>
      <c r="B19" s="75" t="s">
        <v>9707</v>
      </c>
      <c r="C19" s="75" t="s">
        <v>9708</v>
      </c>
      <c r="D19" s="75" t="s">
        <v>875</v>
      </c>
      <c r="E19" s="75" t="s">
        <v>9709</v>
      </c>
    </row>
    <row r="20" customFormat="false" ht="23.85" hidden="false" customHeight="false" outlineLevel="0" collapsed="false">
      <c r="A20" s="73" t="s">
        <v>8242</v>
      </c>
      <c r="B20" s="73" t="s">
        <v>9710</v>
      </c>
      <c r="C20" s="73" t="s">
        <v>9711</v>
      </c>
      <c r="D20" s="73" t="s">
        <v>826</v>
      </c>
      <c r="E20" s="73" t="s">
        <v>9712</v>
      </c>
    </row>
    <row r="21" customFormat="false" ht="23.85" hidden="false" customHeight="false" outlineLevel="0" collapsed="false">
      <c r="A21" s="75" t="s">
        <v>9713</v>
      </c>
      <c r="B21" s="75" t="s">
        <v>9714</v>
      </c>
      <c r="C21" s="75" t="s">
        <v>9715</v>
      </c>
      <c r="D21" s="75" t="s">
        <v>2258</v>
      </c>
      <c r="E21" s="75" t="s">
        <v>9716</v>
      </c>
    </row>
    <row r="23" customFormat="false" ht="15" hidden="false" customHeight="false" outlineLevel="0" collapsed="false">
      <c r="A23" s="78" t="s">
        <v>9717</v>
      </c>
      <c r="B23" s="78"/>
      <c r="C23" s="78"/>
      <c r="D23" s="78"/>
      <c r="E23" s="78"/>
    </row>
    <row r="24" customFormat="false" ht="15" hidden="false" customHeight="false" outlineLevel="0" collapsed="false">
      <c r="A24" s="3" t="s">
        <v>9718</v>
      </c>
      <c r="B24" s="3" t="s">
        <v>9719</v>
      </c>
      <c r="C24" s="3" t="s">
        <v>576</v>
      </c>
      <c r="D24" s="3" t="s">
        <v>3799</v>
      </c>
      <c r="E24" s="3" t="s">
        <v>5478</v>
      </c>
    </row>
    <row r="25" customFormat="false" ht="15" hidden="false" customHeight="false" outlineLevel="0" collapsed="false">
      <c r="A25" s="75" t="s">
        <v>9720</v>
      </c>
      <c r="B25" s="75" t="s">
        <v>9721</v>
      </c>
      <c r="C25" s="75" t="s">
        <v>9722</v>
      </c>
      <c r="D25" s="75" t="s">
        <v>2258</v>
      </c>
      <c r="E25" s="75" t="s">
        <v>9608</v>
      </c>
    </row>
    <row r="26" customFormat="false" ht="15" hidden="false" customHeight="false" outlineLevel="0" collapsed="false">
      <c r="A26" s="73" t="s">
        <v>9723</v>
      </c>
      <c r="B26" s="73" t="s">
        <v>9724</v>
      </c>
      <c r="C26" s="73" t="s">
        <v>9725</v>
      </c>
      <c r="D26" s="73" t="s">
        <v>9726</v>
      </c>
      <c r="E26" s="73" t="s">
        <v>3650</v>
      </c>
    </row>
    <row r="27" customFormat="false" ht="15" hidden="false" customHeight="false" outlineLevel="0" collapsed="false">
      <c r="A27" s="75" t="s">
        <v>9727</v>
      </c>
      <c r="B27" s="75" t="s">
        <v>9728</v>
      </c>
      <c r="C27" s="75" t="s">
        <v>3857</v>
      </c>
      <c r="D27" s="75" t="s">
        <v>9729</v>
      </c>
      <c r="E27" s="75" t="s">
        <v>9613</v>
      </c>
    </row>
    <row r="28" customFormat="false" ht="15" hidden="false" customHeight="false" outlineLevel="0" collapsed="false">
      <c r="A28" s="73" t="s">
        <v>9730</v>
      </c>
      <c r="B28" s="73" t="s">
        <v>9731</v>
      </c>
      <c r="C28" s="73" t="s">
        <v>1460</v>
      </c>
      <c r="D28" s="73" t="s">
        <v>9732</v>
      </c>
      <c r="E28" s="73" t="s">
        <v>4076</v>
      </c>
    </row>
    <row r="30" customFormat="false" ht="15" hidden="false" customHeight="false" outlineLevel="0" collapsed="false">
      <c r="A30" s="78" t="s">
        <v>9733</v>
      </c>
      <c r="B30" s="78"/>
      <c r="C30" s="78"/>
      <c r="D30" s="78"/>
      <c r="E30" s="78"/>
    </row>
    <row r="31" customFormat="false" ht="15" hidden="false" customHeight="false" outlineLevel="0" collapsed="false">
      <c r="A31" s="3" t="s">
        <v>9734</v>
      </c>
      <c r="B31" s="3" t="s">
        <v>9735</v>
      </c>
      <c r="C31" s="3" t="s">
        <v>3797</v>
      </c>
      <c r="D31" s="3" t="s">
        <v>576</v>
      </c>
      <c r="E31" s="3" t="s">
        <v>5478</v>
      </c>
    </row>
    <row r="32" customFormat="false" ht="23.85" hidden="false" customHeight="false" outlineLevel="0" collapsed="false">
      <c r="A32" s="75" t="s">
        <v>9736</v>
      </c>
      <c r="B32" s="75" t="s">
        <v>9737</v>
      </c>
      <c r="C32" s="75" t="s">
        <v>9738</v>
      </c>
      <c r="D32" s="75" t="s">
        <v>3857</v>
      </c>
      <c r="E32" s="75" t="s">
        <v>3650</v>
      </c>
    </row>
    <row r="33" customFormat="false" ht="23.85" hidden="false" customHeight="false" outlineLevel="0" collapsed="false">
      <c r="A33" s="73" t="s">
        <v>9739</v>
      </c>
      <c r="B33" s="73" t="s">
        <v>9740</v>
      </c>
      <c r="C33" s="73" t="s">
        <v>9741</v>
      </c>
      <c r="D33" s="73" t="s">
        <v>3860</v>
      </c>
      <c r="E33" s="73" t="s">
        <v>4076</v>
      </c>
    </row>
    <row r="34" customFormat="false" ht="23.85" hidden="false" customHeight="false" outlineLevel="0" collapsed="false">
      <c r="A34" s="75" t="s">
        <v>9742</v>
      </c>
      <c r="B34" s="75" t="s">
        <v>9743</v>
      </c>
      <c r="C34" s="75" t="s">
        <v>9744</v>
      </c>
      <c r="D34" s="75" t="s">
        <v>9745</v>
      </c>
      <c r="E34" s="75" t="s">
        <v>9746</v>
      </c>
    </row>
    <row r="35" customFormat="false" ht="23.85" hidden="false" customHeight="false" outlineLevel="0" collapsed="false">
      <c r="A35" s="73" t="s">
        <v>9747</v>
      </c>
      <c r="B35" s="73" t="s">
        <v>9748</v>
      </c>
      <c r="C35" s="73" t="s">
        <v>9749</v>
      </c>
      <c r="D35" s="73" t="s">
        <v>8985</v>
      </c>
      <c r="E35" s="73" t="s">
        <v>9750</v>
      </c>
    </row>
    <row r="37" customFormat="false" ht="15" hidden="false" customHeight="false" outlineLevel="0" collapsed="false">
      <c r="A37" s="78" t="s">
        <v>9751</v>
      </c>
      <c r="B37" s="78"/>
      <c r="C37" s="78"/>
      <c r="D37" s="78"/>
      <c r="E37" s="78"/>
      <c r="F37" s="78"/>
      <c r="G37" s="78"/>
      <c r="H37" s="78"/>
    </row>
    <row r="38" customFormat="false" ht="26.85" hidden="false" customHeight="false" outlineLevel="0" collapsed="false">
      <c r="A38" s="3" t="s">
        <v>500</v>
      </c>
      <c r="B38" s="3" t="s">
        <v>9752</v>
      </c>
      <c r="C38" s="3" t="s">
        <v>9753</v>
      </c>
      <c r="D38" s="3" t="s">
        <v>9754</v>
      </c>
      <c r="E38" s="3" t="s">
        <v>9755</v>
      </c>
      <c r="F38" s="3" t="s">
        <v>9756</v>
      </c>
      <c r="G38" s="3" t="s">
        <v>9757</v>
      </c>
      <c r="H38" s="3" t="s">
        <v>9758</v>
      </c>
    </row>
    <row r="39" customFormat="false" ht="15" hidden="false" customHeight="false" outlineLevel="0" collapsed="false">
      <c r="A39" s="75" t="s">
        <v>4186</v>
      </c>
      <c r="B39" s="75"/>
      <c r="C39" s="75"/>
      <c r="D39" s="75"/>
      <c r="E39" s="75"/>
      <c r="F39" s="75"/>
      <c r="G39" s="75"/>
      <c r="H39" s="75"/>
    </row>
    <row r="40" customFormat="false" ht="15" hidden="false" customHeight="false" outlineLevel="0" collapsed="false">
      <c r="A40" s="73" t="s">
        <v>4190</v>
      </c>
      <c r="B40" s="73"/>
      <c r="C40" s="73"/>
      <c r="D40" s="73"/>
      <c r="E40" s="73"/>
      <c r="F40" s="73"/>
      <c r="G40" s="73"/>
      <c r="H40" s="73"/>
    </row>
    <row r="41" customFormat="false" ht="15" hidden="false" customHeight="false" outlineLevel="0" collapsed="false">
      <c r="A41" s="75" t="s">
        <v>4194</v>
      </c>
      <c r="B41" s="75"/>
      <c r="C41" s="75"/>
      <c r="D41" s="75"/>
      <c r="E41" s="75"/>
      <c r="F41" s="75"/>
      <c r="G41" s="75"/>
      <c r="H41" s="75"/>
    </row>
    <row r="42" customFormat="false" ht="15" hidden="false" customHeight="false" outlineLevel="0" collapsed="false">
      <c r="A42" s="73" t="s">
        <v>4198</v>
      </c>
      <c r="B42" s="73"/>
      <c r="C42" s="73"/>
      <c r="D42" s="73"/>
      <c r="E42" s="73"/>
      <c r="F42" s="73"/>
      <c r="G42" s="73"/>
      <c r="H42" s="73"/>
    </row>
    <row r="43" customFormat="false" ht="15" hidden="false" customHeight="false" outlineLevel="0" collapsed="false">
      <c r="A43" s="75" t="s">
        <v>4201</v>
      </c>
      <c r="B43" s="75"/>
      <c r="C43" s="75"/>
      <c r="D43" s="75"/>
      <c r="E43" s="75"/>
      <c r="F43" s="75"/>
      <c r="G43" s="75"/>
      <c r="H43" s="75"/>
    </row>
    <row r="44" customFormat="false" ht="15" hidden="false" customHeight="false" outlineLevel="0" collapsed="false">
      <c r="A44" s="73" t="s">
        <v>4205</v>
      </c>
      <c r="B44" s="73"/>
      <c r="C44" s="73"/>
      <c r="D44" s="73"/>
      <c r="E44" s="73"/>
      <c r="F44" s="73"/>
      <c r="G44" s="73"/>
      <c r="H44" s="73"/>
    </row>
  </sheetData>
  <mergeCells count="6">
    <mergeCell ref="A1:E1"/>
    <mergeCell ref="A3:E3"/>
    <mergeCell ref="A13:E13"/>
    <mergeCell ref="A23:E23"/>
    <mergeCell ref="A30:E30"/>
    <mergeCell ref="A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5"/>
    <col collapsed="false" customWidth="true" hidden="false" outlineLevel="0" max="3" min="3" style="0" width="35"/>
    <col collapsed="false" customWidth="true" hidden="false" outlineLevel="0" max="4" min="4" style="0" width="15"/>
    <col collapsed="false" customWidth="true" hidden="false" outlineLevel="0" max="5" min="5" style="0" width="20"/>
    <col collapsed="false" customWidth="true" hidden="false" outlineLevel="0" max="6" min="6" style="0" width="18"/>
  </cols>
  <sheetData>
    <row r="1" customFormat="false" ht="17.35" hidden="false" customHeight="false" outlineLevel="0" collapsed="false">
      <c r="A1" s="273" t="s">
        <v>9759</v>
      </c>
      <c r="B1" s="273"/>
      <c r="C1" s="273"/>
      <c r="D1" s="273"/>
      <c r="E1" s="273"/>
      <c r="F1" s="273"/>
    </row>
    <row r="3" customFormat="false" ht="15" hidden="false" customHeight="false" outlineLevel="0" collapsed="false">
      <c r="A3" s="78" t="s">
        <v>9760</v>
      </c>
      <c r="B3" s="78"/>
      <c r="C3" s="78"/>
      <c r="D3" s="78"/>
      <c r="E3" s="78"/>
      <c r="F3" s="78"/>
    </row>
    <row r="4" customFormat="false" ht="15" hidden="false" customHeight="false" outlineLevel="0" collapsed="false">
      <c r="A4" s="3" t="s">
        <v>285</v>
      </c>
      <c r="B4" s="3" t="s">
        <v>9761</v>
      </c>
      <c r="C4" s="3" t="s">
        <v>9402</v>
      </c>
      <c r="D4" s="3" t="s">
        <v>2029</v>
      </c>
      <c r="E4" s="3" t="s">
        <v>1994</v>
      </c>
      <c r="F4" s="3" t="s">
        <v>4059</v>
      </c>
    </row>
    <row r="5" customFormat="false" ht="23.85" hidden="false" customHeight="false" outlineLevel="0" collapsed="false">
      <c r="A5" s="75" t="s">
        <v>9762</v>
      </c>
      <c r="B5" s="75" t="s">
        <v>9763</v>
      </c>
      <c r="C5" s="75" t="s">
        <v>9764</v>
      </c>
      <c r="D5" s="75" t="s">
        <v>9765</v>
      </c>
      <c r="E5" s="75" t="s">
        <v>9766</v>
      </c>
      <c r="F5" s="75" t="s">
        <v>9767</v>
      </c>
    </row>
    <row r="6" customFormat="false" ht="23.85" hidden="false" customHeight="false" outlineLevel="0" collapsed="false">
      <c r="A6" s="73" t="s">
        <v>9768</v>
      </c>
      <c r="B6" s="73" t="s">
        <v>8828</v>
      </c>
      <c r="C6" s="73" t="s">
        <v>9769</v>
      </c>
      <c r="D6" s="73" t="s">
        <v>9770</v>
      </c>
      <c r="E6" s="73" t="s">
        <v>9771</v>
      </c>
      <c r="F6" s="73" t="s">
        <v>9772</v>
      </c>
    </row>
    <row r="7" customFormat="false" ht="23.85" hidden="false" customHeight="false" outlineLevel="0" collapsed="false">
      <c r="A7" s="75" t="s">
        <v>9773</v>
      </c>
      <c r="B7" s="75" t="s">
        <v>9774</v>
      </c>
      <c r="C7" s="75" t="s">
        <v>9775</v>
      </c>
      <c r="D7" s="75" t="s">
        <v>9776</v>
      </c>
      <c r="E7" s="75" t="s">
        <v>9608</v>
      </c>
      <c r="F7" s="75" t="s">
        <v>9777</v>
      </c>
    </row>
    <row r="8" customFormat="false" ht="23.85" hidden="false" customHeight="false" outlineLevel="0" collapsed="false">
      <c r="A8" s="73" t="s">
        <v>9778</v>
      </c>
      <c r="B8" s="73" t="s">
        <v>8828</v>
      </c>
      <c r="C8" s="73" t="s">
        <v>9779</v>
      </c>
      <c r="D8" s="73" t="s">
        <v>9780</v>
      </c>
      <c r="E8" s="73" t="s">
        <v>9613</v>
      </c>
      <c r="F8" s="73" t="s">
        <v>9781</v>
      </c>
    </row>
    <row r="9" customFormat="false" ht="23.85" hidden="false" customHeight="false" outlineLevel="0" collapsed="false">
      <c r="A9" s="75" t="s">
        <v>9782</v>
      </c>
      <c r="B9" s="75" t="s">
        <v>9763</v>
      </c>
      <c r="C9" s="75" t="s">
        <v>9783</v>
      </c>
      <c r="D9" s="75" t="s">
        <v>9784</v>
      </c>
      <c r="E9" s="75" t="s">
        <v>9785</v>
      </c>
      <c r="F9" s="75" t="s">
        <v>9786</v>
      </c>
    </row>
    <row r="11" customFormat="false" ht="15" hidden="false" customHeight="false" outlineLevel="0" collapsed="false">
      <c r="A11" s="78" t="s">
        <v>9787</v>
      </c>
      <c r="B11" s="78"/>
      <c r="C11" s="78"/>
      <c r="D11" s="78"/>
    </row>
    <row r="12" customFormat="false" ht="15" hidden="false" customHeight="false" outlineLevel="0" collapsed="false">
      <c r="A12" s="3" t="s">
        <v>483</v>
      </c>
      <c r="B12" s="3" t="s">
        <v>9788</v>
      </c>
      <c r="C12" s="3" t="s">
        <v>9789</v>
      </c>
      <c r="D12" s="3" t="s">
        <v>4531</v>
      </c>
    </row>
    <row r="13" customFormat="false" ht="23.85" hidden="false" customHeight="false" outlineLevel="0" collapsed="false">
      <c r="A13" s="75" t="n">
        <v>1</v>
      </c>
      <c r="B13" s="75" t="s">
        <v>9790</v>
      </c>
      <c r="C13" s="75" t="s">
        <v>9766</v>
      </c>
      <c r="D13" s="75"/>
    </row>
    <row r="14" customFormat="false" ht="23.85" hidden="false" customHeight="false" outlineLevel="0" collapsed="false">
      <c r="A14" s="73" t="n">
        <v>2</v>
      </c>
      <c r="B14" s="73" t="s">
        <v>9791</v>
      </c>
      <c r="C14" s="73" t="s">
        <v>9766</v>
      </c>
      <c r="D14" s="73"/>
    </row>
    <row r="15" customFormat="false" ht="15" hidden="false" customHeight="false" outlineLevel="0" collapsed="false">
      <c r="A15" s="75" t="n">
        <v>3</v>
      </c>
      <c r="B15" s="75" t="s">
        <v>9792</v>
      </c>
      <c r="C15" s="75" t="s">
        <v>9621</v>
      </c>
      <c r="D15" s="75"/>
    </row>
    <row r="16" customFormat="false" ht="23.85" hidden="false" customHeight="false" outlineLevel="0" collapsed="false">
      <c r="A16" s="73" t="n">
        <v>4</v>
      </c>
      <c r="B16" s="73" t="s">
        <v>9793</v>
      </c>
      <c r="C16" s="73" t="s">
        <v>9794</v>
      </c>
      <c r="D16" s="73"/>
    </row>
    <row r="17" customFormat="false" ht="23.85" hidden="false" customHeight="false" outlineLevel="0" collapsed="false">
      <c r="A17" s="75" t="n">
        <v>5</v>
      </c>
      <c r="B17" s="75" t="s">
        <v>9795</v>
      </c>
      <c r="C17" s="75" t="s">
        <v>9608</v>
      </c>
      <c r="D17" s="75"/>
    </row>
    <row r="18" customFormat="false" ht="23.85" hidden="false" customHeight="false" outlineLevel="0" collapsed="false">
      <c r="A18" s="73" t="n">
        <v>6</v>
      </c>
      <c r="B18" s="73" t="s">
        <v>9796</v>
      </c>
      <c r="C18" s="73" t="s">
        <v>9797</v>
      </c>
      <c r="D18" s="73"/>
    </row>
    <row r="19" customFormat="false" ht="15" hidden="false" customHeight="false" outlineLevel="0" collapsed="false">
      <c r="A19" s="75" t="n">
        <v>7</v>
      </c>
      <c r="B19" s="75" t="s">
        <v>9798</v>
      </c>
      <c r="C19" s="75" t="s">
        <v>9797</v>
      </c>
      <c r="D19" s="75"/>
    </row>
    <row r="20" customFormat="false" ht="23.85" hidden="false" customHeight="false" outlineLevel="0" collapsed="false">
      <c r="A20" s="73" t="n">
        <v>8</v>
      </c>
      <c r="B20" s="73" t="s">
        <v>9799</v>
      </c>
      <c r="C20" s="73" t="s">
        <v>9800</v>
      </c>
      <c r="D20" s="73"/>
    </row>
    <row r="21" customFormat="false" ht="35.05" hidden="false" customHeight="false" outlineLevel="0" collapsed="false">
      <c r="A21" s="75" t="n">
        <v>9</v>
      </c>
      <c r="B21" s="75" t="s">
        <v>9801</v>
      </c>
      <c r="C21" s="75" t="s">
        <v>9794</v>
      </c>
      <c r="D21" s="75"/>
    </row>
    <row r="22" customFormat="false" ht="23.85" hidden="false" customHeight="false" outlineLevel="0" collapsed="false">
      <c r="A22" s="73" t="n">
        <v>10</v>
      </c>
      <c r="B22" s="73" t="s">
        <v>9802</v>
      </c>
      <c r="C22" s="73" t="s">
        <v>9608</v>
      </c>
      <c r="D22" s="73"/>
    </row>
    <row r="23" customFormat="false" ht="35.05" hidden="false" customHeight="false" outlineLevel="0" collapsed="false">
      <c r="A23" s="75" t="n">
        <v>11</v>
      </c>
      <c r="B23" s="75" t="s">
        <v>9803</v>
      </c>
      <c r="C23" s="75" t="s">
        <v>9785</v>
      </c>
      <c r="D23" s="75"/>
    </row>
    <row r="24" customFormat="false" ht="35.05" hidden="false" customHeight="false" outlineLevel="0" collapsed="false">
      <c r="A24" s="73" t="n">
        <v>12</v>
      </c>
      <c r="B24" s="73" t="s">
        <v>9804</v>
      </c>
      <c r="C24" s="73" t="s">
        <v>9608</v>
      </c>
      <c r="D24" s="73"/>
    </row>
    <row r="25" customFormat="false" ht="23.85" hidden="false" customHeight="false" outlineLevel="0" collapsed="false">
      <c r="A25" s="75" t="n">
        <v>13</v>
      </c>
      <c r="B25" s="75" t="s">
        <v>9805</v>
      </c>
      <c r="C25" s="75" t="s">
        <v>9797</v>
      </c>
      <c r="D25" s="75"/>
    </row>
    <row r="26" customFormat="false" ht="23.85" hidden="false" customHeight="false" outlineLevel="0" collapsed="false">
      <c r="A26" s="73" t="n">
        <v>14</v>
      </c>
      <c r="B26" s="73" t="s">
        <v>9806</v>
      </c>
      <c r="C26" s="73" t="s">
        <v>9797</v>
      </c>
      <c r="D26" s="73"/>
    </row>
    <row r="27" customFormat="false" ht="23.85" hidden="false" customHeight="false" outlineLevel="0" collapsed="false">
      <c r="A27" s="75" t="n">
        <v>15</v>
      </c>
      <c r="B27" s="75" t="s">
        <v>9807</v>
      </c>
      <c r="C27" s="75" t="s">
        <v>9794</v>
      </c>
      <c r="D27" s="75"/>
    </row>
    <row r="28" customFormat="false" ht="23.85" hidden="false" customHeight="false" outlineLevel="0" collapsed="false">
      <c r="A28" s="73" t="n">
        <v>16</v>
      </c>
      <c r="B28" s="73" t="s">
        <v>9808</v>
      </c>
      <c r="C28" s="73" t="s">
        <v>9608</v>
      </c>
      <c r="D28" s="73"/>
    </row>
    <row r="29" customFormat="false" ht="35.05" hidden="false" customHeight="false" outlineLevel="0" collapsed="false">
      <c r="A29" s="75" t="n">
        <v>17</v>
      </c>
      <c r="B29" s="75" t="s">
        <v>9809</v>
      </c>
      <c r="C29" s="75" t="s">
        <v>9625</v>
      </c>
      <c r="D29" s="75"/>
    </row>
    <row r="30" customFormat="false" ht="23.85" hidden="false" customHeight="false" outlineLevel="0" collapsed="false">
      <c r="A30" s="73" t="n">
        <v>18</v>
      </c>
      <c r="B30" s="73" t="s">
        <v>9810</v>
      </c>
      <c r="C30" s="73" t="s">
        <v>9621</v>
      </c>
      <c r="D30" s="73"/>
    </row>
    <row r="32" customFormat="false" ht="15" hidden="false" customHeight="false" outlineLevel="0" collapsed="false">
      <c r="A32" s="78" t="s">
        <v>9811</v>
      </c>
      <c r="B32" s="78"/>
      <c r="C32" s="78"/>
      <c r="D32" s="78"/>
    </row>
    <row r="33" customFormat="false" ht="26.85" hidden="false" customHeight="false" outlineLevel="0" collapsed="false">
      <c r="A33" s="3" t="s">
        <v>483</v>
      </c>
      <c r="B33" s="3" t="s">
        <v>9812</v>
      </c>
      <c r="C33" s="3" t="s">
        <v>9813</v>
      </c>
      <c r="D33" s="3" t="s">
        <v>9814</v>
      </c>
    </row>
    <row r="34" customFormat="false" ht="23.85" hidden="false" customHeight="false" outlineLevel="0" collapsed="false">
      <c r="A34" s="75" t="n">
        <v>1</v>
      </c>
      <c r="B34" s="75" t="s">
        <v>9815</v>
      </c>
      <c r="C34" s="75" t="s">
        <v>9816</v>
      </c>
      <c r="D34" s="75" t="s">
        <v>9817</v>
      </c>
    </row>
    <row r="35" customFormat="false" ht="23.85" hidden="false" customHeight="false" outlineLevel="0" collapsed="false">
      <c r="A35" s="73" t="n">
        <v>2</v>
      </c>
      <c r="B35" s="73" t="s">
        <v>9818</v>
      </c>
      <c r="C35" s="73" t="s">
        <v>9819</v>
      </c>
      <c r="D35" s="73" t="s">
        <v>9820</v>
      </c>
    </row>
    <row r="36" customFormat="false" ht="23.85" hidden="false" customHeight="false" outlineLevel="0" collapsed="false">
      <c r="A36" s="75" t="n">
        <v>3</v>
      </c>
      <c r="B36" s="75" t="s">
        <v>9821</v>
      </c>
      <c r="C36" s="75" t="s">
        <v>9822</v>
      </c>
      <c r="D36" s="75" t="s">
        <v>9823</v>
      </c>
    </row>
    <row r="37" customFormat="false" ht="23.85" hidden="false" customHeight="false" outlineLevel="0" collapsed="false">
      <c r="A37" s="73" t="n">
        <v>4</v>
      </c>
      <c r="B37" s="73" t="s">
        <v>9824</v>
      </c>
      <c r="C37" s="73" t="s">
        <v>9825</v>
      </c>
      <c r="D37" s="73" t="s">
        <v>9826</v>
      </c>
    </row>
    <row r="38" customFormat="false" ht="35.05" hidden="false" customHeight="false" outlineLevel="0" collapsed="false">
      <c r="A38" s="75" t="n">
        <v>5</v>
      </c>
      <c r="B38" s="75" t="s">
        <v>9827</v>
      </c>
      <c r="C38" s="75" t="s">
        <v>9828</v>
      </c>
      <c r="D38" s="75" t="s">
        <v>9829</v>
      </c>
    </row>
    <row r="39" customFormat="false" ht="35.05" hidden="false" customHeight="false" outlineLevel="0" collapsed="false">
      <c r="A39" s="73" t="n">
        <v>6</v>
      </c>
      <c r="B39" s="73" t="s">
        <v>9830</v>
      </c>
      <c r="C39" s="73" t="s">
        <v>9831</v>
      </c>
      <c r="D39" s="73" t="s">
        <v>9832</v>
      </c>
    </row>
    <row r="40" customFormat="false" ht="23.85" hidden="false" customHeight="false" outlineLevel="0" collapsed="false">
      <c r="A40" s="75" t="n">
        <v>7</v>
      </c>
      <c r="B40" s="75" t="s">
        <v>9833</v>
      </c>
      <c r="C40" s="75" t="s">
        <v>9834</v>
      </c>
      <c r="D40" s="75" t="s">
        <v>9835</v>
      </c>
    </row>
    <row r="41" customFormat="false" ht="23.85" hidden="false" customHeight="false" outlineLevel="0" collapsed="false">
      <c r="A41" s="73" t="n">
        <v>8</v>
      </c>
      <c r="B41" s="73" t="s">
        <v>9836</v>
      </c>
      <c r="C41" s="73" t="s">
        <v>9837</v>
      </c>
      <c r="D41" s="73" t="s">
        <v>9838</v>
      </c>
    </row>
    <row r="43" customFormat="false" ht="15" hidden="false" customHeight="false" outlineLevel="0" collapsed="false">
      <c r="A43" s="78" t="s">
        <v>9839</v>
      </c>
      <c r="B43" s="78"/>
      <c r="C43" s="78"/>
      <c r="D43" s="78"/>
      <c r="E43" s="78"/>
    </row>
    <row r="44" customFormat="false" ht="15" hidden="false" customHeight="false" outlineLevel="0" collapsed="false">
      <c r="A44" s="3" t="s">
        <v>483</v>
      </c>
      <c r="B44" s="3" t="s">
        <v>9840</v>
      </c>
      <c r="C44" s="3" t="s">
        <v>2637</v>
      </c>
      <c r="D44" s="3" t="s">
        <v>9841</v>
      </c>
      <c r="E44" s="3" t="s">
        <v>5232</v>
      </c>
    </row>
    <row r="45" customFormat="false" ht="23.85" hidden="false" customHeight="false" outlineLevel="0" collapsed="false">
      <c r="A45" s="75" t="n">
        <v>1</v>
      </c>
      <c r="B45" s="75" t="s">
        <v>9842</v>
      </c>
      <c r="C45" s="75" t="s">
        <v>9843</v>
      </c>
      <c r="D45" s="75"/>
      <c r="E45" s="75"/>
    </row>
    <row r="46" customFormat="false" ht="15" hidden="false" customHeight="false" outlineLevel="0" collapsed="false">
      <c r="A46" s="73" t="n">
        <v>2</v>
      </c>
      <c r="B46" s="73" t="s">
        <v>9844</v>
      </c>
      <c r="C46" s="73" t="s">
        <v>9845</v>
      </c>
      <c r="D46" s="73"/>
      <c r="E46" s="73"/>
    </row>
    <row r="47" customFormat="false" ht="23.85" hidden="false" customHeight="false" outlineLevel="0" collapsed="false">
      <c r="A47" s="75" t="n">
        <v>3</v>
      </c>
      <c r="B47" s="75" t="s">
        <v>9846</v>
      </c>
      <c r="C47" s="75" t="s">
        <v>9847</v>
      </c>
      <c r="D47" s="75"/>
      <c r="E47" s="75"/>
    </row>
    <row r="48" customFormat="false" ht="15" hidden="false" customHeight="false" outlineLevel="0" collapsed="false">
      <c r="A48" s="73" t="n">
        <v>4</v>
      </c>
      <c r="B48" s="73" t="s">
        <v>9848</v>
      </c>
      <c r="C48" s="73" t="s">
        <v>9849</v>
      </c>
      <c r="D48" s="73"/>
      <c r="E48" s="73"/>
    </row>
    <row r="49" customFormat="false" ht="23.85" hidden="false" customHeight="false" outlineLevel="0" collapsed="false">
      <c r="A49" s="75" t="n">
        <v>5</v>
      </c>
      <c r="B49" s="75" t="s">
        <v>9850</v>
      </c>
      <c r="C49" s="75" t="s">
        <v>9851</v>
      </c>
      <c r="D49" s="75"/>
      <c r="E49" s="75"/>
    </row>
    <row r="50" customFormat="false" ht="15" hidden="false" customHeight="false" outlineLevel="0" collapsed="false">
      <c r="A50" s="73" t="n">
        <v>6</v>
      </c>
      <c r="B50" s="73" t="s">
        <v>9852</v>
      </c>
      <c r="C50" s="73" t="s">
        <v>9853</v>
      </c>
      <c r="D50" s="73"/>
      <c r="E50" s="73"/>
    </row>
    <row r="51" customFormat="false" ht="23.85" hidden="false" customHeight="false" outlineLevel="0" collapsed="false">
      <c r="A51" s="75" t="n">
        <v>7</v>
      </c>
      <c r="B51" s="75" t="s">
        <v>9854</v>
      </c>
      <c r="C51" s="75" t="s">
        <v>9855</v>
      </c>
      <c r="D51" s="75"/>
      <c r="E51" s="75"/>
    </row>
    <row r="52" customFormat="false" ht="23.85" hidden="false" customHeight="false" outlineLevel="0" collapsed="false">
      <c r="A52" s="73" t="n">
        <v>8</v>
      </c>
      <c r="B52" s="73" t="s">
        <v>9856</v>
      </c>
      <c r="C52" s="73" t="s">
        <v>9857</v>
      </c>
      <c r="D52" s="73"/>
      <c r="E52" s="73"/>
    </row>
    <row r="53" customFormat="false" ht="15" hidden="false" customHeight="false" outlineLevel="0" collapsed="false">
      <c r="A53" s="75" t="n">
        <v>9</v>
      </c>
      <c r="B53" s="75" t="s">
        <v>9407</v>
      </c>
      <c r="C53" s="75" t="s">
        <v>9858</v>
      </c>
      <c r="D53" s="75"/>
      <c r="E53" s="75"/>
    </row>
    <row r="54" customFormat="false" ht="23.85" hidden="false" customHeight="false" outlineLevel="0" collapsed="false">
      <c r="A54" s="73" t="n">
        <v>10</v>
      </c>
      <c r="B54" s="73" t="s">
        <v>9859</v>
      </c>
      <c r="C54" s="73" t="s">
        <v>9860</v>
      </c>
      <c r="D54" s="73"/>
      <c r="E54" s="73"/>
    </row>
    <row r="56" customFormat="false" ht="15" hidden="false" customHeight="false" outlineLevel="0" collapsed="false">
      <c r="A56" s="78" t="s">
        <v>9861</v>
      </c>
      <c r="B56" s="78"/>
      <c r="C56" s="78"/>
      <c r="D56" s="78"/>
      <c r="E56" s="78"/>
    </row>
    <row r="57" customFormat="false" ht="15" hidden="false" customHeight="false" outlineLevel="0" collapsed="false">
      <c r="A57" s="3" t="s">
        <v>9862</v>
      </c>
      <c r="B57" s="3" t="s">
        <v>9719</v>
      </c>
      <c r="C57" s="3" t="s">
        <v>9402</v>
      </c>
      <c r="D57" s="3" t="s">
        <v>3799</v>
      </c>
      <c r="E57" s="3" t="s">
        <v>5478</v>
      </c>
    </row>
    <row r="58" customFormat="false" ht="15" hidden="false" customHeight="false" outlineLevel="0" collapsed="false">
      <c r="A58" s="75" t="s">
        <v>9863</v>
      </c>
      <c r="B58" s="75" t="s">
        <v>9864</v>
      </c>
      <c r="C58" s="75" t="s">
        <v>9865</v>
      </c>
      <c r="D58" s="75" t="s">
        <v>2258</v>
      </c>
      <c r="E58" s="75" t="s">
        <v>9866</v>
      </c>
    </row>
    <row r="59" customFormat="false" ht="23.85" hidden="false" customHeight="false" outlineLevel="0" collapsed="false">
      <c r="A59" s="73" t="s">
        <v>9867</v>
      </c>
      <c r="B59" s="73" t="s">
        <v>9868</v>
      </c>
      <c r="C59" s="73" t="s">
        <v>9869</v>
      </c>
      <c r="D59" s="73" t="s">
        <v>875</v>
      </c>
      <c r="E59" s="73" t="s">
        <v>9870</v>
      </c>
    </row>
    <row r="60" customFormat="false" ht="23.85" hidden="false" customHeight="false" outlineLevel="0" collapsed="false">
      <c r="A60" s="75" t="s">
        <v>3830</v>
      </c>
      <c r="B60" s="75" t="s">
        <v>9871</v>
      </c>
      <c r="C60" s="75" t="s">
        <v>9872</v>
      </c>
      <c r="D60" s="75" t="s">
        <v>1150</v>
      </c>
      <c r="E60" s="75" t="s">
        <v>9785</v>
      </c>
    </row>
    <row r="61" customFormat="false" ht="23.85" hidden="false" customHeight="false" outlineLevel="0" collapsed="false">
      <c r="A61" s="73" t="s">
        <v>9873</v>
      </c>
      <c r="B61" s="73" t="s">
        <v>9874</v>
      </c>
      <c r="C61" s="73" t="s">
        <v>9875</v>
      </c>
      <c r="D61" s="73" t="s">
        <v>2258</v>
      </c>
      <c r="E61" s="73" t="s">
        <v>9876</v>
      </c>
    </row>
    <row r="62" customFormat="false" ht="23.85" hidden="false" customHeight="false" outlineLevel="0" collapsed="false">
      <c r="A62" s="75" t="s">
        <v>3835</v>
      </c>
      <c r="B62" s="75" t="s">
        <v>9877</v>
      </c>
      <c r="C62" s="75" t="s">
        <v>9878</v>
      </c>
      <c r="D62" s="75" t="s">
        <v>3806</v>
      </c>
      <c r="E62" s="75" t="s">
        <v>9879</v>
      </c>
    </row>
    <row r="63" customFormat="false" ht="23.85" hidden="false" customHeight="false" outlineLevel="0" collapsed="false">
      <c r="A63" s="73" t="s">
        <v>3864</v>
      </c>
      <c r="B63" s="73" t="s">
        <v>9880</v>
      </c>
      <c r="C63" s="73" t="s">
        <v>9881</v>
      </c>
      <c r="D63" s="73" t="s">
        <v>875</v>
      </c>
      <c r="E63" s="73" t="s">
        <v>538</v>
      </c>
    </row>
    <row r="64" customFormat="false" ht="23.85" hidden="false" customHeight="false" outlineLevel="0" collapsed="false">
      <c r="A64" s="75" t="s">
        <v>3840</v>
      </c>
      <c r="B64" s="75" t="s">
        <v>9882</v>
      </c>
      <c r="C64" s="75" t="s">
        <v>9883</v>
      </c>
      <c r="D64" s="75" t="s">
        <v>2258</v>
      </c>
      <c r="E64" s="75" t="s">
        <v>9785</v>
      </c>
    </row>
  </sheetData>
  <mergeCells count="6">
    <mergeCell ref="A1:F1"/>
    <mergeCell ref="A3:F3"/>
    <mergeCell ref="A11:D11"/>
    <mergeCell ref="A32:D32"/>
    <mergeCell ref="A43:E43"/>
    <mergeCell ref="A56:E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3" min="2" style="0" width="18"/>
    <col collapsed="false" customWidth="true" hidden="false" outlineLevel="0" max="4" min="4" style="0" width="20"/>
  </cols>
  <sheetData>
    <row r="1" customFormat="false" ht="17.35" hidden="false" customHeight="false" outlineLevel="0" collapsed="false">
      <c r="A1" s="273" t="s">
        <v>9884</v>
      </c>
      <c r="B1" s="273"/>
      <c r="C1" s="273"/>
      <c r="D1" s="273"/>
    </row>
    <row r="3" customFormat="false" ht="15" hidden="false" customHeight="false" outlineLevel="0" collapsed="false">
      <c r="A3" s="78" t="s">
        <v>9885</v>
      </c>
      <c r="B3" s="78"/>
      <c r="C3" s="78"/>
      <c r="D3" s="78"/>
    </row>
    <row r="4" customFormat="false" ht="15" hidden="false" customHeight="false" outlineLevel="0" collapsed="false">
      <c r="A4" s="3" t="s">
        <v>9886</v>
      </c>
      <c r="B4" s="3" t="s">
        <v>9887</v>
      </c>
      <c r="C4" s="3" t="s">
        <v>9888</v>
      </c>
      <c r="D4" s="3" t="s">
        <v>2637</v>
      </c>
    </row>
    <row r="5" customFormat="false" ht="23.85" hidden="false" customHeight="false" outlineLevel="0" collapsed="false">
      <c r="A5" s="272" t="s">
        <v>9889</v>
      </c>
      <c r="B5" s="272" t="s">
        <v>9890</v>
      </c>
      <c r="C5" s="272" t="s">
        <v>950</v>
      </c>
      <c r="D5" s="272" t="s">
        <v>9891</v>
      </c>
    </row>
    <row r="6" customFormat="false" ht="15" hidden="false" customHeight="false" outlineLevel="0" collapsed="false">
      <c r="A6" s="73" t="s">
        <v>9892</v>
      </c>
      <c r="B6" s="73" t="s">
        <v>9893</v>
      </c>
      <c r="C6" s="73" t="s">
        <v>9894</v>
      </c>
      <c r="D6" s="73" t="s">
        <v>9895</v>
      </c>
    </row>
    <row r="7" customFormat="false" ht="23.85" hidden="false" customHeight="false" outlineLevel="0" collapsed="false">
      <c r="A7" s="75" t="s">
        <v>9896</v>
      </c>
      <c r="B7" s="75" t="s">
        <v>9897</v>
      </c>
      <c r="C7" s="75" t="s">
        <v>9898</v>
      </c>
      <c r="D7" s="75" t="s">
        <v>9899</v>
      </c>
    </row>
    <row r="9" customFormat="false" ht="15" hidden="false" customHeight="false" outlineLevel="0" collapsed="false">
      <c r="A9" s="78" t="s">
        <v>9900</v>
      </c>
      <c r="B9" s="78"/>
      <c r="C9" s="78"/>
      <c r="D9" s="78"/>
    </row>
    <row r="10" customFormat="false" ht="15" hidden="false" customHeight="false" outlineLevel="0" collapsed="false">
      <c r="A10" s="3" t="s">
        <v>3799</v>
      </c>
      <c r="B10" s="3" t="s">
        <v>5902</v>
      </c>
      <c r="C10" s="3" t="s">
        <v>9901</v>
      </c>
      <c r="D10" s="3" t="s">
        <v>5478</v>
      </c>
    </row>
    <row r="11" customFormat="false" ht="15" hidden="false" customHeight="false" outlineLevel="0" collapsed="false">
      <c r="A11" s="75" t="s">
        <v>904</v>
      </c>
      <c r="B11" s="75" t="s">
        <v>9902</v>
      </c>
      <c r="C11" s="75" t="s">
        <v>9903</v>
      </c>
      <c r="D11" s="75" t="s">
        <v>9904</v>
      </c>
    </row>
    <row r="12" customFormat="false" ht="15" hidden="false" customHeight="false" outlineLevel="0" collapsed="false">
      <c r="A12" s="73" t="s">
        <v>9905</v>
      </c>
      <c r="B12" s="73" t="s">
        <v>9906</v>
      </c>
      <c r="C12" s="73" t="s">
        <v>9907</v>
      </c>
      <c r="D12" s="73" t="s">
        <v>9904</v>
      </c>
    </row>
    <row r="13" customFormat="false" ht="15" hidden="false" customHeight="false" outlineLevel="0" collapsed="false">
      <c r="A13" s="75" t="s">
        <v>453</v>
      </c>
      <c r="B13" s="75" t="s">
        <v>9908</v>
      </c>
      <c r="C13" s="75" t="s">
        <v>9909</v>
      </c>
      <c r="D13" s="75" t="s">
        <v>9904</v>
      </c>
    </row>
    <row r="14" customFormat="false" ht="15" hidden="false" customHeight="false" outlineLevel="0" collapsed="false">
      <c r="A14" s="73" t="s">
        <v>912</v>
      </c>
      <c r="B14" s="73" t="s">
        <v>9910</v>
      </c>
      <c r="C14" s="73" t="s">
        <v>9911</v>
      </c>
      <c r="D14" s="73" t="s">
        <v>9904</v>
      </c>
    </row>
    <row r="15" customFormat="false" ht="15" hidden="false" customHeight="false" outlineLevel="0" collapsed="false">
      <c r="A15" s="75" t="s">
        <v>9912</v>
      </c>
      <c r="B15" s="75" t="s">
        <v>9913</v>
      </c>
      <c r="C15" s="75" t="s">
        <v>9914</v>
      </c>
      <c r="D15" s="75" t="s">
        <v>4076</v>
      </c>
    </row>
    <row r="16" customFormat="false" ht="15" hidden="false" customHeight="false" outlineLevel="0" collapsed="false">
      <c r="A16" s="73" t="s">
        <v>9915</v>
      </c>
      <c r="B16" s="73" t="s">
        <v>9916</v>
      </c>
      <c r="C16" s="73" t="s">
        <v>9917</v>
      </c>
      <c r="D16" s="73" t="s">
        <v>604</v>
      </c>
    </row>
    <row r="17" customFormat="false" ht="15" hidden="false" customHeight="false" outlineLevel="0" collapsed="false">
      <c r="A17" s="75" t="s">
        <v>9918</v>
      </c>
      <c r="B17" s="75" t="s">
        <v>905</v>
      </c>
      <c r="C17" s="75" t="s">
        <v>9919</v>
      </c>
      <c r="D17" s="75" t="s">
        <v>9797</v>
      </c>
    </row>
    <row r="19" customFormat="false" ht="15" hidden="false" customHeight="false" outlineLevel="0" collapsed="false">
      <c r="A19" s="78" t="s">
        <v>9920</v>
      </c>
      <c r="B19" s="78"/>
      <c r="C19" s="78"/>
      <c r="D19" s="78"/>
      <c r="E19" s="78"/>
      <c r="F19" s="78"/>
      <c r="G19" s="78"/>
    </row>
    <row r="20" customFormat="false" ht="15" hidden="false" customHeight="false" outlineLevel="0" collapsed="false">
      <c r="A20" s="3" t="s">
        <v>500</v>
      </c>
      <c r="B20" s="3" t="s">
        <v>7582</v>
      </c>
      <c r="C20" s="3" t="s">
        <v>1147</v>
      </c>
      <c r="D20" s="3" t="s">
        <v>845</v>
      </c>
      <c r="E20" s="3" t="s">
        <v>1150</v>
      </c>
      <c r="F20" s="3" t="s">
        <v>4001</v>
      </c>
      <c r="G20" s="3" t="s">
        <v>9921</v>
      </c>
    </row>
    <row r="21" customFormat="false" ht="15" hidden="false" customHeight="false" outlineLevel="0" collapsed="false">
      <c r="A21" s="75" t="s">
        <v>9922</v>
      </c>
      <c r="B21" s="75" t="s">
        <v>900</v>
      </c>
      <c r="C21" s="75" t="s">
        <v>9923</v>
      </c>
      <c r="D21" s="75" t="s">
        <v>9924</v>
      </c>
      <c r="E21" s="75" t="s">
        <v>930</v>
      </c>
      <c r="F21" s="75" t="s">
        <v>913</v>
      </c>
      <c r="G21" s="75" t="s">
        <v>9925</v>
      </c>
    </row>
    <row r="22" customFormat="false" ht="15" hidden="false" customHeight="false" outlineLevel="0" collapsed="false">
      <c r="A22" s="73" t="s">
        <v>718</v>
      </c>
      <c r="B22" s="73" t="s">
        <v>900</v>
      </c>
      <c r="C22" s="73" t="s">
        <v>9923</v>
      </c>
      <c r="D22" s="73" t="s">
        <v>9924</v>
      </c>
      <c r="E22" s="73" t="s">
        <v>930</v>
      </c>
      <c r="F22" s="73" t="s">
        <v>913</v>
      </c>
      <c r="G22" s="73" t="s">
        <v>9925</v>
      </c>
    </row>
    <row r="23" customFormat="false" ht="15" hidden="false" customHeight="false" outlineLevel="0" collapsed="false">
      <c r="A23" s="75" t="s">
        <v>719</v>
      </c>
      <c r="B23" s="75" t="s">
        <v>900</v>
      </c>
      <c r="C23" s="75" t="s">
        <v>9923</v>
      </c>
      <c r="D23" s="75" t="s">
        <v>9924</v>
      </c>
      <c r="E23" s="75" t="s">
        <v>930</v>
      </c>
      <c r="F23" s="75" t="s">
        <v>913</v>
      </c>
      <c r="G23" s="75" t="s">
        <v>9925</v>
      </c>
    </row>
    <row r="24" customFormat="false" ht="15" hidden="false" customHeight="false" outlineLevel="0" collapsed="false">
      <c r="A24" s="73" t="s">
        <v>720</v>
      </c>
      <c r="B24" s="73" t="s">
        <v>900</v>
      </c>
      <c r="C24" s="73" t="s">
        <v>9923</v>
      </c>
      <c r="D24" s="73" t="s">
        <v>9924</v>
      </c>
      <c r="E24" s="73" t="s">
        <v>930</v>
      </c>
      <c r="F24" s="73" t="s">
        <v>913</v>
      </c>
      <c r="G24" s="73" t="s">
        <v>9925</v>
      </c>
    </row>
    <row r="25" customFormat="false" ht="15" hidden="false" customHeight="false" outlineLevel="0" collapsed="false">
      <c r="A25" s="75" t="s">
        <v>721</v>
      </c>
      <c r="B25" s="75" t="s">
        <v>9923</v>
      </c>
      <c r="C25" s="75" t="s">
        <v>9916</v>
      </c>
      <c r="D25" s="75" t="s">
        <v>9924</v>
      </c>
      <c r="E25" s="75" t="s">
        <v>913</v>
      </c>
      <c r="F25" s="75" t="s">
        <v>913</v>
      </c>
      <c r="G25" s="75" t="s">
        <v>9926</v>
      </c>
    </row>
    <row r="26" customFormat="false" ht="15" hidden="false" customHeight="false" outlineLevel="0" collapsed="false">
      <c r="A26" s="73" t="s">
        <v>9927</v>
      </c>
      <c r="B26" s="73" t="s">
        <v>9923</v>
      </c>
      <c r="C26" s="73" t="s">
        <v>9916</v>
      </c>
      <c r="D26" s="73" t="s">
        <v>9924</v>
      </c>
      <c r="E26" s="73" t="s">
        <v>913</v>
      </c>
      <c r="F26" s="73" t="s">
        <v>906</v>
      </c>
      <c r="G26" s="73" t="s">
        <v>9928</v>
      </c>
    </row>
    <row r="28" customFormat="false" ht="15" hidden="false" customHeight="false" outlineLevel="0" collapsed="false">
      <c r="A28" s="78" t="s">
        <v>9929</v>
      </c>
      <c r="B28" s="78"/>
      <c r="C28" s="78"/>
      <c r="D28" s="78"/>
    </row>
    <row r="29" customFormat="false" ht="15" hidden="false" customHeight="false" outlineLevel="0" collapsed="false">
      <c r="A29" s="3" t="s">
        <v>3801</v>
      </c>
      <c r="B29" s="3" t="s">
        <v>3596</v>
      </c>
      <c r="C29" s="3" t="s">
        <v>9930</v>
      </c>
      <c r="D29" s="3" t="s">
        <v>9931</v>
      </c>
    </row>
    <row r="30" customFormat="false" ht="23.85" hidden="false" customHeight="false" outlineLevel="0" collapsed="false">
      <c r="A30" s="75" t="s">
        <v>9932</v>
      </c>
      <c r="B30" s="75" t="s">
        <v>9933</v>
      </c>
      <c r="C30" s="75" t="s">
        <v>9916</v>
      </c>
      <c r="D30" s="75" t="s">
        <v>9934</v>
      </c>
    </row>
    <row r="31" customFormat="false" ht="23.85" hidden="false" customHeight="false" outlineLevel="0" collapsed="false">
      <c r="A31" s="73" t="s">
        <v>9935</v>
      </c>
      <c r="B31" s="73" t="s">
        <v>9936</v>
      </c>
      <c r="C31" s="73" t="s">
        <v>905</v>
      </c>
      <c r="D31" s="73" t="s">
        <v>9937</v>
      </c>
    </row>
    <row r="32" customFormat="false" ht="35.05" hidden="false" customHeight="false" outlineLevel="0" collapsed="false">
      <c r="A32" s="75" t="s">
        <v>9938</v>
      </c>
      <c r="B32" s="75" t="s">
        <v>9939</v>
      </c>
      <c r="C32" s="75" t="s">
        <v>906</v>
      </c>
      <c r="D32" s="75" t="s">
        <v>9940</v>
      </c>
    </row>
    <row r="33" customFormat="false" ht="23.85" hidden="false" customHeight="false" outlineLevel="0" collapsed="false">
      <c r="A33" s="73" t="s">
        <v>9941</v>
      </c>
      <c r="B33" s="73" t="s">
        <v>9942</v>
      </c>
      <c r="C33" s="73" t="s">
        <v>9943</v>
      </c>
      <c r="D33" s="73" t="s">
        <v>9944</v>
      </c>
    </row>
    <row r="35" customFormat="false" ht="15" hidden="false" customHeight="false" outlineLevel="0" collapsed="false">
      <c r="A35" s="78" t="s">
        <v>9945</v>
      </c>
      <c r="B35" s="78"/>
      <c r="C35" s="78"/>
    </row>
    <row r="36" customFormat="false" ht="15" hidden="false" customHeight="false" outlineLevel="0" collapsed="false">
      <c r="A36" s="3" t="s">
        <v>284</v>
      </c>
      <c r="B36" s="3" t="s">
        <v>9946</v>
      </c>
      <c r="C36" s="3" t="s">
        <v>5232</v>
      </c>
    </row>
    <row r="37" customFormat="false" ht="23.85" hidden="false" customHeight="false" outlineLevel="0" collapsed="false">
      <c r="A37" s="75" t="s">
        <v>9642</v>
      </c>
      <c r="B37" s="75" t="s">
        <v>9947</v>
      </c>
      <c r="C37" s="75" t="s">
        <v>9948</v>
      </c>
    </row>
    <row r="38" customFormat="false" ht="23.85" hidden="false" customHeight="false" outlineLevel="0" collapsed="false">
      <c r="A38" s="73" t="s">
        <v>9644</v>
      </c>
      <c r="B38" s="73" t="s">
        <v>9949</v>
      </c>
      <c r="C38" s="73" t="s">
        <v>9950</v>
      </c>
    </row>
    <row r="39" customFormat="false" ht="23.85" hidden="false" customHeight="false" outlineLevel="0" collapsed="false">
      <c r="A39" s="75" t="s">
        <v>233</v>
      </c>
      <c r="B39" s="75" t="s">
        <v>9951</v>
      </c>
      <c r="C39" s="75" t="s">
        <v>9952</v>
      </c>
    </row>
    <row r="40" customFormat="false" ht="23.85" hidden="false" customHeight="false" outlineLevel="0" collapsed="false">
      <c r="A40" s="73" t="s">
        <v>243</v>
      </c>
      <c r="B40" s="73" t="s">
        <v>9953</v>
      </c>
      <c r="C40" s="73" t="s">
        <v>9954</v>
      </c>
    </row>
    <row r="42" customFormat="false" ht="15" hidden="false" customHeight="false" outlineLevel="0" collapsed="false">
      <c r="A42" s="78" t="s">
        <v>9955</v>
      </c>
      <c r="B42" s="78"/>
      <c r="C42" s="78"/>
      <c r="D42" s="78"/>
    </row>
    <row r="43" customFormat="false" ht="15" hidden="false" customHeight="false" outlineLevel="0" collapsed="false">
      <c r="A43" s="3" t="s">
        <v>3801</v>
      </c>
      <c r="B43" s="3" t="s">
        <v>9735</v>
      </c>
      <c r="C43" s="3" t="s">
        <v>3797</v>
      </c>
      <c r="D43" s="3" t="s">
        <v>9956</v>
      </c>
    </row>
    <row r="44" customFormat="false" ht="23.85" hidden="false" customHeight="false" outlineLevel="0" collapsed="false">
      <c r="A44" s="75" t="s">
        <v>9957</v>
      </c>
      <c r="B44" s="75" t="s">
        <v>9958</v>
      </c>
      <c r="C44" s="75" t="s">
        <v>9959</v>
      </c>
      <c r="D44" s="75" t="s">
        <v>9960</v>
      </c>
    </row>
    <row r="45" customFormat="false" ht="23.85" hidden="false" customHeight="false" outlineLevel="0" collapsed="false">
      <c r="A45" s="73" t="s">
        <v>9961</v>
      </c>
      <c r="B45" s="73" t="s">
        <v>9962</v>
      </c>
      <c r="C45" s="73" t="s">
        <v>9963</v>
      </c>
      <c r="D45" s="73" t="s">
        <v>9750</v>
      </c>
    </row>
    <row r="46" customFormat="false" ht="23.85" hidden="false" customHeight="false" outlineLevel="0" collapsed="false">
      <c r="A46" s="75" t="s">
        <v>9964</v>
      </c>
      <c r="B46" s="75" t="s">
        <v>9965</v>
      </c>
      <c r="C46" s="75" t="s">
        <v>9966</v>
      </c>
      <c r="D46" s="75" t="s">
        <v>9967</v>
      </c>
    </row>
    <row r="47" customFormat="false" ht="23.85" hidden="false" customHeight="false" outlineLevel="0" collapsed="false">
      <c r="A47" s="73" t="s">
        <v>9968</v>
      </c>
      <c r="B47" s="73" t="s">
        <v>9969</v>
      </c>
      <c r="C47" s="73" t="s">
        <v>9970</v>
      </c>
      <c r="D47" s="73" t="s">
        <v>9971</v>
      </c>
    </row>
    <row r="49" customFormat="false" ht="15" hidden="false" customHeight="false" outlineLevel="0" collapsed="false">
      <c r="A49" s="78" t="s">
        <v>9972</v>
      </c>
      <c r="B49" s="78"/>
      <c r="C49" s="78"/>
      <c r="D49" s="78"/>
      <c r="E49" s="78"/>
      <c r="F49" s="78"/>
    </row>
    <row r="50" customFormat="false" ht="26.85" hidden="false" customHeight="false" outlineLevel="0" collapsed="false">
      <c r="A50" s="3" t="s">
        <v>500</v>
      </c>
      <c r="B50" s="3" t="s">
        <v>9973</v>
      </c>
      <c r="C50" s="3" t="s">
        <v>9974</v>
      </c>
      <c r="D50" s="3" t="s">
        <v>9975</v>
      </c>
      <c r="E50" s="3" t="s">
        <v>9976</v>
      </c>
      <c r="F50" s="3" t="s">
        <v>5478</v>
      </c>
    </row>
    <row r="51" customFormat="false" ht="15" hidden="false" customHeight="false" outlineLevel="0" collapsed="false">
      <c r="A51" s="75" t="s">
        <v>9922</v>
      </c>
      <c r="B51" s="75" t="s">
        <v>9925</v>
      </c>
      <c r="C51" s="75"/>
      <c r="D51" s="75"/>
      <c r="E51" s="75"/>
      <c r="F51" s="75" t="s">
        <v>9977</v>
      </c>
    </row>
    <row r="52" customFormat="false" ht="15" hidden="false" customHeight="false" outlineLevel="0" collapsed="false">
      <c r="A52" s="73" t="s">
        <v>718</v>
      </c>
      <c r="B52" s="73" t="s">
        <v>9925</v>
      </c>
      <c r="C52" s="73"/>
      <c r="D52" s="73"/>
      <c r="E52" s="73"/>
      <c r="F52" s="73" t="s">
        <v>9977</v>
      </c>
    </row>
    <row r="53" customFormat="false" ht="15" hidden="false" customHeight="false" outlineLevel="0" collapsed="false">
      <c r="A53" s="75" t="s">
        <v>719</v>
      </c>
      <c r="B53" s="75" t="s">
        <v>9925</v>
      </c>
      <c r="C53" s="75"/>
      <c r="D53" s="75"/>
      <c r="E53" s="75"/>
      <c r="F53" s="75" t="s">
        <v>9977</v>
      </c>
    </row>
    <row r="54" customFormat="false" ht="15" hidden="false" customHeight="false" outlineLevel="0" collapsed="false">
      <c r="A54" s="73" t="s">
        <v>720</v>
      </c>
      <c r="B54" s="73" t="s">
        <v>9925</v>
      </c>
      <c r="C54" s="73"/>
      <c r="D54" s="73"/>
      <c r="E54" s="73"/>
      <c r="F54" s="73" t="s">
        <v>9977</v>
      </c>
    </row>
    <row r="55" customFormat="false" ht="15" hidden="false" customHeight="false" outlineLevel="0" collapsed="false">
      <c r="A55" s="75" t="s">
        <v>721</v>
      </c>
      <c r="B55" s="75" t="s">
        <v>9926</v>
      </c>
      <c r="C55" s="75"/>
      <c r="D55" s="75"/>
      <c r="E55" s="75"/>
      <c r="F55" s="75" t="s">
        <v>9977</v>
      </c>
    </row>
    <row r="56" customFormat="false" ht="15" hidden="false" customHeight="false" outlineLevel="0" collapsed="false">
      <c r="A56" s="73" t="s">
        <v>9927</v>
      </c>
      <c r="B56" s="73" t="s">
        <v>9928</v>
      </c>
      <c r="C56" s="73"/>
      <c r="D56" s="73"/>
      <c r="E56" s="73"/>
      <c r="F56" s="73" t="s">
        <v>9977</v>
      </c>
    </row>
  </sheetData>
  <mergeCells count="8">
    <mergeCell ref="A1:D1"/>
    <mergeCell ref="A3:D3"/>
    <mergeCell ref="A9:D9"/>
    <mergeCell ref="A19:G19"/>
    <mergeCell ref="A28:D28"/>
    <mergeCell ref="A35:C35"/>
    <mergeCell ref="A42:D42"/>
    <mergeCell ref="A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15"/>
    <col collapsed="false" customWidth="true" hidden="false" outlineLevel="0" max="4" min="4" style="0" width="20"/>
    <col collapsed="false" customWidth="true" hidden="false" outlineLevel="0" max="5" min="5" style="0" width="12"/>
    <col collapsed="false" customWidth="true" hidden="false" outlineLevel="0" max="7" min="6" style="0" width="15"/>
  </cols>
  <sheetData>
    <row r="1" customFormat="false" ht="17.35" hidden="false" customHeight="false" outlineLevel="0" collapsed="false">
      <c r="A1" s="273" t="s">
        <v>9978</v>
      </c>
      <c r="B1" s="273"/>
      <c r="C1" s="273"/>
      <c r="D1" s="273"/>
      <c r="E1" s="273"/>
      <c r="F1" s="273"/>
      <c r="G1" s="273"/>
    </row>
    <row r="3" customFormat="false" ht="15" hidden="false" customHeight="false" outlineLevel="0" collapsed="false">
      <c r="A3" s="78" t="s">
        <v>9979</v>
      </c>
      <c r="B3" s="78"/>
      <c r="C3" s="78"/>
      <c r="D3" s="78"/>
      <c r="E3" s="78"/>
      <c r="F3" s="78"/>
      <c r="G3" s="78"/>
    </row>
    <row r="4" customFormat="false" ht="26.85" hidden="false" customHeight="false" outlineLevel="0" collapsed="false">
      <c r="A4" s="3" t="s">
        <v>483</v>
      </c>
      <c r="B4" s="3" t="s">
        <v>714</v>
      </c>
      <c r="C4" s="3" t="s">
        <v>9980</v>
      </c>
      <c r="D4" s="3" t="s">
        <v>9981</v>
      </c>
      <c r="E4" s="3" t="s">
        <v>9982</v>
      </c>
      <c r="F4" s="3" t="s">
        <v>9983</v>
      </c>
      <c r="G4" s="3" t="s">
        <v>5478</v>
      </c>
    </row>
    <row r="5" customFormat="false" ht="23.85" hidden="false" customHeight="false" outlineLevel="0" collapsed="false">
      <c r="A5" s="75" t="n">
        <v>1</v>
      </c>
      <c r="B5" s="75" t="s">
        <v>9984</v>
      </c>
      <c r="C5" s="75" t="s">
        <v>9985</v>
      </c>
      <c r="D5" s="75" t="s">
        <v>9986</v>
      </c>
      <c r="E5" s="75" t="s">
        <v>9987</v>
      </c>
      <c r="F5" s="75" t="s">
        <v>9988</v>
      </c>
      <c r="G5" s="75" t="s">
        <v>9977</v>
      </c>
    </row>
    <row r="6" customFormat="false" ht="23.85" hidden="false" customHeight="false" outlineLevel="0" collapsed="false">
      <c r="A6" s="73" t="n">
        <v>2</v>
      </c>
      <c r="B6" s="73" t="s">
        <v>9989</v>
      </c>
      <c r="C6" s="73" t="s">
        <v>2393</v>
      </c>
      <c r="D6" s="73" t="s">
        <v>9990</v>
      </c>
      <c r="E6" s="73" t="s">
        <v>9991</v>
      </c>
      <c r="F6" s="73" t="s">
        <v>9992</v>
      </c>
      <c r="G6" s="73" t="s">
        <v>4076</v>
      </c>
    </row>
    <row r="7" customFormat="false" ht="15" hidden="false" customHeight="false" outlineLevel="0" collapsed="false">
      <c r="A7" s="75" t="n">
        <v>3</v>
      </c>
      <c r="B7" s="75" t="s">
        <v>9993</v>
      </c>
      <c r="C7" s="75" t="s">
        <v>2393</v>
      </c>
      <c r="D7" s="75" t="s">
        <v>9994</v>
      </c>
      <c r="E7" s="75" t="s">
        <v>9995</v>
      </c>
      <c r="F7" s="75" t="s">
        <v>9996</v>
      </c>
      <c r="G7" s="75" t="s">
        <v>3650</v>
      </c>
    </row>
    <row r="8" customFormat="false" ht="15" hidden="false" customHeight="false" outlineLevel="0" collapsed="false">
      <c r="A8" s="73" t="n">
        <v>4</v>
      </c>
      <c r="B8" s="73" t="s">
        <v>9997</v>
      </c>
      <c r="C8" s="73" t="s">
        <v>9998</v>
      </c>
      <c r="D8" s="73" t="s">
        <v>9999</v>
      </c>
      <c r="E8" s="73" t="s">
        <v>10000</v>
      </c>
      <c r="F8" s="73" t="s">
        <v>10001</v>
      </c>
      <c r="G8" s="73" t="s">
        <v>9904</v>
      </c>
    </row>
    <row r="9" customFormat="false" ht="15" hidden="false" customHeight="false" outlineLevel="0" collapsed="false">
      <c r="A9" s="75" t="n">
        <v>5</v>
      </c>
      <c r="B9" s="75" t="s">
        <v>10002</v>
      </c>
      <c r="C9" s="75" t="s">
        <v>458</v>
      </c>
      <c r="D9" s="75" t="s">
        <v>10003</v>
      </c>
      <c r="E9" s="75" t="s">
        <v>10004</v>
      </c>
      <c r="F9" s="75" t="s">
        <v>10005</v>
      </c>
      <c r="G9" s="75" t="s">
        <v>3650</v>
      </c>
    </row>
    <row r="10" customFormat="false" ht="15" hidden="false" customHeight="false" outlineLevel="0" collapsed="false">
      <c r="A10" s="73" t="n">
        <v>6</v>
      </c>
      <c r="B10" s="73" t="s">
        <v>10006</v>
      </c>
      <c r="C10" s="73" t="s">
        <v>10007</v>
      </c>
      <c r="D10" s="73" t="s">
        <v>10008</v>
      </c>
      <c r="E10" s="73" t="s">
        <v>10009</v>
      </c>
      <c r="F10" s="73" t="s">
        <v>10010</v>
      </c>
      <c r="G10" s="73" t="s">
        <v>9608</v>
      </c>
    </row>
    <row r="11" customFormat="false" ht="15" hidden="false" customHeight="false" outlineLevel="0" collapsed="false">
      <c r="A11" s="75" t="n">
        <v>7</v>
      </c>
      <c r="B11" s="75" t="s">
        <v>10011</v>
      </c>
      <c r="C11" s="75" t="s">
        <v>458</v>
      </c>
      <c r="D11" s="75" t="s">
        <v>10012</v>
      </c>
      <c r="E11" s="75" t="s">
        <v>9631</v>
      </c>
      <c r="F11" s="75" t="s">
        <v>10013</v>
      </c>
      <c r="G11" s="75" t="s">
        <v>4942</v>
      </c>
    </row>
    <row r="12" customFormat="false" ht="15" hidden="false" customHeight="false" outlineLevel="0" collapsed="false">
      <c r="A12" s="73" t="n">
        <v>8</v>
      </c>
      <c r="B12" s="73" t="s">
        <v>10014</v>
      </c>
      <c r="C12" s="73" t="s">
        <v>2393</v>
      </c>
      <c r="D12" s="73" t="s">
        <v>10015</v>
      </c>
      <c r="E12" s="73" t="s">
        <v>10016</v>
      </c>
      <c r="F12" s="73" t="s">
        <v>10017</v>
      </c>
      <c r="G12" s="73" t="s">
        <v>9613</v>
      </c>
    </row>
    <row r="13" customFormat="false" ht="15" hidden="false" customHeight="false" outlineLevel="0" collapsed="false">
      <c r="A13" s="75" t="n">
        <v>9</v>
      </c>
      <c r="B13" s="75" t="s">
        <v>10018</v>
      </c>
      <c r="C13" s="75" t="s">
        <v>9879</v>
      </c>
      <c r="D13" s="75" t="s">
        <v>10019</v>
      </c>
      <c r="E13" s="75" t="s">
        <v>10020</v>
      </c>
      <c r="F13" s="75" t="s">
        <v>10021</v>
      </c>
      <c r="G13" s="75" t="s">
        <v>9621</v>
      </c>
    </row>
    <row r="14" customFormat="false" ht="15" hidden="false" customHeight="false" outlineLevel="0" collapsed="false">
      <c r="A14" s="73" t="n">
        <v>10</v>
      </c>
      <c r="B14" s="73" t="s">
        <v>771</v>
      </c>
      <c r="C14" s="73" t="s">
        <v>9879</v>
      </c>
      <c r="D14" s="73" t="s">
        <v>10022</v>
      </c>
      <c r="E14" s="73" t="s">
        <v>10023</v>
      </c>
      <c r="F14" s="73" t="s">
        <v>10024</v>
      </c>
      <c r="G14" s="73" t="s">
        <v>9625</v>
      </c>
    </row>
    <row r="15" customFormat="false" ht="15" hidden="false" customHeight="false" outlineLevel="0" collapsed="false">
      <c r="A15" s="75" t="n">
        <v>11</v>
      </c>
      <c r="B15" s="75" t="s">
        <v>10025</v>
      </c>
      <c r="C15" s="75" t="s">
        <v>9998</v>
      </c>
      <c r="D15" s="75" t="s">
        <v>10026</v>
      </c>
      <c r="E15" s="75" t="s">
        <v>10027</v>
      </c>
      <c r="F15" s="75" t="s">
        <v>10028</v>
      </c>
      <c r="G15" s="75" t="s">
        <v>9977</v>
      </c>
    </row>
    <row r="16" customFormat="false" ht="15" hidden="false" customHeight="false" outlineLevel="0" collapsed="false">
      <c r="A16" s="73" t="n">
        <v>12</v>
      </c>
      <c r="B16" s="73" t="s">
        <v>10029</v>
      </c>
      <c r="C16" s="73" t="s">
        <v>9998</v>
      </c>
      <c r="D16" s="73" t="s">
        <v>10030</v>
      </c>
      <c r="E16" s="73" t="s">
        <v>10031</v>
      </c>
      <c r="F16" s="73" t="s">
        <v>10032</v>
      </c>
      <c r="G16" s="73" t="s">
        <v>9750</v>
      </c>
    </row>
    <row r="19" customFormat="false" ht="15" hidden="false" customHeight="false" outlineLevel="0" collapsed="false">
      <c r="A19" s="78" t="s">
        <v>10033</v>
      </c>
      <c r="B19" s="78"/>
      <c r="C19" s="78"/>
      <c r="D19" s="78"/>
      <c r="E19" s="78"/>
      <c r="F19" s="78"/>
      <c r="G19" s="78"/>
      <c r="H19" s="78"/>
      <c r="I19" s="78"/>
      <c r="J19" s="78"/>
      <c r="K19" s="78"/>
      <c r="L19" s="78"/>
      <c r="M19" s="78"/>
    </row>
    <row r="20" customFormat="false" ht="39.55" hidden="false" customHeight="false" outlineLevel="0" collapsed="false">
      <c r="A20" s="3" t="s">
        <v>10034</v>
      </c>
      <c r="B20" s="3" t="s">
        <v>10035</v>
      </c>
      <c r="C20" s="3" t="s">
        <v>5858</v>
      </c>
      <c r="D20" s="3" t="s">
        <v>9601</v>
      </c>
      <c r="E20" s="3" t="s">
        <v>9997</v>
      </c>
      <c r="F20" s="3" t="s">
        <v>10036</v>
      </c>
      <c r="G20" s="3" t="s">
        <v>5862</v>
      </c>
      <c r="H20" s="3" t="s">
        <v>10037</v>
      </c>
      <c r="I20" s="3" t="s">
        <v>10038</v>
      </c>
      <c r="J20" s="3" t="s">
        <v>10039</v>
      </c>
      <c r="K20" s="3" t="s">
        <v>2864</v>
      </c>
      <c r="L20" s="3" t="s">
        <v>475</v>
      </c>
      <c r="M20" s="3" t="s">
        <v>10040</v>
      </c>
    </row>
    <row r="21" customFormat="false" ht="23.85" hidden="false" customHeight="false" outlineLevel="0" collapsed="false">
      <c r="A21" s="75" t="s">
        <v>8110</v>
      </c>
      <c r="B21" s="75"/>
      <c r="C21" s="75"/>
      <c r="D21" s="75"/>
      <c r="E21" s="75"/>
      <c r="F21" s="75"/>
      <c r="G21" s="75"/>
      <c r="H21" s="75"/>
      <c r="I21" s="75"/>
      <c r="J21" s="75"/>
      <c r="K21" s="75"/>
      <c r="L21" s="75"/>
      <c r="M21" s="75"/>
    </row>
    <row r="22" customFormat="false" ht="23.85" hidden="false" customHeight="false" outlineLevel="0" collapsed="false">
      <c r="A22" s="73" t="s">
        <v>8117</v>
      </c>
      <c r="B22" s="73"/>
      <c r="C22" s="73"/>
      <c r="D22" s="73"/>
      <c r="E22" s="73"/>
      <c r="F22" s="73"/>
      <c r="G22" s="73"/>
      <c r="H22" s="73"/>
      <c r="I22" s="73"/>
      <c r="J22" s="73"/>
      <c r="K22" s="73"/>
      <c r="L22" s="73"/>
      <c r="M22" s="73"/>
    </row>
    <row r="23" customFormat="false" ht="23.85" hidden="false" customHeight="false" outlineLevel="0" collapsed="false">
      <c r="A23" s="75" t="s">
        <v>8124</v>
      </c>
      <c r="B23" s="75"/>
      <c r="C23" s="75"/>
      <c r="D23" s="75"/>
      <c r="E23" s="75"/>
      <c r="F23" s="75"/>
      <c r="G23" s="75"/>
      <c r="H23" s="75"/>
      <c r="I23" s="75"/>
      <c r="J23" s="75"/>
      <c r="K23" s="75"/>
      <c r="L23" s="75"/>
      <c r="M23" s="75"/>
    </row>
    <row r="24" customFormat="false" ht="23.85" hidden="false" customHeight="false" outlineLevel="0" collapsed="false">
      <c r="A24" s="73" t="s">
        <v>8129</v>
      </c>
      <c r="B24" s="73"/>
      <c r="C24" s="73"/>
      <c r="D24" s="73"/>
      <c r="E24" s="73"/>
      <c r="F24" s="73"/>
      <c r="G24" s="73"/>
      <c r="H24" s="73"/>
      <c r="I24" s="73"/>
      <c r="J24" s="73"/>
      <c r="K24" s="73"/>
      <c r="L24" s="73"/>
      <c r="M24" s="73"/>
    </row>
    <row r="25" customFormat="false" ht="23.85" hidden="false" customHeight="false" outlineLevel="0" collapsed="false">
      <c r="A25" s="75" t="s">
        <v>10041</v>
      </c>
      <c r="B25" s="75"/>
      <c r="C25" s="75"/>
      <c r="D25" s="75"/>
      <c r="E25" s="75"/>
      <c r="F25" s="75"/>
      <c r="G25" s="75"/>
      <c r="H25" s="75"/>
      <c r="I25" s="75"/>
      <c r="J25" s="75"/>
      <c r="K25" s="75"/>
      <c r="L25" s="75"/>
      <c r="M25" s="75"/>
    </row>
    <row r="26" customFormat="false" ht="23.85" hidden="false" customHeight="false" outlineLevel="0" collapsed="false">
      <c r="A26" s="73" t="s">
        <v>10042</v>
      </c>
      <c r="B26" s="73"/>
      <c r="C26" s="73"/>
      <c r="D26" s="73"/>
      <c r="E26" s="73"/>
      <c r="F26" s="73"/>
      <c r="G26" s="73"/>
      <c r="H26" s="73"/>
      <c r="I26" s="73"/>
      <c r="J26" s="73"/>
      <c r="K26" s="73"/>
      <c r="L26" s="73"/>
      <c r="M26" s="73"/>
    </row>
    <row r="27" customFormat="false" ht="23.85" hidden="false" customHeight="false" outlineLevel="0" collapsed="false">
      <c r="A27" s="75" t="s">
        <v>10043</v>
      </c>
      <c r="B27" s="75"/>
      <c r="C27" s="75"/>
      <c r="D27" s="75"/>
      <c r="E27" s="75"/>
      <c r="F27" s="75"/>
      <c r="G27" s="75"/>
      <c r="H27" s="75"/>
      <c r="I27" s="75"/>
      <c r="J27" s="75"/>
      <c r="K27" s="75"/>
      <c r="L27" s="75"/>
      <c r="M27" s="75"/>
    </row>
    <row r="28" customFormat="false" ht="23.85" hidden="false" customHeight="false" outlineLevel="0" collapsed="false">
      <c r="A28" s="73" t="s">
        <v>10044</v>
      </c>
      <c r="B28" s="73"/>
      <c r="C28" s="73"/>
      <c r="D28" s="73"/>
      <c r="E28" s="73"/>
      <c r="F28" s="73"/>
      <c r="G28" s="73"/>
      <c r="H28" s="73"/>
      <c r="I28" s="73"/>
      <c r="J28" s="73"/>
      <c r="K28" s="73"/>
      <c r="L28" s="73"/>
      <c r="M28" s="73"/>
    </row>
    <row r="29" customFormat="false" ht="23.85" hidden="false" customHeight="false" outlineLevel="0" collapsed="false">
      <c r="A29" s="75" t="s">
        <v>10045</v>
      </c>
      <c r="B29" s="75"/>
      <c r="C29" s="75"/>
      <c r="D29" s="75"/>
      <c r="E29" s="75"/>
      <c r="F29" s="75"/>
      <c r="G29" s="75"/>
      <c r="H29" s="75"/>
      <c r="I29" s="75"/>
      <c r="J29" s="75"/>
      <c r="K29" s="75"/>
      <c r="L29" s="75"/>
      <c r="M29" s="75"/>
    </row>
    <row r="30" customFormat="false" ht="23.85" hidden="false" customHeight="false" outlineLevel="0" collapsed="false">
      <c r="A30" s="73" t="s">
        <v>10046</v>
      </c>
      <c r="B30" s="73"/>
      <c r="C30" s="73"/>
      <c r="D30" s="73"/>
      <c r="E30" s="73"/>
      <c r="F30" s="73"/>
      <c r="G30" s="73"/>
      <c r="H30" s="73"/>
      <c r="I30" s="73"/>
      <c r="J30" s="73"/>
      <c r="K30" s="73"/>
      <c r="L30" s="73"/>
      <c r="M30" s="73"/>
    </row>
    <row r="31" customFormat="false" ht="23.85" hidden="false" customHeight="false" outlineLevel="0" collapsed="false">
      <c r="A31" s="75" t="s">
        <v>10047</v>
      </c>
      <c r="B31" s="75"/>
      <c r="C31" s="75"/>
      <c r="D31" s="75"/>
      <c r="E31" s="75"/>
      <c r="F31" s="75"/>
      <c r="G31" s="75"/>
      <c r="H31" s="75"/>
      <c r="I31" s="75"/>
      <c r="J31" s="75"/>
      <c r="K31" s="75"/>
      <c r="L31" s="75"/>
      <c r="M31" s="75"/>
    </row>
    <row r="32" customFormat="false" ht="23.85" hidden="false" customHeight="false" outlineLevel="0" collapsed="false">
      <c r="A32" s="73" t="s">
        <v>10048</v>
      </c>
      <c r="B32" s="73"/>
      <c r="C32" s="73"/>
      <c r="D32" s="73"/>
      <c r="E32" s="73"/>
      <c r="F32" s="73"/>
      <c r="G32" s="73"/>
      <c r="H32" s="73"/>
      <c r="I32" s="73"/>
      <c r="J32" s="73"/>
      <c r="K32" s="73"/>
      <c r="L32" s="73"/>
      <c r="M32" s="73"/>
    </row>
    <row r="33" customFormat="false" ht="23.85" hidden="false" customHeight="false" outlineLevel="0" collapsed="false">
      <c r="A33" s="75" t="s">
        <v>10049</v>
      </c>
      <c r="B33" s="75"/>
      <c r="C33" s="75"/>
      <c r="D33" s="75"/>
      <c r="E33" s="75"/>
      <c r="F33" s="75"/>
      <c r="G33" s="75"/>
      <c r="H33" s="75"/>
      <c r="I33" s="75"/>
      <c r="J33" s="75"/>
      <c r="K33" s="75"/>
      <c r="L33" s="75"/>
      <c r="M33" s="75"/>
    </row>
    <row r="34" customFormat="false" ht="23.85" hidden="false" customHeight="false" outlineLevel="0" collapsed="false">
      <c r="A34" s="73" t="s">
        <v>10050</v>
      </c>
      <c r="B34" s="73"/>
      <c r="C34" s="73"/>
      <c r="D34" s="73"/>
      <c r="E34" s="73"/>
      <c r="F34" s="73"/>
      <c r="G34" s="73"/>
      <c r="H34" s="73"/>
      <c r="I34" s="73"/>
      <c r="J34" s="73"/>
      <c r="K34" s="73"/>
      <c r="L34" s="73"/>
      <c r="M34" s="73"/>
    </row>
    <row r="35" customFormat="false" ht="23.85" hidden="false" customHeight="false" outlineLevel="0" collapsed="false">
      <c r="A35" s="75" t="s">
        <v>10051</v>
      </c>
      <c r="B35" s="75"/>
      <c r="C35" s="75"/>
      <c r="D35" s="75"/>
      <c r="E35" s="75"/>
      <c r="F35" s="75"/>
      <c r="G35" s="75"/>
      <c r="H35" s="75"/>
      <c r="I35" s="75"/>
      <c r="J35" s="75"/>
      <c r="K35" s="75"/>
      <c r="L35" s="75"/>
      <c r="M35" s="75"/>
    </row>
    <row r="36" customFormat="false" ht="23.85" hidden="false" customHeight="false" outlineLevel="0" collapsed="false">
      <c r="A36" s="73" t="s">
        <v>10052</v>
      </c>
      <c r="B36" s="73"/>
      <c r="C36" s="73"/>
      <c r="D36" s="73"/>
      <c r="E36" s="73"/>
      <c r="F36" s="73"/>
      <c r="G36" s="73"/>
      <c r="H36" s="73"/>
      <c r="I36" s="73"/>
      <c r="J36" s="73"/>
      <c r="K36" s="73"/>
      <c r="L36" s="73"/>
      <c r="M36" s="73"/>
    </row>
    <row r="37" customFormat="false" ht="23.85" hidden="false" customHeight="false" outlineLevel="0" collapsed="false">
      <c r="A37" s="75" t="s">
        <v>10053</v>
      </c>
      <c r="B37" s="75"/>
      <c r="C37" s="75"/>
      <c r="D37" s="75"/>
      <c r="E37" s="75"/>
      <c r="F37" s="75"/>
      <c r="G37" s="75"/>
      <c r="H37" s="75"/>
      <c r="I37" s="75"/>
      <c r="J37" s="75"/>
      <c r="K37" s="75"/>
      <c r="L37" s="75"/>
      <c r="M37" s="75"/>
    </row>
    <row r="38" customFormat="false" ht="23.85" hidden="false" customHeight="false" outlineLevel="0" collapsed="false">
      <c r="A38" s="73" t="s">
        <v>10054</v>
      </c>
      <c r="B38" s="73"/>
      <c r="C38" s="73"/>
      <c r="D38" s="73"/>
      <c r="E38" s="73"/>
      <c r="F38" s="73"/>
      <c r="G38" s="73"/>
      <c r="H38" s="73"/>
      <c r="I38" s="73"/>
      <c r="J38" s="73"/>
      <c r="K38" s="73"/>
      <c r="L38" s="73"/>
      <c r="M38" s="73"/>
    </row>
    <row r="39" customFormat="false" ht="23.85" hidden="false" customHeight="false" outlineLevel="0" collapsed="false">
      <c r="A39" s="75" t="s">
        <v>10055</v>
      </c>
      <c r="B39" s="75"/>
      <c r="C39" s="75"/>
      <c r="D39" s="75"/>
      <c r="E39" s="75"/>
      <c r="F39" s="75"/>
      <c r="G39" s="75"/>
      <c r="H39" s="75"/>
      <c r="I39" s="75"/>
      <c r="J39" s="75"/>
      <c r="K39" s="75"/>
      <c r="L39" s="75"/>
      <c r="M39" s="75"/>
    </row>
    <row r="40" customFormat="false" ht="23.85" hidden="false" customHeight="false" outlineLevel="0" collapsed="false">
      <c r="A40" s="73" t="s">
        <v>10056</v>
      </c>
      <c r="B40" s="73"/>
      <c r="C40" s="73"/>
      <c r="D40" s="73"/>
      <c r="E40" s="73"/>
      <c r="F40" s="73"/>
      <c r="G40" s="73"/>
      <c r="H40" s="73"/>
      <c r="I40" s="73"/>
      <c r="J40" s="73"/>
      <c r="K40" s="73"/>
      <c r="L40" s="73"/>
      <c r="M40" s="73"/>
    </row>
    <row r="41" customFormat="false" ht="23.85" hidden="false" customHeight="false" outlineLevel="0" collapsed="false">
      <c r="A41" s="75" t="s">
        <v>10057</v>
      </c>
      <c r="B41" s="75"/>
      <c r="C41" s="75"/>
      <c r="D41" s="75"/>
      <c r="E41" s="75"/>
      <c r="F41" s="75"/>
      <c r="G41" s="75"/>
      <c r="H41" s="75"/>
      <c r="I41" s="75"/>
      <c r="J41" s="75"/>
      <c r="K41" s="75"/>
      <c r="L41" s="75"/>
      <c r="M41" s="75"/>
    </row>
    <row r="42" customFormat="false" ht="23.85" hidden="false" customHeight="false" outlineLevel="0" collapsed="false">
      <c r="A42" s="73" t="s">
        <v>10058</v>
      </c>
      <c r="B42" s="73"/>
      <c r="C42" s="73"/>
      <c r="D42" s="73"/>
      <c r="E42" s="73"/>
      <c r="F42" s="73"/>
      <c r="G42" s="73"/>
      <c r="H42" s="73"/>
      <c r="I42" s="73"/>
      <c r="J42" s="73"/>
      <c r="K42" s="73"/>
      <c r="L42" s="73"/>
      <c r="M42" s="73"/>
    </row>
    <row r="43" customFormat="false" ht="23.85" hidden="false" customHeight="false" outlineLevel="0" collapsed="false">
      <c r="A43" s="75" t="s">
        <v>10059</v>
      </c>
      <c r="B43" s="75"/>
      <c r="C43" s="75"/>
      <c r="D43" s="75"/>
      <c r="E43" s="75"/>
      <c r="F43" s="75"/>
      <c r="G43" s="75"/>
      <c r="H43" s="75"/>
      <c r="I43" s="75"/>
      <c r="J43" s="75"/>
      <c r="K43" s="75"/>
      <c r="L43" s="75"/>
      <c r="M43" s="75"/>
    </row>
    <row r="44" customFormat="false" ht="23.85" hidden="false" customHeight="false" outlineLevel="0" collapsed="false">
      <c r="A44" s="73" t="s">
        <v>10060</v>
      </c>
      <c r="B44" s="73"/>
      <c r="C44" s="73"/>
      <c r="D44" s="73"/>
      <c r="E44" s="73"/>
      <c r="F44" s="73"/>
      <c r="G44" s="73"/>
      <c r="H44" s="73"/>
      <c r="I44" s="73"/>
      <c r="J44" s="73"/>
      <c r="K44" s="73"/>
      <c r="L44" s="73"/>
      <c r="M44" s="73"/>
    </row>
    <row r="45" customFormat="false" ht="23.85" hidden="false" customHeight="false" outlineLevel="0" collapsed="false">
      <c r="A45" s="75" t="s">
        <v>10061</v>
      </c>
      <c r="B45" s="75"/>
      <c r="C45" s="75"/>
      <c r="D45" s="75"/>
      <c r="E45" s="75"/>
      <c r="F45" s="75"/>
      <c r="G45" s="75"/>
      <c r="H45" s="75"/>
      <c r="I45" s="75"/>
      <c r="J45" s="75"/>
      <c r="K45" s="75"/>
      <c r="L45" s="75"/>
      <c r="M45" s="75"/>
    </row>
    <row r="46" customFormat="false" ht="23.85" hidden="false" customHeight="false" outlineLevel="0" collapsed="false">
      <c r="A46" s="73" t="s">
        <v>10062</v>
      </c>
      <c r="B46" s="73"/>
      <c r="C46" s="73"/>
      <c r="D46" s="73"/>
      <c r="E46" s="73"/>
      <c r="F46" s="73"/>
      <c r="G46" s="73"/>
      <c r="H46" s="73"/>
      <c r="I46" s="73"/>
      <c r="J46" s="73"/>
      <c r="K46" s="73"/>
      <c r="L46" s="73"/>
      <c r="M46" s="73"/>
    </row>
    <row r="47" customFormat="false" ht="23.85" hidden="false" customHeight="false" outlineLevel="0" collapsed="false">
      <c r="A47" s="75" t="s">
        <v>10063</v>
      </c>
      <c r="B47" s="75"/>
      <c r="C47" s="75"/>
      <c r="D47" s="75"/>
      <c r="E47" s="75"/>
      <c r="F47" s="75"/>
      <c r="G47" s="75"/>
      <c r="H47" s="75"/>
      <c r="I47" s="75"/>
      <c r="J47" s="75"/>
      <c r="K47" s="75"/>
      <c r="L47" s="75"/>
      <c r="M47" s="75"/>
    </row>
    <row r="48" customFormat="false" ht="23.85" hidden="false" customHeight="false" outlineLevel="0" collapsed="false">
      <c r="A48" s="73" t="s">
        <v>10064</v>
      </c>
      <c r="B48" s="73"/>
      <c r="C48" s="73"/>
      <c r="D48" s="73"/>
      <c r="E48" s="73"/>
      <c r="F48" s="73"/>
      <c r="G48" s="73"/>
      <c r="H48" s="73"/>
      <c r="I48" s="73"/>
      <c r="J48" s="73"/>
      <c r="K48" s="73"/>
      <c r="L48" s="73"/>
      <c r="M48" s="73"/>
    </row>
  </sheetData>
  <mergeCells count="3">
    <mergeCell ref="A1:G1"/>
    <mergeCell ref="A3:G3"/>
    <mergeCell ref="A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30"/>
    <col collapsed="false" customWidth="true" hidden="false" outlineLevel="0" max="4" min="4" style="0" width="20"/>
    <col collapsed="false" customWidth="true" hidden="false" outlineLevel="0" max="5" min="5" style="0" width="15"/>
    <col collapsed="false" customWidth="true" hidden="false" outlineLevel="0" max="6" min="6" style="0" width="12"/>
  </cols>
  <sheetData>
    <row r="1" customFormat="false" ht="17.35" hidden="false" customHeight="false" outlineLevel="0" collapsed="false">
      <c r="A1" s="273" t="s">
        <v>10065</v>
      </c>
      <c r="B1" s="273"/>
      <c r="C1" s="273"/>
      <c r="D1" s="273"/>
      <c r="E1" s="273"/>
    </row>
    <row r="3" customFormat="false" ht="15" hidden="false" customHeight="false" outlineLevel="0" collapsed="false">
      <c r="A3" s="269" t="s">
        <v>10066</v>
      </c>
    </row>
    <row r="5" customFormat="false" ht="15" hidden="false" customHeight="false" outlineLevel="0" collapsed="false">
      <c r="A5" s="3" t="s">
        <v>483</v>
      </c>
      <c r="B5" s="3" t="s">
        <v>313</v>
      </c>
      <c r="C5" s="3" t="s">
        <v>10067</v>
      </c>
      <c r="D5" s="3" t="s">
        <v>5478</v>
      </c>
      <c r="E5" s="3" t="s">
        <v>5231</v>
      </c>
      <c r="F5" s="3" t="s">
        <v>4531</v>
      </c>
    </row>
    <row r="6" customFormat="false" ht="23.85" hidden="false" customHeight="false" outlineLevel="0" collapsed="false">
      <c r="A6" s="75" t="n">
        <v>1</v>
      </c>
      <c r="B6" s="75" t="s">
        <v>10068</v>
      </c>
      <c r="C6" s="75" t="s">
        <v>10069</v>
      </c>
      <c r="D6" s="75" t="s">
        <v>9750</v>
      </c>
      <c r="E6" s="75" t="s">
        <v>10070</v>
      </c>
      <c r="F6" s="75" t="s">
        <v>5976</v>
      </c>
    </row>
    <row r="7" customFormat="false" ht="15" hidden="false" customHeight="false" outlineLevel="0" collapsed="false">
      <c r="A7" s="73" t="n">
        <v>2</v>
      </c>
      <c r="B7" s="73" t="s">
        <v>10071</v>
      </c>
      <c r="C7" s="73" t="s">
        <v>10072</v>
      </c>
      <c r="D7" s="73" t="s">
        <v>9746</v>
      </c>
      <c r="E7" s="73" t="s">
        <v>10070</v>
      </c>
      <c r="F7" s="73" t="s">
        <v>5976</v>
      </c>
    </row>
    <row r="8" customFormat="false" ht="23.85" hidden="false" customHeight="false" outlineLevel="0" collapsed="false">
      <c r="A8" s="75" t="n">
        <v>3</v>
      </c>
      <c r="B8" s="75" t="s">
        <v>10073</v>
      </c>
      <c r="C8" s="75" t="s">
        <v>10074</v>
      </c>
      <c r="D8" s="75" t="s">
        <v>9977</v>
      </c>
      <c r="E8" s="75" t="s">
        <v>10070</v>
      </c>
      <c r="F8" s="75" t="s">
        <v>5976</v>
      </c>
    </row>
    <row r="9" customFormat="false" ht="23.85" hidden="false" customHeight="false" outlineLevel="0" collapsed="false">
      <c r="A9" s="73" t="n">
        <v>4</v>
      </c>
      <c r="B9" s="73" t="s">
        <v>10075</v>
      </c>
      <c r="C9" s="73" t="s">
        <v>10076</v>
      </c>
      <c r="D9" s="73" t="s">
        <v>9977</v>
      </c>
      <c r="E9" s="73" t="s">
        <v>10070</v>
      </c>
      <c r="F9" s="73" t="s">
        <v>5976</v>
      </c>
    </row>
    <row r="10" customFormat="false" ht="15" hidden="false" customHeight="false" outlineLevel="0" collapsed="false">
      <c r="A10" s="75" t="n">
        <v>5</v>
      </c>
      <c r="B10" s="75" t="s">
        <v>10077</v>
      </c>
      <c r="C10" s="75" t="s">
        <v>10078</v>
      </c>
      <c r="D10" s="75" t="s">
        <v>9750</v>
      </c>
      <c r="E10" s="75" t="s">
        <v>10070</v>
      </c>
      <c r="F10" s="75" t="s">
        <v>5976</v>
      </c>
    </row>
    <row r="11" customFormat="false" ht="23.85" hidden="false" customHeight="false" outlineLevel="0" collapsed="false">
      <c r="A11" s="73" t="n">
        <v>6</v>
      </c>
      <c r="B11" s="73" t="s">
        <v>10079</v>
      </c>
      <c r="C11" s="73" t="s">
        <v>10080</v>
      </c>
      <c r="D11" s="73" t="s">
        <v>3650</v>
      </c>
      <c r="E11" s="73" t="s">
        <v>10081</v>
      </c>
      <c r="F11" s="73" t="s">
        <v>5976</v>
      </c>
    </row>
    <row r="12" customFormat="false" ht="15" hidden="false" customHeight="false" outlineLevel="0" collapsed="false">
      <c r="A12" s="75" t="n">
        <v>7</v>
      </c>
      <c r="B12" s="75" t="s">
        <v>10082</v>
      </c>
      <c r="C12" s="75" t="s">
        <v>10083</v>
      </c>
      <c r="D12" s="75" t="s">
        <v>9625</v>
      </c>
      <c r="E12" s="75" t="s">
        <v>10081</v>
      </c>
      <c r="F12" s="75" t="s">
        <v>5976</v>
      </c>
    </row>
    <row r="13" customFormat="false" ht="15" hidden="false" customHeight="false" outlineLevel="0" collapsed="false">
      <c r="A13" s="73" t="n">
        <v>8</v>
      </c>
      <c r="B13" s="73" t="s">
        <v>10084</v>
      </c>
      <c r="C13" s="73" t="s">
        <v>10085</v>
      </c>
      <c r="D13" s="73" t="s">
        <v>9797</v>
      </c>
      <c r="E13" s="73" t="s">
        <v>10081</v>
      </c>
      <c r="F13" s="73" t="s">
        <v>5976</v>
      </c>
    </row>
    <row r="14" customFormat="false" ht="23.85" hidden="false" customHeight="false" outlineLevel="0" collapsed="false">
      <c r="A14" s="75" t="n">
        <v>9</v>
      </c>
      <c r="B14" s="75" t="s">
        <v>10086</v>
      </c>
      <c r="C14" s="75" t="s">
        <v>10087</v>
      </c>
      <c r="D14" s="75" t="s">
        <v>9967</v>
      </c>
      <c r="E14" s="75" t="s">
        <v>10081</v>
      </c>
      <c r="F14" s="75" t="s">
        <v>5976</v>
      </c>
    </row>
    <row r="15" customFormat="false" ht="23.85" hidden="false" customHeight="false" outlineLevel="0" collapsed="false">
      <c r="A15" s="73" t="n">
        <v>10</v>
      </c>
      <c r="B15" s="73" t="s">
        <v>10088</v>
      </c>
      <c r="C15" s="73" t="s">
        <v>10089</v>
      </c>
      <c r="D15" s="73" t="s">
        <v>9904</v>
      </c>
      <c r="E15" s="73" t="s">
        <v>10081</v>
      </c>
      <c r="F15" s="73" t="s">
        <v>5976</v>
      </c>
    </row>
    <row r="16" customFormat="false" ht="15" hidden="false" customHeight="false" outlineLevel="0" collapsed="false">
      <c r="A16" s="75" t="n">
        <v>11</v>
      </c>
      <c r="B16" s="75" t="s">
        <v>10090</v>
      </c>
      <c r="C16" s="75" t="s">
        <v>10091</v>
      </c>
      <c r="D16" s="75" t="s">
        <v>10092</v>
      </c>
      <c r="E16" s="75" t="s">
        <v>10081</v>
      </c>
      <c r="F16" s="75" t="s">
        <v>5976</v>
      </c>
    </row>
    <row r="17" customFormat="false" ht="15" hidden="false" customHeight="false" outlineLevel="0" collapsed="false">
      <c r="A17" s="73" t="n">
        <v>12</v>
      </c>
      <c r="B17" s="73" t="s">
        <v>10093</v>
      </c>
      <c r="C17" s="73" t="s">
        <v>10094</v>
      </c>
      <c r="D17" s="73" t="s">
        <v>4076</v>
      </c>
      <c r="E17" s="73" t="s">
        <v>10081</v>
      </c>
      <c r="F17" s="73" t="s">
        <v>5976</v>
      </c>
    </row>
    <row r="18" customFormat="false" ht="15" hidden="false" customHeight="false" outlineLevel="0" collapsed="false">
      <c r="A18" s="75" t="n">
        <v>13</v>
      </c>
      <c r="B18" s="75" t="s">
        <v>10095</v>
      </c>
      <c r="C18" s="75" t="s">
        <v>10096</v>
      </c>
      <c r="D18" s="75" t="s">
        <v>9750</v>
      </c>
      <c r="E18" s="75" t="s">
        <v>10081</v>
      </c>
      <c r="F18" s="75" t="s">
        <v>5976</v>
      </c>
    </row>
    <row r="19" customFormat="false" ht="15" hidden="false" customHeight="false" outlineLevel="0" collapsed="false">
      <c r="A19" s="73" t="n">
        <v>14</v>
      </c>
      <c r="B19" s="73" t="s">
        <v>10097</v>
      </c>
      <c r="C19" s="73" t="s">
        <v>10098</v>
      </c>
      <c r="D19" s="73" t="s">
        <v>9750</v>
      </c>
      <c r="E19" s="73" t="s">
        <v>10099</v>
      </c>
      <c r="F19" s="73" t="s">
        <v>5976</v>
      </c>
    </row>
    <row r="20" customFormat="false" ht="23.85" hidden="false" customHeight="false" outlineLevel="0" collapsed="false">
      <c r="A20" s="75" t="n">
        <v>15</v>
      </c>
      <c r="B20" s="75" t="s">
        <v>10100</v>
      </c>
      <c r="C20" s="75" t="s">
        <v>10101</v>
      </c>
      <c r="D20" s="75" t="s">
        <v>4148</v>
      </c>
      <c r="E20" s="75" t="s">
        <v>10099</v>
      </c>
      <c r="F20" s="75" t="s">
        <v>5976</v>
      </c>
    </row>
    <row r="21" customFormat="false" ht="23.85" hidden="false" customHeight="false" outlineLevel="0" collapsed="false">
      <c r="A21" s="73" t="n">
        <v>16</v>
      </c>
      <c r="B21" s="73" t="s">
        <v>10102</v>
      </c>
      <c r="C21" s="73" t="s">
        <v>10103</v>
      </c>
      <c r="D21" s="73" t="s">
        <v>10092</v>
      </c>
      <c r="E21" s="73" t="s">
        <v>10099</v>
      </c>
      <c r="F21" s="73" t="s">
        <v>5976</v>
      </c>
    </row>
    <row r="22" customFormat="false" ht="15" hidden="false" customHeight="false" outlineLevel="0" collapsed="false">
      <c r="A22" s="75" t="n">
        <v>17</v>
      </c>
      <c r="B22" s="75" t="s">
        <v>10104</v>
      </c>
      <c r="C22" s="75" t="s">
        <v>10105</v>
      </c>
      <c r="D22" s="75" t="s">
        <v>9621</v>
      </c>
      <c r="E22" s="75" t="s">
        <v>10099</v>
      </c>
      <c r="F22" s="75" t="s">
        <v>5976</v>
      </c>
    </row>
    <row r="23" customFormat="false" ht="23.85" hidden="false" customHeight="false" outlineLevel="0" collapsed="false">
      <c r="A23" s="73" t="n">
        <v>18</v>
      </c>
      <c r="B23" s="73" t="s">
        <v>10106</v>
      </c>
      <c r="C23" s="73" t="s">
        <v>10107</v>
      </c>
      <c r="D23" s="73" t="s">
        <v>9625</v>
      </c>
      <c r="E23" s="73" t="s">
        <v>10099</v>
      </c>
      <c r="F23" s="73" t="s">
        <v>5976</v>
      </c>
    </row>
    <row r="24" customFormat="false" ht="15" hidden="false" customHeight="false" outlineLevel="0" collapsed="false">
      <c r="A24" s="75" t="n">
        <v>19</v>
      </c>
      <c r="B24" s="75" t="s">
        <v>10108</v>
      </c>
      <c r="C24" s="75" t="s">
        <v>10109</v>
      </c>
      <c r="D24" s="75" t="s">
        <v>9904</v>
      </c>
      <c r="E24" s="75" t="s">
        <v>10099</v>
      </c>
      <c r="F24" s="75" t="s">
        <v>5976</v>
      </c>
    </row>
    <row r="25" customFormat="false" ht="15" hidden="false" customHeight="false" outlineLevel="0" collapsed="false">
      <c r="A25" s="73" t="n">
        <v>20</v>
      </c>
      <c r="B25" s="73" t="s">
        <v>10110</v>
      </c>
      <c r="C25" s="73" t="s">
        <v>10111</v>
      </c>
      <c r="D25" s="73" t="s">
        <v>9750</v>
      </c>
      <c r="E25" s="73" t="s">
        <v>10099</v>
      </c>
      <c r="F25" s="73" t="s">
        <v>5976</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5"/>
    <col collapsed="false" customWidth="true" hidden="false" outlineLevel="0" max="4" min="3" style="0" width="18"/>
    <col collapsed="false" customWidth="true" hidden="false" outlineLevel="0" max="5" min="5" style="0" width="20"/>
  </cols>
  <sheetData>
    <row r="1" customFormat="false" ht="17.35" hidden="false" customHeight="false" outlineLevel="0" collapsed="false">
      <c r="A1" s="273" t="s">
        <v>10112</v>
      </c>
      <c r="B1" s="273"/>
      <c r="C1" s="273"/>
      <c r="D1" s="273"/>
      <c r="E1" s="273"/>
    </row>
    <row r="3" customFormat="false" ht="15" hidden="false" customHeight="false" outlineLevel="0" collapsed="false">
      <c r="A3" s="78" t="s">
        <v>10113</v>
      </c>
      <c r="B3" s="78"/>
      <c r="C3" s="78"/>
      <c r="D3" s="78"/>
      <c r="E3" s="78"/>
    </row>
    <row r="4" customFormat="false" ht="15" hidden="false" customHeight="false" outlineLevel="0" collapsed="false">
      <c r="A4" s="3" t="s">
        <v>483</v>
      </c>
      <c r="B4" s="3" t="s">
        <v>10114</v>
      </c>
      <c r="C4" s="3" t="s">
        <v>9588</v>
      </c>
      <c r="D4" s="3" t="s">
        <v>10115</v>
      </c>
      <c r="E4" s="3" t="s">
        <v>5478</v>
      </c>
    </row>
    <row r="5" customFormat="false" ht="35.05" hidden="false" customHeight="false" outlineLevel="0" collapsed="false">
      <c r="A5" s="75" t="n">
        <v>1</v>
      </c>
      <c r="B5" s="75" t="s">
        <v>10116</v>
      </c>
      <c r="C5" s="75" t="s">
        <v>10117</v>
      </c>
      <c r="D5" s="75" t="s">
        <v>10118</v>
      </c>
      <c r="E5" s="75" t="s">
        <v>9879</v>
      </c>
    </row>
    <row r="6" customFormat="false" ht="23.85" hidden="false" customHeight="false" outlineLevel="0" collapsed="false">
      <c r="A6" s="73" t="n">
        <v>2</v>
      </c>
      <c r="B6" s="73" t="s">
        <v>10119</v>
      </c>
      <c r="C6" s="73" t="s">
        <v>10120</v>
      </c>
      <c r="D6" s="73" t="s">
        <v>10121</v>
      </c>
      <c r="E6" s="73" t="s">
        <v>538</v>
      </c>
    </row>
    <row r="7" customFormat="false" ht="23.85" hidden="false" customHeight="false" outlineLevel="0" collapsed="false">
      <c r="A7" s="75" t="n">
        <v>3</v>
      </c>
      <c r="B7" s="75" t="s">
        <v>10122</v>
      </c>
      <c r="C7" s="75" t="s">
        <v>10123</v>
      </c>
      <c r="D7" s="75" t="s">
        <v>10124</v>
      </c>
      <c r="E7" s="75" t="s">
        <v>9876</v>
      </c>
    </row>
    <row r="8" customFormat="false" ht="23.85" hidden="false" customHeight="false" outlineLevel="0" collapsed="false">
      <c r="A8" s="73" t="n">
        <v>4</v>
      </c>
      <c r="B8" s="73" t="s">
        <v>10125</v>
      </c>
      <c r="C8" s="73" t="s">
        <v>10126</v>
      </c>
      <c r="D8" s="73" t="s">
        <v>10127</v>
      </c>
      <c r="E8" s="73" t="s">
        <v>9876</v>
      </c>
    </row>
    <row r="9" customFormat="false" ht="23.85" hidden="false" customHeight="false" outlineLevel="0" collapsed="false">
      <c r="A9" s="75" t="n">
        <v>5</v>
      </c>
      <c r="B9" s="75" t="s">
        <v>10128</v>
      </c>
      <c r="C9" s="75" t="s">
        <v>10129</v>
      </c>
      <c r="D9" s="75" t="s">
        <v>10130</v>
      </c>
      <c r="E9" s="75" t="s">
        <v>538</v>
      </c>
    </row>
    <row r="10" customFormat="false" ht="23.85" hidden="false" customHeight="false" outlineLevel="0" collapsed="false">
      <c r="A10" s="73" t="n">
        <v>6</v>
      </c>
      <c r="B10" s="73" t="s">
        <v>10131</v>
      </c>
      <c r="C10" s="73" t="s">
        <v>10132</v>
      </c>
      <c r="D10" s="73" t="s">
        <v>10133</v>
      </c>
      <c r="E10" s="73" t="s">
        <v>9625</v>
      </c>
    </row>
    <row r="11" customFormat="false" ht="23.85" hidden="false" customHeight="false" outlineLevel="0" collapsed="false">
      <c r="A11" s="75" t="n">
        <v>7</v>
      </c>
      <c r="B11" s="75" t="s">
        <v>10134</v>
      </c>
      <c r="C11" s="75" t="s">
        <v>10135</v>
      </c>
      <c r="D11" s="75" t="s">
        <v>10136</v>
      </c>
      <c r="E11" s="75" t="s">
        <v>9785</v>
      </c>
    </row>
    <row r="13" customFormat="false" ht="15" hidden="false" customHeight="false" outlineLevel="0" collapsed="false">
      <c r="A13" s="78" t="s">
        <v>10137</v>
      </c>
      <c r="B13" s="78"/>
      <c r="C13" s="78"/>
      <c r="D13" s="78"/>
      <c r="E13" s="78"/>
      <c r="F13" s="78"/>
      <c r="G13" s="78"/>
      <c r="H13" s="78"/>
    </row>
    <row r="14" customFormat="false" ht="39.55" hidden="false" customHeight="false" outlineLevel="0" collapsed="false">
      <c r="A14" s="3" t="s">
        <v>500</v>
      </c>
      <c r="B14" s="3" t="s">
        <v>10138</v>
      </c>
      <c r="C14" s="3" t="s">
        <v>10139</v>
      </c>
      <c r="D14" s="3" t="s">
        <v>10140</v>
      </c>
      <c r="E14" s="3" t="s">
        <v>10141</v>
      </c>
      <c r="F14" s="3" t="s">
        <v>10142</v>
      </c>
      <c r="G14" s="3" t="s">
        <v>10143</v>
      </c>
      <c r="H14" s="3" t="s">
        <v>10144</v>
      </c>
    </row>
    <row r="15" customFormat="false" ht="15" hidden="false" customHeight="false" outlineLevel="0" collapsed="false">
      <c r="A15" s="75" t="s">
        <v>4186</v>
      </c>
      <c r="B15" s="75"/>
      <c r="C15" s="75"/>
      <c r="D15" s="75"/>
      <c r="E15" s="75"/>
      <c r="F15" s="75"/>
      <c r="G15" s="75"/>
      <c r="H15" s="75"/>
    </row>
    <row r="16" customFormat="false" ht="15" hidden="false" customHeight="false" outlineLevel="0" collapsed="false">
      <c r="A16" s="73" t="s">
        <v>4190</v>
      </c>
      <c r="B16" s="73"/>
      <c r="C16" s="73"/>
      <c r="D16" s="73"/>
      <c r="E16" s="73"/>
      <c r="F16" s="73"/>
      <c r="G16" s="73"/>
      <c r="H16" s="73"/>
    </row>
    <row r="17" customFormat="false" ht="15" hidden="false" customHeight="false" outlineLevel="0" collapsed="false">
      <c r="A17" s="75" t="s">
        <v>4194</v>
      </c>
      <c r="B17" s="75"/>
      <c r="C17" s="75"/>
      <c r="D17" s="75"/>
      <c r="E17" s="75"/>
      <c r="F17" s="75"/>
      <c r="G17" s="75"/>
      <c r="H17" s="75"/>
    </row>
    <row r="18" customFormat="false" ht="15" hidden="false" customHeight="false" outlineLevel="0" collapsed="false">
      <c r="A18" s="73" t="s">
        <v>4198</v>
      </c>
      <c r="B18" s="73"/>
      <c r="C18" s="73"/>
      <c r="D18" s="73"/>
      <c r="E18" s="73"/>
      <c r="F18" s="73"/>
      <c r="G18" s="73"/>
      <c r="H18" s="73"/>
    </row>
    <row r="19" customFormat="false" ht="15" hidden="false" customHeight="false" outlineLevel="0" collapsed="false">
      <c r="A19" s="75" t="s">
        <v>4201</v>
      </c>
      <c r="B19" s="75"/>
      <c r="C19" s="75"/>
      <c r="D19" s="75"/>
      <c r="E19" s="75"/>
      <c r="F19" s="75"/>
      <c r="G19" s="75"/>
      <c r="H19" s="75"/>
    </row>
    <row r="20" customFormat="false" ht="15" hidden="false" customHeight="false" outlineLevel="0" collapsed="false">
      <c r="A20" s="73" t="s">
        <v>4205</v>
      </c>
      <c r="B20" s="73"/>
      <c r="C20" s="73"/>
      <c r="D20" s="73"/>
      <c r="E20" s="73"/>
      <c r="F20" s="73"/>
      <c r="G20" s="73"/>
      <c r="H20" s="73"/>
    </row>
    <row r="22" customFormat="false" ht="15" hidden="false" customHeight="false" outlineLevel="0" collapsed="false">
      <c r="A22" s="78" t="s">
        <v>10145</v>
      </c>
      <c r="B22" s="78"/>
      <c r="C22" s="78"/>
      <c r="D22" s="78"/>
    </row>
    <row r="23" customFormat="false" ht="15" hidden="false" customHeight="false" outlineLevel="0" collapsed="false">
      <c r="A23" s="3" t="s">
        <v>483</v>
      </c>
      <c r="B23" s="3" t="s">
        <v>9840</v>
      </c>
      <c r="C23" s="3" t="s">
        <v>2637</v>
      </c>
      <c r="D23" s="3" t="s">
        <v>9841</v>
      </c>
    </row>
    <row r="24" customFormat="false" ht="23.85" hidden="false" customHeight="false" outlineLevel="0" collapsed="false">
      <c r="A24" s="75" t="n">
        <v>1</v>
      </c>
      <c r="B24" s="75" t="s">
        <v>10146</v>
      </c>
      <c r="C24" s="75" t="s">
        <v>10147</v>
      </c>
      <c r="D24" s="75"/>
    </row>
    <row r="25" customFormat="false" ht="23.85" hidden="false" customHeight="false" outlineLevel="0" collapsed="false">
      <c r="A25" s="73" t="n">
        <v>2</v>
      </c>
      <c r="B25" s="73" t="s">
        <v>10148</v>
      </c>
      <c r="C25" s="73" t="s">
        <v>10149</v>
      </c>
      <c r="D25" s="73"/>
    </row>
    <row r="26" customFormat="false" ht="23.85" hidden="false" customHeight="false" outlineLevel="0" collapsed="false">
      <c r="A26" s="75" t="n">
        <v>3</v>
      </c>
      <c r="B26" s="75" t="s">
        <v>10150</v>
      </c>
      <c r="C26" s="75" t="s">
        <v>10151</v>
      </c>
      <c r="D26" s="75"/>
    </row>
    <row r="27" customFormat="false" ht="23.85" hidden="false" customHeight="false" outlineLevel="0" collapsed="false">
      <c r="A27" s="73" t="n">
        <v>4</v>
      </c>
      <c r="B27" s="73" t="s">
        <v>10152</v>
      </c>
      <c r="C27" s="73" t="s">
        <v>10153</v>
      </c>
      <c r="D27" s="73"/>
    </row>
    <row r="28" customFormat="false" ht="23.85" hidden="false" customHeight="false" outlineLevel="0" collapsed="false">
      <c r="A28" s="75" t="n">
        <v>5</v>
      </c>
      <c r="B28" s="75" t="s">
        <v>10154</v>
      </c>
      <c r="C28" s="75" t="s">
        <v>10155</v>
      </c>
      <c r="D28" s="75"/>
    </row>
    <row r="29" customFormat="false" ht="23.85" hidden="false" customHeight="false" outlineLevel="0" collapsed="false">
      <c r="A29" s="73" t="n">
        <v>6</v>
      </c>
      <c r="B29" s="73" t="s">
        <v>10156</v>
      </c>
      <c r="C29" s="73" t="s">
        <v>10157</v>
      </c>
      <c r="D29" s="73"/>
    </row>
    <row r="30" customFormat="false" ht="23.85" hidden="false" customHeight="false" outlineLevel="0" collapsed="false">
      <c r="A30" s="75" t="n">
        <v>7</v>
      </c>
      <c r="B30" s="75" t="s">
        <v>10158</v>
      </c>
      <c r="C30" s="75" t="s">
        <v>10159</v>
      </c>
      <c r="D30" s="75"/>
    </row>
    <row r="31" customFormat="false" ht="23.85" hidden="false" customHeight="false" outlineLevel="0" collapsed="false">
      <c r="A31" s="73" t="n">
        <v>8</v>
      </c>
      <c r="B31" s="73" t="s">
        <v>10160</v>
      </c>
      <c r="C31" s="73" t="s">
        <v>10161</v>
      </c>
      <c r="D31" s="73"/>
    </row>
    <row r="32" customFormat="false" ht="35.05" hidden="false" customHeight="false" outlineLevel="0" collapsed="false">
      <c r="A32" s="75" t="n">
        <v>9</v>
      </c>
      <c r="B32" s="75" t="s">
        <v>10162</v>
      </c>
      <c r="C32" s="75" t="s">
        <v>10163</v>
      </c>
      <c r="D32" s="75"/>
    </row>
    <row r="33" customFormat="false" ht="23.85" hidden="false" customHeight="false" outlineLevel="0" collapsed="false">
      <c r="A33" s="73" t="n">
        <v>10</v>
      </c>
      <c r="B33" s="73" t="s">
        <v>10164</v>
      </c>
      <c r="C33" s="73" t="s">
        <v>10165</v>
      </c>
      <c r="D33" s="73"/>
    </row>
    <row r="34" customFormat="false" ht="23.85" hidden="false" customHeight="false" outlineLevel="0" collapsed="false">
      <c r="A34" s="75" t="n">
        <v>11</v>
      </c>
      <c r="B34" s="75" t="s">
        <v>10166</v>
      </c>
      <c r="C34" s="75" t="s">
        <v>10167</v>
      </c>
      <c r="D34" s="75"/>
    </row>
    <row r="35" customFormat="false" ht="23.85" hidden="false" customHeight="false" outlineLevel="0" collapsed="false">
      <c r="A35" s="73" t="n">
        <v>12</v>
      </c>
      <c r="B35" s="73" t="s">
        <v>10168</v>
      </c>
      <c r="C35" s="73" t="s">
        <v>10169</v>
      </c>
      <c r="D35" s="73"/>
    </row>
    <row r="36" customFormat="false" ht="23.85" hidden="false" customHeight="false" outlineLevel="0" collapsed="false">
      <c r="A36" s="75" t="n">
        <v>13</v>
      </c>
      <c r="B36" s="75" t="s">
        <v>10170</v>
      </c>
      <c r="C36" s="75" t="s">
        <v>10171</v>
      </c>
      <c r="D36" s="75"/>
    </row>
    <row r="37" customFormat="false" ht="23.85" hidden="false" customHeight="false" outlineLevel="0" collapsed="false">
      <c r="A37" s="73" t="n">
        <v>14</v>
      </c>
      <c r="B37" s="73" t="s">
        <v>10172</v>
      </c>
      <c r="C37" s="73" t="s">
        <v>10173</v>
      </c>
      <c r="D37" s="73"/>
    </row>
    <row r="38" customFormat="false" ht="23.85" hidden="false" customHeight="false" outlineLevel="0" collapsed="false">
      <c r="A38" s="75" t="n">
        <v>15</v>
      </c>
      <c r="B38" s="75" t="s">
        <v>10174</v>
      </c>
      <c r="C38" s="75" t="s">
        <v>10175</v>
      </c>
      <c r="D38" s="75"/>
    </row>
    <row r="40" customFormat="false" ht="15" hidden="false" customHeight="false" outlineLevel="0" collapsed="false">
      <c r="A40" s="78" t="s">
        <v>10176</v>
      </c>
      <c r="B40" s="78"/>
      <c r="C40" s="78"/>
      <c r="D40" s="78"/>
    </row>
    <row r="41" customFormat="false" ht="15" hidden="false" customHeight="false" outlineLevel="0" collapsed="false">
      <c r="A41" s="3" t="s">
        <v>483</v>
      </c>
      <c r="B41" s="3" t="s">
        <v>9840</v>
      </c>
      <c r="C41" s="3" t="s">
        <v>2637</v>
      </c>
      <c r="D41" s="3" t="s">
        <v>9841</v>
      </c>
    </row>
    <row r="42" customFormat="false" ht="35.05" hidden="false" customHeight="false" outlineLevel="0" collapsed="false">
      <c r="A42" s="75" t="n">
        <v>1</v>
      </c>
      <c r="B42" s="75" t="s">
        <v>10177</v>
      </c>
      <c r="C42" s="75" t="s">
        <v>10178</v>
      </c>
      <c r="D42" s="75"/>
    </row>
    <row r="43" customFormat="false" ht="23.85" hidden="false" customHeight="false" outlineLevel="0" collapsed="false">
      <c r="A43" s="73" t="n">
        <v>2</v>
      </c>
      <c r="B43" s="73" t="s">
        <v>9844</v>
      </c>
      <c r="C43" s="73" t="s">
        <v>10179</v>
      </c>
      <c r="D43" s="73"/>
    </row>
    <row r="44" customFormat="false" ht="23.85" hidden="false" customHeight="false" outlineLevel="0" collapsed="false">
      <c r="A44" s="75" t="n">
        <v>3</v>
      </c>
      <c r="B44" s="75" t="s">
        <v>10180</v>
      </c>
      <c r="C44" s="75" t="s">
        <v>10181</v>
      </c>
      <c r="D44" s="75"/>
    </row>
    <row r="45" customFormat="false" ht="23.85" hidden="false" customHeight="false" outlineLevel="0" collapsed="false">
      <c r="A45" s="73" t="n">
        <v>4</v>
      </c>
      <c r="B45" s="73" t="s">
        <v>10182</v>
      </c>
      <c r="C45" s="73" t="s">
        <v>10183</v>
      </c>
      <c r="D45" s="73"/>
    </row>
    <row r="46" customFormat="false" ht="23.85" hidden="false" customHeight="false" outlineLevel="0" collapsed="false">
      <c r="A46" s="75" t="n">
        <v>5</v>
      </c>
      <c r="B46" s="75" t="s">
        <v>10184</v>
      </c>
      <c r="C46" s="75" t="s">
        <v>10185</v>
      </c>
      <c r="D46" s="75"/>
    </row>
    <row r="47" customFormat="false" ht="23.85" hidden="false" customHeight="false" outlineLevel="0" collapsed="false">
      <c r="A47" s="73" t="n">
        <v>6</v>
      </c>
      <c r="B47" s="73" t="s">
        <v>10186</v>
      </c>
      <c r="C47" s="73" t="s">
        <v>10187</v>
      </c>
      <c r="D47" s="73"/>
    </row>
    <row r="48" customFormat="false" ht="23.85" hidden="false" customHeight="false" outlineLevel="0" collapsed="false">
      <c r="A48" s="75" t="n">
        <v>7</v>
      </c>
      <c r="B48" s="75" t="s">
        <v>10188</v>
      </c>
      <c r="C48" s="75" t="s">
        <v>10189</v>
      </c>
      <c r="D48" s="75"/>
    </row>
    <row r="49" customFormat="false" ht="23.85" hidden="false" customHeight="false" outlineLevel="0" collapsed="false">
      <c r="A49" s="73" t="n">
        <v>8</v>
      </c>
      <c r="B49" s="73" t="s">
        <v>10190</v>
      </c>
      <c r="C49" s="73" t="s">
        <v>10191</v>
      </c>
      <c r="D49" s="73"/>
    </row>
    <row r="50" customFormat="false" ht="23.85" hidden="false" customHeight="false" outlineLevel="0" collapsed="false">
      <c r="A50" s="75" t="n">
        <v>9</v>
      </c>
      <c r="B50" s="75" t="s">
        <v>10192</v>
      </c>
      <c r="C50" s="75" t="s">
        <v>10193</v>
      </c>
      <c r="D50" s="75"/>
    </row>
    <row r="51" customFormat="false" ht="23.85" hidden="false" customHeight="false" outlineLevel="0" collapsed="false">
      <c r="A51" s="73" t="n">
        <v>10</v>
      </c>
      <c r="B51" s="73" t="s">
        <v>10194</v>
      </c>
      <c r="C51" s="73" t="s">
        <v>10195</v>
      </c>
      <c r="D51" s="73"/>
    </row>
    <row r="52" customFormat="false" ht="23.85" hidden="false" customHeight="false" outlineLevel="0" collapsed="false">
      <c r="A52" s="75" t="n">
        <v>11</v>
      </c>
      <c r="B52" s="75" t="s">
        <v>10196</v>
      </c>
      <c r="C52" s="75" t="s">
        <v>10197</v>
      </c>
      <c r="D52" s="75"/>
    </row>
    <row r="53" customFormat="false" ht="23.85" hidden="false" customHeight="false" outlineLevel="0" collapsed="false">
      <c r="A53" s="73" t="n">
        <v>12</v>
      </c>
      <c r="B53" s="73" t="s">
        <v>10198</v>
      </c>
      <c r="C53" s="73" t="s">
        <v>10199</v>
      </c>
      <c r="D53" s="73"/>
    </row>
    <row r="55" customFormat="false" ht="15" hidden="false" customHeight="false" outlineLevel="0" collapsed="false">
      <c r="A55" s="78" t="s">
        <v>10200</v>
      </c>
      <c r="B55" s="78"/>
      <c r="C55" s="78"/>
      <c r="D55" s="78"/>
    </row>
    <row r="56" customFormat="false" ht="26.85" hidden="false" customHeight="false" outlineLevel="0" collapsed="false">
      <c r="A56" s="3" t="s">
        <v>500</v>
      </c>
      <c r="B56" s="3" t="s">
        <v>10201</v>
      </c>
      <c r="C56" s="3" t="s">
        <v>10202</v>
      </c>
      <c r="D56" s="3" t="s">
        <v>10203</v>
      </c>
    </row>
    <row r="57" customFormat="false" ht="15" hidden="false" customHeight="false" outlineLevel="0" collapsed="false">
      <c r="A57" s="75" t="s">
        <v>4186</v>
      </c>
      <c r="B57" s="75" t="s">
        <v>10204</v>
      </c>
      <c r="C57" s="75" t="s">
        <v>10205</v>
      </c>
      <c r="D57" s="75" t="s">
        <v>10206</v>
      </c>
    </row>
    <row r="58" customFormat="false" ht="15" hidden="false" customHeight="false" outlineLevel="0" collapsed="false">
      <c r="A58" s="73" t="s">
        <v>4190</v>
      </c>
      <c r="B58" s="73" t="s">
        <v>10207</v>
      </c>
      <c r="C58" s="73" t="s">
        <v>10208</v>
      </c>
      <c r="D58" s="73" t="s">
        <v>10209</v>
      </c>
    </row>
    <row r="59" customFormat="false" ht="15" hidden="false" customHeight="false" outlineLevel="0" collapsed="false">
      <c r="A59" s="75" t="s">
        <v>4194</v>
      </c>
      <c r="B59" s="75" t="s">
        <v>10207</v>
      </c>
      <c r="C59" s="75" t="s">
        <v>10208</v>
      </c>
      <c r="D59" s="75" t="s">
        <v>10210</v>
      </c>
    </row>
    <row r="60" customFormat="false" ht="15" hidden="false" customHeight="false" outlineLevel="0" collapsed="false">
      <c r="A60" s="73" t="s">
        <v>4198</v>
      </c>
      <c r="B60" s="73" t="s">
        <v>10211</v>
      </c>
      <c r="C60" s="73" t="s">
        <v>10212</v>
      </c>
      <c r="D60" s="73" t="s">
        <v>10213</v>
      </c>
    </row>
    <row r="61" customFormat="false" ht="15" hidden="false" customHeight="false" outlineLevel="0" collapsed="false">
      <c r="A61" s="75" t="s">
        <v>4201</v>
      </c>
      <c r="B61" s="75" t="s">
        <v>10211</v>
      </c>
      <c r="C61" s="75" t="s">
        <v>10212</v>
      </c>
      <c r="D61" s="75" t="s">
        <v>10214</v>
      </c>
    </row>
    <row r="62" customFormat="false" ht="15" hidden="false" customHeight="false" outlineLevel="0" collapsed="false">
      <c r="A62" s="73" t="s">
        <v>4205</v>
      </c>
      <c r="B62" s="73" t="s">
        <v>10207</v>
      </c>
      <c r="C62" s="73" t="s">
        <v>10208</v>
      </c>
      <c r="D62" s="73" t="s">
        <v>10215</v>
      </c>
    </row>
    <row r="64" customFormat="false" ht="15" hidden="false" customHeight="false" outlineLevel="0" collapsed="false">
      <c r="A64" s="78" t="s">
        <v>10216</v>
      </c>
      <c r="B64" s="78"/>
      <c r="C64" s="78"/>
      <c r="D64" s="78"/>
      <c r="E64" s="78"/>
    </row>
    <row r="65" customFormat="false" ht="15" hidden="false" customHeight="false" outlineLevel="0" collapsed="false">
      <c r="A65" s="3" t="s">
        <v>6395</v>
      </c>
      <c r="B65" s="3" t="s">
        <v>10217</v>
      </c>
      <c r="C65" s="3" t="s">
        <v>10218</v>
      </c>
      <c r="D65" s="3" t="s">
        <v>3797</v>
      </c>
      <c r="E65" s="3" t="s">
        <v>5478</v>
      </c>
    </row>
    <row r="66" customFormat="false" ht="15" hidden="false" customHeight="false" outlineLevel="0" collapsed="false">
      <c r="A66" s="75"/>
      <c r="B66" s="75"/>
      <c r="C66" s="75"/>
      <c r="D66" s="75"/>
      <c r="E66" s="75"/>
    </row>
    <row r="67" customFormat="false" ht="15" hidden="false" customHeight="false" outlineLevel="0" collapsed="false">
      <c r="A67" s="73"/>
      <c r="B67" s="73"/>
      <c r="C67" s="73"/>
      <c r="D67" s="73"/>
      <c r="E67" s="73"/>
    </row>
    <row r="68" customFormat="false" ht="15" hidden="false" customHeight="false" outlineLevel="0" collapsed="false">
      <c r="A68" s="75"/>
      <c r="B68" s="75"/>
      <c r="C68" s="75"/>
      <c r="D68" s="75"/>
      <c r="E68" s="75"/>
    </row>
    <row r="69" customFormat="false" ht="15" hidden="false" customHeight="false" outlineLevel="0" collapsed="false">
      <c r="A69" s="73"/>
      <c r="B69" s="73"/>
      <c r="C69" s="73"/>
      <c r="D69" s="73"/>
      <c r="E69" s="73"/>
    </row>
    <row r="70" customFormat="false" ht="15" hidden="false" customHeight="false" outlineLevel="0" collapsed="false">
      <c r="A70" s="75"/>
      <c r="B70" s="75"/>
      <c r="C70" s="75"/>
      <c r="D70" s="75"/>
      <c r="E70" s="75"/>
    </row>
    <row r="71" customFormat="false" ht="15" hidden="false" customHeight="false" outlineLevel="0" collapsed="false">
      <c r="A71" s="73"/>
      <c r="B71" s="73"/>
      <c r="C71" s="73"/>
      <c r="D71" s="73"/>
      <c r="E71" s="73"/>
    </row>
    <row r="72" customFormat="false" ht="15" hidden="false" customHeight="false" outlineLevel="0" collapsed="false">
      <c r="A72" s="75"/>
      <c r="B72" s="75"/>
      <c r="C72" s="75"/>
      <c r="D72" s="75"/>
      <c r="E72" s="75"/>
    </row>
    <row r="73" customFormat="false" ht="15" hidden="false" customHeight="false" outlineLevel="0" collapsed="false">
      <c r="A73" s="73"/>
      <c r="B73" s="73"/>
      <c r="C73" s="73"/>
      <c r="D73" s="73"/>
      <c r="E73" s="73"/>
    </row>
    <row r="74" customFormat="false" ht="15" hidden="false" customHeight="false" outlineLevel="0" collapsed="false">
      <c r="A74" s="75"/>
      <c r="B74" s="75"/>
      <c r="C74" s="75"/>
      <c r="D74" s="75"/>
      <c r="E74" s="75"/>
    </row>
    <row r="75" customFormat="false" ht="15" hidden="false" customHeight="false" outlineLevel="0" collapsed="false">
      <c r="A75" s="73"/>
      <c r="B75" s="73"/>
      <c r="C75" s="73"/>
      <c r="D75" s="73"/>
      <c r="E75" s="73"/>
    </row>
  </sheetData>
  <mergeCells count="7">
    <mergeCell ref="A1:E1"/>
    <mergeCell ref="A3:E3"/>
    <mergeCell ref="A13:H13"/>
    <mergeCell ref="A22:D22"/>
    <mergeCell ref="A40:D40"/>
    <mergeCell ref="A55:D55"/>
    <mergeCell ref="A64:E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8" min="2" style="0" width="15"/>
  </cols>
  <sheetData>
    <row r="1" customFormat="false" ht="17.35" hidden="false" customHeight="false" outlineLevel="0" collapsed="false">
      <c r="A1" s="273" t="s">
        <v>10219</v>
      </c>
      <c r="B1" s="273"/>
      <c r="C1" s="273"/>
      <c r="D1" s="273"/>
      <c r="E1" s="273"/>
      <c r="F1" s="273"/>
      <c r="G1" s="273"/>
      <c r="H1" s="273"/>
    </row>
    <row r="3" customFormat="false" ht="15" hidden="false" customHeight="false" outlineLevel="0" collapsed="false">
      <c r="A3" s="278" t="s">
        <v>9294</v>
      </c>
      <c r="B3" s="278"/>
      <c r="C3" s="278"/>
      <c r="D3" s="278"/>
      <c r="E3" s="278"/>
      <c r="F3" s="278"/>
      <c r="G3" s="278"/>
      <c r="H3" s="278"/>
    </row>
    <row r="5" customFormat="false" ht="26.85" hidden="false" customHeight="false" outlineLevel="0" collapsed="false">
      <c r="A5" s="3" t="s">
        <v>10220</v>
      </c>
      <c r="B5" s="3" t="s">
        <v>10221</v>
      </c>
      <c r="C5" s="3" t="s">
        <v>9904</v>
      </c>
      <c r="D5" s="3" t="s">
        <v>604</v>
      </c>
      <c r="E5" s="3" t="s">
        <v>9766</v>
      </c>
      <c r="F5" s="3" t="s">
        <v>9608</v>
      </c>
      <c r="G5" s="3" t="s">
        <v>9625</v>
      </c>
      <c r="H5" s="3" t="s">
        <v>9797</v>
      </c>
    </row>
    <row r="6" customFormat="false" ht="15" hidden="false" customHeight="false" outlineLevel="0" collapsed="false">
      <c r="A6" s="75" t="s">
        <v>10222</v>
      </c>
      <c r="B6" s="75" t="s">
        <v>559</v>
      </c>
      <c r="C6" s="75" t="s">
        <v>6413</v>
      </c>
      <c r="D6" s="75" t="s">
        <v>592</v>
      </c>
      <c r="E6" s="75" t="s">
        <v>568</v>
      </c>
      <c r="F6" s="75" t="s">
        <v>592</v>
      </c>
      <c r="G6" s="75" t="s">
        <v>592</v>
      </c>
      <c r="H6" s="75" t="s">
        <v>592</v>
      </c>
    </row>
    <row r="7" customFormat="false" ht="15" hidden="false" customHeight="false" outlineLevel="0" collapsed="false">
      <c r="A7" s="73" t="s">
        <v>10223</v>
      </c>
      <c r="B7" s="73" t="s">
        <v>568</v>
      </c>
      <c r="C7" s="73" t="s">
        <v>592</v>
      </c>
      <c r="D7" s="73" t="s">
        <v>592</v>
      </c>
      <c r="E7" s="73" t="s">
        <v>6413</v>
      </c>
      <c r="F7" s="73" t="s">
        <v>559</v>
      </c>
      <c r="G7" s="73" t="s">
        <v>592</v>
      </c>
      <c r="H7" s="73" t="s">
        <v>592</v>
      </c>
    </row>
    <row r="8" customFormat="false" ht="15" hidden="false" customHeight="false" outlineLevel="0" collapsed="false">
      <c r="A8" s="75" t="s">
        <v>10224</v>
      </c>
      <c r="B8" s="75" t="s">
        <v>592</v>
      </c>
      <c r="C8" s="75" t="s">
        <v>592</v>
      </c>
      <c r="D8" s="75" t="s">
        <v>592</v>
      </c>
      <c r="E8" s="75" t="s">
        <v>6413</v>
      </c>
      <c r="F8" s="75" t="s">
        <v>6413</v>
      </c>
      <c r="G8" s="75" t="s">
        <v>559</v>
      </c>
      <c r="H8" s="75" t="s">
        <v>568</v>
      </c>
    </row>
    <row r="9" customFormat="false" ht="15" hidden="false" customHeight="false" outlineLevel="0" collapsed="false">
      <c r="A9" s="73" t="s">
        <v>10225</v>
      </c>
      <c r="B9" s="73" t="s">
        <v>568</v>
      </c>
      <c r="C9" s="73" t="s">
        <v>592</v>
      </c>
      <c r="D9" s="73" t="s">
        <v>592</v>
      </c>
      <c r="E9" s="73" t="s">
        <v>6413</v>
      </c>
      <c r="F9" s="73" t="s">
        <v>568</v>
      </c>
      <c r="G9" s="73" t="s">
        <v>559</v>
      </c>
      <c r="H9" s="73" t="s">
        <v>592</v>
      </c>
    </row>
    <row r="10" customFormat="false" ht="15" hidden="false" customHeight="false" outlineLevel="0" collapsed="false">
      <c r="A10" s="75" t="s">
        <v>10226</v>
      </c>
      <c r="B10" s="75" t="s">
        <v>559</v>
      </c>
      <c r="C10" s="75" t="s">
        <v>6413</v>
      </c>
      <c r="D10" s="75" t="s">
        <v>592</v>
      </c>
      <c r="E10" s="75" t="s">
        <v>6413</v>
      </c>
      <c r="F10" s="75" t="s">
        <v>568</v>
      </c>
      <c r="G10" s="75" t="s">
        <v>592</v>
      </c>
      <c r="H10" s="75" t="s">
        <v>592</v>
      </c>
    </row>
    <row r="11" customFormat="false" ht="15" hidden="false" customHeight="false" outlineLevel="0" collapsed="false">
      <c r="A11" s="73" t="s">
        <v>10227</v>
      </c>
      <c r="B11" s="73" t="s">
        <v>592</v>
      </c>
      <c r="C11" s="73" t="s">
        <v>592</v>
      </c>
      <c r="D11" s="73" t="s">
        <v>592</v>
      </c>
      <c r="E11" s="73" t="s">
        <v>559</v>
      </c>
      <c r="F11" s="73" t="s">
        <v>592</v>
      </c>
      <c r="G11" s="73" t="s">
        <v>568</v>
      </c>
      <c r="H11" s="73" t="s">
        <v>6413</v>
      </c>
    </row>
    <row r="12" customFormat="false" ht="15" hidden="false" customHeight="false" outlineLevel="0" collapsed="false">
      <c r="A12" s="75" t="s">
        <v>9307</v>
      </c>
      <c r="B12" s="75" t="s">
        <v>559</v>
      </c>
      <c r="C12" s="75" t="s">
        <v>568</v>
      </c>
      <c r="D12" s="75" t="s">
        <v>6413</v>
      </c>
      <c r="E12" s="75" t="s">
        <v>592</v>
      </c>
      <c r="F12" s="75" t="s">
        <v>592</v>
      </c>
      <c r="G12" s="75" t="s">
        <v>568</v>
      </c>
      <c r="H12" s="75" t="s">
        <v>592</v>
      </c>
    </row>
    <row r="13" customFormat="false" ht="15" hidden="false" customHeight="false" outlineLevel="0" collapsed="false">
      <c r="A13" s="73" t="s">
        <v>10228</v>
      </c>
      <c r="B13" s="73" t="s">
        <v>568</v>
      </c>
      <c r="C13" s="73" t="s">
        <v>6413</v>
      </c>
      <c r="D13" s="73" t="s">
        <v>592</v>
      </c>
      <c r="E13" s="73" t="s">
        <v>592</v>
      </c>
      <c r="F13" s="73" t="s">
        <v>592</v>
      </c>
      <c r="G13" s="73" t="s">
        <v>592</v>
      </c>
      <c r="H13" s="73" t="s">
        <v>568</v>
      </c>
    </row>
    <row r="14" customFormat="false" ht="15" hidden="false" customHeight="false" outlineLevel="0" collapsed="false">
      <c r="A14" s="75" t="s">
        <v>10229</v>
      </c>
      <c r="B14" s="75" t="s">
        <v>6413</v>
      </c>
      <c r="C14" s="75" t="s">
        <v>568</v>
      </c>
      <c r="D14" s="75" t="s">
        <v>592</v>
      </c>
      <c r="E14" s="75" t="s">
        <v>592</v>
      </c>
      <c r="F14" s="75" t="s">
        <v>592</v>
      </c>
      <c r="G14" s="75" t="s">
        <v>592</v>
      </c>
      <c r="H14" s="75" t="s">
        <v>568</v>
      </c>
    </row>
    <row r="15" customFormat="false" ht="15" hidden="false" customHeight="false" outlineLevel="0" collapsed="false">
      <c r="A15" s="73" t="s">
        <v>10230</v>
      </c>
      <c r="B15" s="73" t="s">
        <v>559</v>
      </c>
      <c r="C15" s="73" t="s">
        <v>6413</v>
      </c>
      <c r="D15" s="73" t="s">
        <v>592</v>
      </c>
      <c r="E15" s="73" t="s">
        <v>568</v>
      </c>
      <c r="F15" s="73" t="s">
        <v>568</v>
      </c>
      <c r="G15" s="73" t="s">
        <v>592</v>
      </c>
      <c r="H15" s="73" t="s">
        <v>592</v>
      </c>
    </row>
  </sheetData>
  <mergeCells count="2">
    <mergeCell ref="A1:H1"/>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2026-03-27T01:37:34Z</dcterms:created>
  <dc:creator>openpyxl</dc:creator>
  <dc:description/>
  <dc:language>en-US</dc:language>
  <cp:lastModifiedBy/>
  <dcterms:modified xsi:type="dcterms:W3CDTF">2026-03-27T09:46:27Z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