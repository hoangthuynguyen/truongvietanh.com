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. Chân Dung KH" sheetId="1" state="visible" r:id="rId3"/>
    <sheet name="0. Dashboard" sheetId="2" state="visible" r:id="rId4"/>
    <sheet name="1. Input" sheetId="3" state="visible" r:id="rId5"/>
    <sheet name="2. Paid Media" sheetId="4" state="visible" r:id="rId6"/>
    <sheet name="3. Master Table" sheetId="5" state="visible" r:id="rId7"/>
    <sheet name="4. Funnel" sheetId="6" state="visible" r:id="rId8"/>
    <sheet name="5. Google Ads Chi Tiết" sheetId="7" state="visible" r:id="rId9"/>
    <sheet name="6. Meta Ads Chi Tiết" sheetId="8" state="visible" r:id="rId10"/>
    <sheet name="7. TikTok Ads Chi Tiết" sheetId="9" state="visible" r:id="rId11"/>
    <sheet name="8. GoHighLevel Setup" sheetId="10" state="visible" r:id="rId12"/>
    <sheet name="9. GTM Tracking" sheetId="11" state="visible" r:id="rId13"/>
    <sheet name="10. Lịch Công Việc Marketer" sheetId="12" state="visible" r:id="rId14"/>
    <sheet name="11. Timeline" sheetId="13" state="visible" r:id="rId15"/>
    <sheet name="12. Danh bạ" sheetId="14" state="visible" r:id="rId16"/>
    <sheet name="13. Zalo Ads + OA" sheetId="15" state="visible" r:id="rId17"/>
    <sheet name="14. Weekly Battleplan" sheetId="16" state="visible" r:id="rId18"/>
    <sheet name="A. KPI Weekly Tracker" sheetId="17" state="visible" r:id="rId19"/>
    <sheet name="B. Todo Daily" sheetId="18" state="visible" r:id="rId20"/>
    <sheet name="C. Todo Weekly" sheetId="19" state="visible" r:id="rId21"/>
    <sheet name="D. Todo Monthly" sheetId="20" state="visible" r:id="rId22"/>
    <sheet name="E. Campaign Tracker" sheetId="21" state="visible" r:id="rId23"/>
    <sheet name="F. Meta Ads Plan" sheetId="22" state="visible" r:id="rId24"/>
    <sheet name="G. Google Ads Plan" sheetId="23" state="visible" r:id="rId25"/>
    <sheet name="H. Birch + GHL Integration" sheetId="24" state="visible" r:id="rId26"/>
    <sheet name="J. Webinar Chi Tiết" sheetId="25" state="visible" r:id="rId27"/>
    <sheet name="K. Social Media Calendar" sheetId="26" state="visible" r:id="rId28"/>
    <sheet name="L. Analytics &amp; Remarketing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<sst xmlns="http://schemas.openxmlformats.org/spreadsheetml/2006/main" count="6155" uniqueCount="3737">
  <si>
    <t xml:space="preserve">CHÂN DUNG KHÁCH HÀNG (PERSONA) – THEO SẢN PHẨM VÀ ĐỊA ĐIỂM</t>
  </si>
  <si>
    <t xml:space="preserve">Phân tích chi tiết đối tượng phụ huynh mục tiêu, nỗi đau, insight và messaging phù hợp cho từng cấp học và từng địa điểm</t>
  </si>
  <si>
    <t xml:space="preserve">A. PERSONA THEO CẤP HỌC</t>
  </si>
  <si>
    <t xml:space="preserve">Cấp học</t>
  </si>
  <si>
    <t xml:space="preserve">Tên Persona</t>
  </si>
  <si>
    <t xml:space="preserve">Tuổi</t>
  </si>
  <si>
    <t xml:space="preserve">Giới tính</t>
  </si>
  <si>
    <t xml:space="preserve">Nghề nghiệp</t>
  </si>
  <si>
    <t xml:space="preserve">Thu nhập/tháng</t>
  </si>
  <si>
    <t xml:space="preserve">Hành vi Online</t>
  </si>
  <si>
    <t xml:space="preserve">Kênh tiếp cận chính</t>
  </si>
  <si>
    <t xml:space="preserve">Nỗi đau #1</t>
  </si>
  <si>
    <t xml:space="preserve">Nỗi đau #2</t>
  </si>
  <si>
    <t xml:space="preserve">Nỗi đau #3</t>
  </si>
  <si>
    <t xml:space="preserve">Insight mua hàng</t>
  </si>
  <si>
    <t xml:space="preserve">Messaging chính</t>
  </si>
  <si>
    <t xml:space="preserve">CTA hiệu quả</t>
  </si>
  <si>
    <t xml:space="preserve">Objection thường gặp</t>
  </si>
  <si>
    <t xml:space="preserve">Cách xử lý Objection</t>
  </si>
  <si>
    <t xml:space="preserve">MN (Mầm non)</t>
  </si>
  <si>
    <t xml:space="preserve">Chị Lan – Mẹ bỉm sữa</t>
  </si>
  <si>
    <t xml:space="preserve">26-35</t>
  </si>
  <si>
    <t xml:space="preserve">Nữ 85%</t>
  </si>
  <si>
    <t xml:space="preserve">Nhân viên VP, kinh doanh nhỏ</t>
  </si>
  <si>
    <t xml:space="preserve">15-30 triệu</t>
  </si>
  <si>
    <t xml:space="preserve">Facebook 3h/ngày, Zalo, TikTok, group MN</t>
  </si>
  <si>
    <t xml:space="preserve">Meta Ads, Zalo OA, TikTok</t>
  </si>
  <si>
    <t xml:space="preserve">Sợ con bị bắt nạt / không an toàn</t>
  </si>
  <si>
    <t xml:space="preserve">Thiếu thời gian đưa đón, cần trường gần nhà</t>
  </si>
  <si>
    <t xml:space="preserve">Lo giáo viên không tận tâm, thay đổi liên tục</t>
  </si>
  <si>
    <t xml:space="preserve">Tin review PH khác &gt; quảng cáo; Quyết định nhanh nếu tour ấn tượng</t>
  </si>
  <si>
    <t xml:space="preserve">Môi trường an toàn, camera 24/7, GV tận tâm, gần nhà</t>
  </si>
  <si>
    <t xml:space="preserve">Đăng ký tham quan trường MIỄN PHÍ</t>
  </si>
  <si>
    <t xml:space="preserve">Học phí cao hơn trường khác</t>
  </si>
  <si>
    <t xml:space="preserve">So sánh giá trị: ăn sạch, GV/trẻ tỷ lệ thấp, camera, ngoại khóa</t>
  </si>
  <si>
    <t xml:space="preserve">Anh Tuấn – Ba trẻ quan tâm GD</t>
  </si>
  <si>
    <t xml:space="preserve">30-40</t>
  </si>
  <si>
    <t xml:space="preserve">Nam 15%</t>
  </si>
  <si>
    <t xml:space="preserve">Quản lý, kỹ sư, CNTT</t>
  </si>
  <si>
    <t xml:space="preserve">25-50 triệu</t>
  </si>
  <si>
    <t xml:space="preserve">Google Search, YouTube review</t>
  </si>
  <si>
    <t xml:space="preserve">Google Ads, YouTube</t>
  </si>
  <si>
    <t xml:space="preserve">Muốn con phát triển toàn diện sớm</t>
  </si>
  <si>
    <t xml:space="preserve">Lo trường không có chương trình song ngữ tốt</t>
  </si>
  <si>
    <t xml:space="preserve">Không biết trường nào uy tín gần nhà</t>
  </si>
  <si>
    <t xml:space="preserve">So sánh kỹ trên Google trước khi tour</t>
  </si>
  <si>
    <t xml:space="preserve">Song ngữ từ 3 tuổi, chương trình STEAM</t>
  </si>
  <si>
    <t xml:space="preserve">Xem chi tiết chương trình học</t>
  </si>
  <si>
    <t xml:space="preserve">Muốn chờ vợ quyết định</t>
  </si>
  <si>
    <t xml:space="preserve">Mời cả 2 PH cùng tour, tặng ưu đãi</t>
  </si>
  <si>
    <t xml:space="preserve">TH (Tiểu học)</t>
  </si>
  <si>
    <t xml:space="preserve">Chị Mai – PH lớp 1 lo lắng</t>
  </si>
  <si>
    <t xml:space="preserve">30-42</t>
  </si>
  <si>
    <t xml:space="preserve">Nữ 75%</t>
  </si>
  <si>
    <t xml:space="preserve">Nhân viên, giáo viên, kinh doanh</t>
  </si>
  <si>
    <t xml:space="preserve">20-40 triệu</t>
  </si>
  <si>
    <t xml:space="preserve">Facebook, Zalo group, tìm Google</t>
  </si>
  <si>
    <t xml:space="preserve">Meta Ads, Google Search, Zalo</t>
  </si>
  <si>
    <t xml:space="preserve">Sợ con không theo kịp chương trình</t>
  </si>
  <si>
    <t xml:space="preserve">Lo trường tư "nhẹ" hơn trường công</t>
  </si>
  <si>
    <t xml:space="preserve">Áp lực tiếng Anh – con chưa có nền tảng</t>
  </si>
  <si>
    <t xml:space="preserve">Tham khảo 3-5 trường trước khi chọn; Tour 2 lần</t>
  </si>
  <si>
    <t xml:space="preserve">Lộ trình tiếng Anh rõ ràng, sĩ số nhỏ 25-30, GV theo sát</t>
  </si>
  <si>
    <t xml:space="preserve">Đặt lịch tham quan + tư vấn 1-1</t>
  </si>
  <si>
    <t xml:space="preserve">Trường công miễn phí mà cũng tốt</t>
  </si>
  <si>
    <t xml:space="preserve">Sĩ số 50 vs 25, không ngoại khóa, GV không theo sát</t>
  </si>
  <si>
    <t xml:space="preserve">Anh Hùng – PH chuyển con từ công sang tư</t>
  </si>
  <si>
    <t xml:space="preserve">35-45</t>
  </si>
  <si>
    <t xml:space="preserve">Nam 25%</t>
  </si>
  <si>
    <t xml:space="preserve">Chủ DN nhỏ, quản lý</t>
  </si>
  <si>
    <t xml:space="preserve">30-60 triệu</t>
  </si>
  <si>
    <t xml:space="preserve">Google, Facebook, hỏi bạn bè</t>
  </si>
  <si>
    <t xml:space="preserve">Google Ads, Remarketing</t>
  </si>
  <si>
    <t xml:space="preserve">Con đang học công nhưng không phát triển</t>
  </si>
  <si>
    <t xml:space="preserve">Muốn môi trường tốt hơn, ít bạo lực</t>
  </si>
  <si>
    <t xml:space="preserve">Lo con không thích nghi khi chuyển</t>
  </si>
  <si>
    <t xml:space="preserve">Quyết định nhanh khi thấy cơ sở vật chất tốt</t>
  </si>
  <si>
    <t xml:space="preserve">Chuyển cấp linh hoạt, hỗ trợ hòa nhập, CSVC hiện đại</t>
  </si>
  <si>
    <t xml:space="preserve">Đăng ký chuyển trường – Hỗ trợ hồ sơ nhanh</t>
  </si>
  <si>
    <t xml:space="preserve">Con đã quen trường cũ</t>
  </si>
  <si>
    <t xml:space="preserve">Hỗ trợ hòa nhập 2 tuần, buddy system</t>
  </si>
  <si>
    <t xml:space="preserve">THCS (Cấp 2)</t>
  </si>
  <si>
    <t xml:space="preserve">Chị Hoa – PH lớp 6 giai đoạn bản lề</t>
  </si>
  <si>
    <t xml:space="preserve">35-48</t>
  </si>
  <si>
    <t xml:space="preserve">Nữ 65%</t>
  </si>
  <si>
    <t xml:space="preserve">Nhân viên, công chức, kinh doanh</t>
  </si>
  <si>
    <t xml:space="preserve">Facebook, Google, Webinar, Forum</t>
  </si>
  <si>
    <t xml:space="preserve">Meta Ads, Google Ads, Webinar</t>
  </si>
  <si>
    <t xml:space="preserve">Sợ con sa sút vì giai đoạn dậy thì</t>
  </si>
  <si>
    <t xml:space="preserve">Lo trường không theo sát tâm lý HS</t>
  </si>
  <si>
    <t xml:space="preserve">Áp lực kết quả thi cuối cấp</t>
  </si>
  <si>
    <t xml:space="preserve">Tham gia webinar trước khi tour; Cần dữ liệu đầu ra</t>
  </si>
  <si>
    <t xml:space="preserve">Theo sát HS giai đoạn bản lề, GV chủ nhiệm tâm huyết</t>
  </si>
  <si>
    <t xml:space="preserve">Đăng ký webinar: Lộ trình con tôi sau lớp 5</t>
  </si>
  <si>
    <t xml:space="preserve">Học phí THCS cao hơn TH nhiều</t>
  </si>
  <si>
    <t xml:space="preserve">ROI dài hạn: nền tảng cho lớp 10, đại học</t>
  </si>
  <si>
    <t xml:space="preserve">Anh Minh – PH muốn con có lộ trình rõ</t>
  </si>
  <si>
    <t xml:space="preserve">38-50</t>
  </si>
  <si>
    <t xml:space="preserve">Nam 35%</t>
  </si>
  <si>
    <t xml:space="preserve">Quản lý, chuyên gia, DN</t>
  </si>
  <si>
    <t xml:space="preserve">40-80 triệu</t>
  </si>
  <si>
    <t xml:space="preserve">Google Search, YouTube, LinkedIn</t>
  </si>
  <si>
    <t xml:space="preserve">Google Ads, YouTube, Webinar</t>
  </si>
  <si>
    <t xml:space="preserve">Muốn con có định hướng nghề nghiệp sớm</t>
  </si>
  <si>
    <t xml:space="preserve">Lo trường chỉ dạy lý thuyết, thiếu thực hành</t>
  </si>
  <si>
    <t xml:space="preserve">Muốn chương trình quốc tế/song ngữ chuẩn</t>
  </si>
  <si>
    <t xml:space="preserve">So sánh đầu ra, tỷ lệ đỗ THPT top, chương trình quốc tế</t>
  </si>
  <si>
    <t xml:space="preserve">Lộ trình 6→12 rõ ràng, chương trình Cambridge/IB option</t>
  </si>
  <si>
    <t xml:space="preserve">Xem lộ trình đào tạo 7 năm</t>
  </si>
  <si>
    <t xml:space="preserve">Trường xa nhà</t>
  </si>
  <si>
    <t xml:space="preserve">Xe đưa đón, kế hoạch bán trú</t>
  </si>
  <si>
    <t xml:space="preserve">THPT (Cấp 3)</t>
  </si>
  <si>
    <t xml:space="preserve">Chị Thảo – PH lớp 10 áp lực thi</t>
  </si>
  <si>
    <t xml:space="preserve">38-52</t>
  </si>
  <si>
    <t xml:space="preserve">Nữ 60%</t>
  </si>
  <si>
    <t xml:space="preserve">Facebook, Google, Webinar, tìm học bổng</t>
  </si>
  <si>
    <t xml:space="preserve">Google Ads, Meta Ads, Webinar</t>
  </si>
  <si>
    <t xml:space="preserve">Lo con không đỗ trường công top</t>
  </si>
  <si>
    <t xml:space="preserve">Áp lực tài chính: học phí THPT tư cao</t>
  </si>
  <si>
    <t xml:space="preserve">Lo con không vào được đại học tốt</t>
  </si>
  <si>
    <t xml:space="preserve">Quyết định theo học bổng + đầu ra đại học</t>
  </si>
  <si>
    <t xml:space="preserve">Học bổng lên đến 100%, đầu ra ĐH top, tỷ lệ đỗ ĐH 95%+</t>
  </si>
  <si>
    <t xml:space="preserve">Đăng ký thi học bổng lớp 10</t>
  </si>
  <si>
    <t xml:space="preserve">Trường tư chất lượng không bằng chuyên</t>
  </si>
  <si>
    <t xml:space="preserve">Data đầu ra: % ĐH top, học bổng du học, IELTS</t>
  </si>
  <si>
    <t xml:space="preserve">Anh Đức – PH chuyển trường lớp 10-11</t>
  </si>
  <si>
    <t xml:space="preserve">40-55</t>
  </si>
  <si>
    <t xml:space="preserve">Nam 40%</t>
  </si>
  <si>
    <t xml:space="preserve">Chủ DN, quản lý cấp cao</t>
  </si>
  <si>
    <t xml:space="preserve">50-100+ triệu</t>
  </si>
  <si>
    <t xml:space="preserve">Google Search, YouTube, referral</t>
  </si>
  <si>
    <t xml:space="preserve">Con đang học trường không phù hợp</t>
  </si>
  <si>
    <t xml:space="preserve">Muốn môi trường quốc tế + du học pathway</t>
  </si>
  <si>
    <t xml:space="preserve">Cần chuyển nhanh, ít gián đoạn</t>
  </si>
  <si>
    <t xml:space="preserve">Quyết định rất nhanh khi thấy phù hợp</t>
  </si>
  <si>
    <t xml:space="preserve">Chuyển trường linh hoạt, nhận hồ sơ quanh năm, pathway du học</t>
  </si>
  <si>
    <t xml:space="preserve">Liên hệ tư vấn chuyển trường 24h</t>
  </si>
  <si>
    <t xml:space="preserve">Sợ con mất bạn bè</t>
  </si>
  <si>
    <t xml:space="preserve">Chương trình hòa nhập, buddy system, câu lạc bộ</t>
  </si>
  <si>
    <t xml:space="preserve">B. NỖI ĐAU KHÁCH HÀNG THEO ĐỊA ĐIỂM</t>
  </si>
  <si>
    <t xml:space="preserve">Địa điểm</t>
  </si>
  <si>
    <t xml:space="preserve">Tên cũ (trước sáp nhập)</t>
  </si>
  <si>
    <t xml:space="preserve">Tên mới (hiện tại)</t>
  </si>
  <si>
    <t xml:space="preserve">Đặc điểm PH khu vực</t>
  </si>
  <si>
    <t xml:space="preserve">Nỗi đau đặc thù #1</t>
  </si>
  <si>
    <t xml:space="preserve">Nỗi đau đặc thù #2</t>
  </si>
  <si>
    <t xml:space="preserve">Nỗi đau đặc thù #3</t>
  </si>
  <si>
    <t xml:space="preserve">Messaging phù hợp</t>
  </si>
  <si>
    <t xml:space="preserve">Kênh ưu tiên</t>
  </si>
  <si>
    <t xml:space="preserve">Đối thủ chính</t>
  </si>
  <si>
    <t xml:space="preserve">Lợi thế VA tại đây</t>
  </si>
  <si>
    <t xml:space="preserve">MN VA Gò Vấp</t>
  </si>
  <si>
    <t xml:space="preserve">Q. Gò Vấp, TP.HCM</t>
  </si>
  <si>
    <t xml:space="preserve">MN</t>
  </si>
  <si>
    <t xml:space="preserve">Thu nhập trung bình-khá, đông dân, nhiều gia đình trẻ</t>
  </si>
  <si>
    <t xml:space="preserve">Trường MN quá tải, thiếu chỗ gửi an toàn</t>
  </si>
  <si>
    <t xml:space="preserve">Giao thông kẹt, cần trường gần nhà</t>
  </si>
  <si>
    <t xml:space="preserve">Lo bạo lực, thiếu camera giám sát</t>
  </si>
  <si>
    <t xml:space="preserve">An toàn #1, gần nhà, camera 24/7</t>
  </si>
  <si>
    <t xml:space="preserve">Meta Ads, Zalo OA</t>
  </si>
  <si>
    <t xml:space="preserve">MN Sài Gòn, MN Sao Mai</t>
  </si>
  <si>
    <t xml:space="preserve">Flagship, CSVC mới, GV ổn định</t>
  </si>
  <si>
    <t xml:space="preserve">MN Nhân Lễ</t>
  </si>
  <si>
    <t xml:space="preserve">H. Cần Giuộc, Long An</t>
  </si>
  <si>
    <t xml:space="preserve">TX. Cần Giuộc, Tây Ninh</t>
  </si>
  <si>
    <t xml:space="preserve">Thu nhập trung bình, vùng KDC mới, ít lựa chọn</t>
  </si>
  <si>
    <t xml:space="preserve">Rất ít trường tư chất lượng trong KDC</t>
  </si>
  <si>
    <t xml:space="preserve">PH làm ở KCN, cần trường bán trú tốt</t>
  </si>
  <si>
    <t xml:space="preserve">Lo con thiếu ngoại ngữ vùng tỉnh</t>
  </si>
  <si>
    <t xml:space="preserve">Trường chuẩn quốc tế ngay KDC, bán trú chu đáo</t>
  </si>
  <si>
    <t xml:space="preserve">Zalo OA, Facebook local</t>
  </si>
  <si>
    <t xml:space="preserve">MN công lập địa phương</t>
  </si>
  <si>
    <t xml:space="preserve">Duy nhất trường tư chất lượng trong KDC</t>
  </si>
  <si>
    <t xml:space="preserve">MN Thái Sơn</t>
  </si>
  <si>
    <t xml:space="preserve">MN+TH</t>
  </si>
  <si>
    <t xml:space="preserve">PH KDC Thái Sơn, thu nhập khá, mới về định cư</t>
  </si>
  <si>
    <t xml:space="preserve">Thiếu trường tốt gần KDC mới</t>
  </si>
  <si>
    <t xml:space="preserve">Muốn con có bạn bè trong khu</t>
  </si>
  <si>
    <t xml:space="preserve">Lo chất lượng GD vùng mới phát triển</t>
  </si>
  <si>
    <t xml:space="preserve">Ngay trong KDC, không cần đưa đón xa</t>
  </si>
  <si>
    <t xml:space="preserve">Zalo OA, Facebook group KDC</t>
  </si>
  <si>
    <t xml:space="preserve">MN công, MN tư nhỏ lẻ</t>
  </si>
  <si>
    <t xml:space="preserve">Nằm ngay trong KDC, liên cấp MN+TH</t>
  </si>
  <si>
    <t xml:space="preserve">MN Mekong Xanh</t>
  </si>
  <si>
    <t xml:space="preserve">TP. Rạch Giá, Kiên Giang</t>
  </si>
  <si>
    <t xml:space="preserve">TP. Rạch Giá, An Giang</t>
  </si>
  <si>
    <t xml:space="preserve">PH KĐT mới, thu nhập khá, nhiều công chức/DN</t>
  </si>
  <si>
    <t xml:space="preserve">Ít lựa chọn trường tư trong KĐT</t>
  </si>
  <si>
    <t xml:space="preserve">Muốn chương trình song ngữ mà vùng tỉnh không có</t>
  </si>
  <si>
    <t xml:space="preserve">Lo con thua thiệt so với TP.HCM</t>
  </si>
  <si>
    <t xml:space="preserve">Song ngữ chuẩn TP.HCM ngay tại tỉnh</t>
  </si>
  <si>
    <t xml:space="preserve">Zalo OA, Facebook local, Google local</t>
  </si>
  <si>
    <t xml:space="preserve">Trường công lập, TT Anh ngữ</t>
  </si>
  <si>
    <t xml:space="preserve">Chuẩn TP.HCM, liên cấp, KĐT cao cấp</t>
  </si>
  <si>
    <t xml:space="preserve">TH VA Gò Vấp</t>
  </si>
  <si>
    <t xml:space="preserve">TH</t>
  </si>
  <si>
    <t xml:space="preserve">PH trung lưu-khá, so sánh kỹ nhiều trường</t>
  </si>
  <si>
    <t xml:space="preserve">Quá nhiều lựa chọn, không biết trường nào tốt</t>
  </si>
  <si>
    <t xml:space="preserve">Lo tiếng Anh không đủ mạnh so với international school</t>
  </si>
  <si>
    <t xml:space="preserve">Sĩ số lớp quá đông ở trường công</t>
  </si>
  <si>
    <t xml:space="preserve">Sĩ số 25, lộ trình tiếng Anh có chứng chỉ, GV 1-1</t>
  </si>
  <si>
    <t xml:space="preserve">Meta Ads, Google Search</t>
  </si>
  <si>
    <t xml:space="preserve">TH Việt Úc, TH iSchool, TH FPT</t>
  </si>
  <si>
    <t xml:space="preserve">Học phí hợp lý hơn international, vẫn song ngữ chuẩn</t>
  </si>
  <si>
    <t xml:space="preserve">TH VA Bình Tân</t>
  </si>
  <si>
    <t xml:space="preserve">Q. Bình Tân, TP.HCM</t>
  </si>
  <si>
    <t xml:space="preserve">PH thu nhập trung bình, khu đông dân, công nhân + KD nhỏ</t>
  </si>
  <si>
    <t xml:space="preserve">Rất ít trường tư chất lượng khu vực Bình Tân</t>
  </si>
  <si>
    <t xml:space="preserve">Lo an ninh khu vực, muốn trường khép kín</t>
  </si>
  <si>
    <t xml:space="preserve">Giá phải hợp lý với thu nhập</t>
  </si>
  <si>
    <t xml:space="preserve">An toàn, khép kín, học phí phù hợp, bán trú tốt</t>
  </si>
  <si>
    <t xml:space="preserve">Meta Ads, Zalo local</t>
  </si>
  <si>
    <t xml:space="preserve">TH Bình Tân, TH Phước Kiểng</t>
  </si>
  <si>
    <t xml:space="preserve">Duy nhất trường tư song ngữ quy mô tại BT</t>
  </si>
  <si>
    <t xml:space="preserve">TH Thái Sơn</t>
  </si>
  <si>
    <t xml:space="preserve">PH KDC Thái Sơn, muốn con học tại chỗ</t>
  </si>
  <si>
    <t xml:space="preserve">Phải đi xa để học trường tốt</t>
  </si>
  <si>
    <t xml:space="preserve">Lo con mệt vì di chuyển hàng ngày</t>
  </si>
  <si>
    <t xml:space="preserve">Chương trình tỉnh yếu hơn TP</t>
  </si>
  <si>
    <t xml:space="preserve">Chuẩn TP.HCM ngay KDC, không cần đi xa</t>
  </si>
  <si>
    <t xml:space="preserve">Zalo, Facebook local</t>
  </si>
  <si>
    <t xml:space="preserve">TH công lập xã</t>
  </si>
  <si>
    <t xml:space="preserve">Liên cấp, ngay trong KDC</t>
  </si>
  <si>
    <t xml:space="preserve">TH Mekong Xanh</t>
  </si>
  <si>
    <t xml:space="preserve">PH KĐT, muốn con có nền tảng tốt</t>
  </si>
  <si>
    <t xml:space="preserve">Không có trường tư song ngữ tại TP Rạch Giá</t>
  </si>
  <si>
    <t xml:space="preserve">Muốn con thi vào trường tốt sau này</t>
  </si>
  <si>
    <t xml:space="preserve">Lo GV giỏi không về tỉnh dạy</t>
  </si>
  <si>
    <t xml:space="preserve">GV từ TP.HCM, chương trình chuẩn quốc gia + song ngữ</t>
  </si>
  <si>
    <t xml:space="preserve">Zalo, Facebook, Google local</t>
  </si>
  <si>
    <t xml:space="preserve">TH công, TT Anh ngữ</t>
  </si>
  <si>
    <t xml:space="preserve">Duy nhất TH tư song ngữ quy mô</t>
  </si>
  <si>
    <t xml:space="preserve">THCS VA Gò Vấp</t>
  </si>
  <si>
    <t xml:space="preserve">THCS</t>
  </si>
  <si>
    <t xml:space="preserve">PH lo lắng giai đoạn dậy thì, cần theo sát</t>
  </si>
  <si>
    <t xml:space="preserve">Trường công THCS sĩ số 45-50, GV không theo sát</t>
  </si>
  <si>
    <t xml:space="preserve">Lo con sa sút vì bạn bè tiêu cực</t>
  </si>
  <si>
    <t xml:space="preserve">Áp lực thi THPT cạnh tranh</t>
  </si>
  <si>
    <t xml:space="preserve">Sĩ số nhỏ, GV chủ nhiệm theo sát, lộ trình 6→12</t>
  </si>
  <si>
    <t xml:space="preserve">Google Ads, Meta, Webinar</t>
  </si>
  <si>
    <t xml:space="preserve">THCS Việt Úc, THCS iSchool</t>
  </si>
  <si>
    <t xml:space="preserve">Liên cấp THCS-THPT, không cần thi chuyển</t>
  </si>
  <si>
    <t xml:space="preserve">THPT VA Gò Vấp</t>
  </si>
  <si>
    <t xml:space="preserve">THPT</t>
  </si>
  <si>
    <t xml:space="preserve">PH áp lực thi lớp 10, tìm giải pháp B nếu rớt công</t>
  </si>
  <si>
    <t xml:space="preserve">Con không đỗ trường công top → hoang mang</t>
  </si>
  <si>
    <t xml:space="preserve">Học phí THPT tư cao, lo tài chính</t>
  </si>
  <si>
    <t xml:space="preserve">Lo đầu ra đại học không tốt bằng trường chuyên</t>
  </si>
  <si>
    <t xml:space="preserve">Học bổng 100%, đầu ra ĐH 95%+, pathway du học</t>
  </si>
  <si>
    <t xml:space="preserve">THPT Nguyễn Khuyến, THPT Trương Vĩnh Ký</t>
  </si>
  <si>
    <t xml:space="preserve">Học bổng lớn, lộ trình đa dạng, tỷ lệ ĐH cao</t>
  </si>
  <si>
    <t xml:space="preserve">C. HÀNH TRÌNH KHÁCH HÀNG (CUSTOMER JOURNEY) THEO CẤP</t>
  </si>
  <si>
    <t xml:space="preserve">Giai đoạn</t>
  </si>
  <si>
    <t xml:space="preserve">Awareness</t>
  </si>
  <si>
    <t xml:space="preserve">Consideration</t>
  </si>
  <si>
    <t xml:space="preserve">Decision</t>
  </si>
  <si>
    <t xml:space="preserve">Tour/Visit</t>
  </si>
  <si>
    <t xml:space="preserve">Enrollment</t>
  </si>
  <si>
    <t xml:space="preserve">Advocacy</t>
  </si>
  <si>
    <t xml:space="preserve">Thấy ads FB/TikTok → nghe PH review → tìm Google</t>
  </si>
  <si>
    <t xml:space="preserve">So sánh 2-3 trường → đọc review → hỏi group</t>
  </si>
  <si>
    <t xml:space="preserve">Gọi hotline / Zalo → Hỏi học phí → Book tour</t>
  </si>
  <si>
    <t xml:space="preserve">Tour campus → gặp GV → xem phòng học → lunch trial</t>
  </si>
  <si>
    <t xml:space="preserve">Nộp hồ sơ → đóng cọc → nhận thông báo</t>
  </si>
  <si>
    <t xml:space="preserve">Review Google → giới thiệu bạn → share FB</t>
  </si>
  <si>
    <t xml:space="preserve">Tìm Google "trường TH song ngữ" → thấy ads Meta</t>
  </si>
  <si>
    <t xml:space="preserve">So sánh 3-5 trường → tour 2 lần → hỏi PH hiện tại</t>
  </si>
  <si>
    <t xml:space="preserve">Webinar/Open Day → tư vấn 1-1 → nhận ưu đãi</t>
  </si>
  <si>
    <t xml:space="preserve">Tour chi tiết → ngồi lớp thử → gặp GV chủ nhiệm</t>
  </si>
  <si>
    <t xml:space="preserve">Thi đầu vào (nếu có) → nộp hồ sơ → đóng phí</t>
  </si>
  <si>
    <t xml:space="preserve">Review → referral program → PH ambassador</t>
  </si>
  <si>
    <t xml:space="preserve">Webinar "chuyển cấp" → Google "THCS tốt GV" → FB ads</t>
  </si>
  <si>
    <t xml:space="preserve">So sánh đầu ra → xem chương trình → hỏi alumni PH</t>
  </si>
  <si>
    <t xml:space="preserve">Tư vấn riêng → xem lộ trình 6→12 → học bổng</t>
  </si>
  <si>
    <t xml:space="preserve">Tour + ngồi lớp + gặp HS hiện tại + GV chủ nhiệm</t>
  </si>
  <si>
    <t xml:space="preserve">Nộp hồ sơ → phỏng vấn → đóng cọc</t>
  </si>
  <si>
    <t xml:space="preserve">PH chia sẻ experience → alumni success story</t>
  </si>
  <si>
    <t xml:space="preserve">Google "tuyển sinh lớp 10" → Webinar → FB/TikTok</t>
  </si>
  <si>
    <t xml:space="preserve">So sánh vs công → check đầu ra ĐH → học bổng</t>
  </si>
  <si>
    <t xml:space="preserve">Thi học bổng → tư vấn chuyên sâu → financial plan</t>
  </si>
  <si>
    <t xml:space="preserve">Tour VIP → gặp BGH → xem lab/thư viện/CLB</t>
  </si>
  <si>
    <t xml:space="preserve">Thi tuyển/xét tuyển → nhận kết quả → enrollment</t>
  </si>
  <si>
    <t xml:space="preserve">Đầu ra ĐH → alumni network → PH referral</t>
  </si>
  <si>
    <t xml:space="preserve">🎯 DASHBOARD ĐIỀU HÀNH – KẾ HOẠCH TUYỂN SINH VIỆT ANH 2026</t>
  </si>
  <si>
    <t xml:space="preserve">Giai đoạn: 26/03/2026 – 30/09/2026  |  Tổng ngân sách: 13 tỷ đồng  |  Mục tiêu: 1,300 học sinh</t>
  </si>
  <si>
    <t xml:space="preserve">📊 KPI TỔNG QUAN (tự động liên kết từ các sheet)</t>
  </si>
  <si>
    <t xml:space="preserve">Chỉ số</t>
  </si>
  <si>
    <t xml:space="preserve">Mục tiêu</t>
  </si>
  <si>
    <t xml:space="preserve">Thực tế MTD</t>
  </si>
  <si>
    <t xml:space="preserve">Vs Target</t>
  </si>
  <si>
    <t xml:space="preserve">Trạng thái</t>
  </si>
  <si>
    <t xml:space="preserve">Nguồn dữ liệu</t>
  </si>
  <si>
    <t xml:space="preserve">Sheet liên kết</t>
  </si>
  <si>
    <t xml:space="preserve">🏫 Nhập học tích lũy</t>
  </si>
  <si>
    <t xml:space="preserve">→ Nhập tay</t>
  </si>
  <si>
    <t xml:space="preserve">1. Input</t>
  </si>
  <si>
    <t xml:space="preserve">Nhập tay từ CRM</t>
  </si>
  <si>
    <t xml:space="preserve">🎯 School Tour tích lũy</t>
  </si>
  <si>
    <t xml:space="preserve">4. Funnel</t>
  </si>
  <si>
    <t xml:space="preserve">Nhập tay từ GHL</t>
  </si>
  <si>
    <t xml:space="preserve">📥 Leads tích lũy</t>
  </si>
  <si>
    <t xml:space="preserve">💰 Chi phí Paid Media</t>
  </si>
  <si>
    <t xml:space="preserve">2. Paid Media</t>
  </si>
  <si>
    <t xml:space="preserve">Birch / Ads Manager</t>
  </si>
  <si>
    <t xml:space="preserve">📊 CPL trung bình</t>
  </si>
  <si>
    <t xml:space="preserve">14. Weekly Battleplan</t>
  </si>
  <si>
    <t xml:space="preserve">Nhập tay tuần</t>
  </si>
  <si>
    <t xml:space="preserve">🏃 Lead→Tour rate</t>
  </si>
  <si>
    <t xml:space="preserve">Tính từ GHL</t>
  </si>
  <si>
    <t xml:space="preserve">✅ Tour→Nhập học rate</t>
  </si>
  <si>
    <t xml:space="preserve">⚡ Response &lt;5 min</t>
  </si>
  <si>
    <t xml:space="preserve">💰 NGÂN SÁCH PAID MEDIA THEO KÊNH (liên kết 2. Paid Media)</t>
  </si>
  <si>
    <t xml:space="preserve">Kênh</t>
  </si>
  <si>
    <t xml:space="preserve">% Mix</t>
  </si>
  <si>
    <t xml:space="preserve">Ngân sách</t>
  </si>
  <si>
    <t xml:space="preserve">Vai trò</t>
  </si>
  <si>
    <t xml:space="preserve">CPL Mục tiêu</t>
  </si>
  <si>
    <t xml:space="preserve">Quản lý</t>
  </si>
  <si>
    <t xml:space="preserve">Ghi chú</t>
  </si>
  <si>
    <t xml:space="preserve">Meta / Facebook + Instagram</t>
  </si>
  <si>
    <t xml:space="preserve">Demand + lead local</t>
  </si>
  <si>
    <t xml:space="preserve">Birch + GHL</t>
  </si>
  <si>
    <t xml:space="preserve">Kênh chủ lực</t>
  </si>
  <si>
    <t xml:space="preserve">Google Search</t>
  </si>
  <si>
    <t xml:space="preserve">Intent-based</t>
  </si>
  <si>
    <t xml:space="preserve">Birch</t>
  </si>
  <si>
    <t xml:space="preserve">THCS/THPT</t>
  </si>
  <si>
    <t xml:space="preserve">Google Display / YouTube</t>
  </si>
  <si>
    <t xml:space="preserve">Phủ + video</t>
  </si>
  <si>
    <t xml:space="preserve">N/A</t>
  </si>
  <si>
    <t xml:space="preserve">Testimonial</t>
  </si>
  <si>
    <t xml:space="preserve">TikTok Ads</t>
  </si>
  <si>
    <t xml:space="preserve">Video social proof</t>
  </si>
  <si>
    <t xml:space="preserve">100 video</t>
  </si>
  <si>
    <t xml:space="preserve">Zalo Ads + OA</t>
  </si>
  <si>
    <t xml:space="preserve">Nurture local</t>
  </si>
  <si>
    <t xml:space="preserve">GHL</t>
  </si>
  <si>
    <t xml:space="preserve">K12 local</t>
  </si>
  <si>
    <t xml:space="preserve">Webinar Ads</t>
  </si>
  <si>
    <t xml:space="preserve">Webinar lộ trình</t>
  </si>
  <si>
    <t xml:space="preserve">Meta + GHL</t>
  </si>
  <si>
    <t xml:space="preserve">Remarketing đa nền tảng</t>
  </si>
  <si>
    <t xml:space="preserve">Đuổi lại khách</t>
  </si>
  <si>
    <t xml:space="preserve">12%</t>
  </si>
  <si>
    <t xml:space="preserve">Local SEO / GMB</t>
  </si>
  <si>
    <t xml:space="preserve">Local presence</t>
  </si>
  <si>
    <t xml:space="preserve">Manual + GHL</t>
  </si>
  <si>
    <t xml:space="preserve">8 địa điểm</t>
  </si>
  <si>
    <t xml:space="preserve">TỔNG PAID MEDIA</t>
  </si>
  <si>
    <t xml:space="preserve">🏫 PHÂN BỔ THEO CƠ SỞ (liên kết 3. Master Table)</t>
  </si>
  <si>
    <t xml:space="preserve">Cơ sở</t>
  </si>
  <si>
    <t xml:space="preserve">Cấp</t>
  </si>
  <si>
    <t xml:space="preserve">HS Mục tiêu</t>
  </si>
  <si>
    <t xml:space="preserve">CAC</t>
  </si>
  <si>
    <t xml:space="preserve">Meta (đ)</t>
  </si>
  <si>
    <t xml:space="preserve">G.Search (đ)</t>
  </si>
  <si>
    <t xml:space="preserve">TikTok (đ)</t>
  </si>
  <si>
    <t xml:space="preserve">Zalo (đ)</t>
  </si>
  <si>
    <t xml:space="preserve">Brand hệ thống</t>
  </si>
  <si>
    <t xml:space="preserve">Chung</t>
  </si>
  <si>
    <t xml:space="preserve">🗂️ NAVIGATOR – DANH SÁCH CÁC SHEET (Click để xem)</t>
  </si>
  <si>
    <t xml:space="preserve">#</t>
  </si>
  <si>
    <t xml:space="preserve">Tên Sheet</t>
  </si>
  <si>
    <t xml:space="preserve">Mô tả</t>
  </si>
  <si>
    <t xml:space="preserve">Dùng cho</t>
  </si>
  <si>
    <t xml:space="preserve">Cập nhật</t>
  </si>
  <si>
    <t xml:space="preserve">Tần suất</t>
  </si>
  <si>
    <t xml:space="preserve">Liên kết đến</t>
  </si>
  <si>
    <t xml:space="preserve">1</t>
  </si>
  <si>
    <t xml:space="preserve">Thông số đầu vào toàn kế hoạch</t>
  </si>
  <si>
    <t xml:space="preserve">Ban điều hành</t>
  </si>
  <si>
    <t xml:space="preserve">26/03</t>
  </si>
  <si>
    <t xml:space="preserve">Đầu mùa</t>
  </si>
  <si>
    <t xml:space="preserve">Master Table, Funnel</t>
  </si>
  <si>
    <t xml:space="preserve">2</t>
  </si>
  <si>
    <t xml:space="preserve">Mix kênh, ngân sách, KPI mỗi kênh</t>
  </si>
  <si>
    <t xml:space="preserve">Marketing Lead</t>
  </si>
  <si>
    <t xml:space="preserve">Hàng tháng</t>
  </si>
  <si>
    <t xml:space="preserve">Tháng</t>
  </si>
  <si>
    <t xml:space="preserve">Master Table</t>
  </si>
  <si>
    <t xml:space="preserve">3</t>
  </si>
  <si>
    <t xml:space="preserve">3. Master Table</t>
  </si>
  <si>
    <t xml:space="preserve">Phân bổ NS theo từng cơ sở</t>
  </si>
  <si>
    <t xml:space="preserve">Tất cả</t>
  </si>
  <si>
    <t xml:space="preserve">Paid Media, Funnel</t>
  </si>
  <si>
    <t xml:space="preserve">4</t>
  </si>
  <si>
    <t xml:space="preserve">Funnel chuyển đổi &amp; KPI</t>
  </si>
  <si>
    <t xml:space="preserve">Tuần</t>
  </si>
  <si>
    <t xml:space="preserve">Dashboard, Battleplan</t>
  </si>
  <si>
    <t xml:space="preserve">5</t>
  </si>
  <si>
    <t xml:space="preserve">5. Google Ads Chi Tiết</t>
  </si>
  <si>
    <t xml:space="preserve">Campaign, KW, RSA, Birch setup</t>
  </si>
  <si>
    <t xml:space="preserve">Perf. Marketing</t>
  </si>
  <si>
    <t xml:space="preserve">KPI Weekly</t>
  </si>
  <si>
    <t xml:space="preserve">6</t>
  </si>
  <si>
    <t xml:space="preserve">6. Meta Ads Chi Tiết</t>
  </si>
  <si>
    <t xml:space="preserve">Campaign, Audience, Creative, Pixel</t>
  </si>
  <si>
    <t xml:space="preserve">7</t>
  </si>
  <si>
    <t xml:space="preserve">7. TikTok Ads Chi Tiết</t>
  </si>
  <si>
    <t xml:space="preserve">100 video, campaign, GTM</t>
  </si>
  <si>
    <t xml:space="preserve">Content + Perf.</t>
  </si>
  <si>
    <t xml:space="preserve">8</t>
  </si>
  <si>
    <t xml:space="preserve">8. GoHighLevel Setup</t>
  </si>
  <si>
    <t xml:space="preserve">CRM, Pipeline, Automation, Zalo</t>
  </si>
  <si>
    <t xml:space="preserve">CRM + Sales</t>
  </si>
  <si>
    <t xml:space="preserve">Ngày 1</t>
  </si>
  <si>
    <t xml:space="preserve">Setup</t>
  </si>
  <si>
    <t xml:space="preserve">Admissions KPI</t>
  </si>
  <si>
    <t xml:space="preserve">9</t>
  </si>
  <si>
    <t xml:space="preserve">9. GTM Tracking</t>
  </si>
  <si>
    <t xml:space="preserve">Tag, trigger, conversion setup</t>
  </si>
  <si>
    <t xml:space="preserve">Tech/Dev</t>
  </si>
  <si>
    <t xml:space="preserve">Pixel, GA4</t>
  </si>
  <si>
    <t xml:space="preserve">10</t>
  </si>
  <si>
    <t xml:space="preserve">10. Lịch Công Việc</t>
  </si>
  <si>
    <t xml:space="preserve">Checklist ngày/tuần/tháng marketer</t>
  </si>
  <si>
    <t xml:space="preserve">Marketing</t>
  </si>
  <si>
    <t xml:space="preserve">Hàng ngày</t>
  </si>
  <si>
    <t xml:space="preserve">Daily</t>
  </si>
  <si>
    <t xml:space="preserve">Battleplan, Todo</t>
  </si>
  <si>
    <t xml:space="preserve">11</t>
  </si>
  <si>
    <t xml:space="preserve">11. Timeline</t>
  </si>
  <si>
    <t xml:space="preserve">Lịch giải ngân 7 tháng</t>
  </si>
  <si>
    <t xml:space="preserve">Dashboard</t>
  </si>
  <si>
    <t xml:space="preserve">12</t>
  </si>
  <si>
    <t xml:space="preserve">12. Danh bạ</t>
  </si>
  <si>
    <t xml:space="preserve">Hotline và địa chỉ từng cơ sở</t>
  </si>
  <si>
    <t xml:space="preserve">Tĩnh</t>
  </si>
  <si>
    <t xml:space="preserve">-</t>
  </si>
  <si>
    <t xml:space="preserve">13</t>
  </si>
  <si>
    <t xml:space="preserve">13. Zalo Ads + OA</t>
  </si>
  <si>
    <t xml:space="preserve">Kế hoạch Zalo, automation, nuture</t>
  </si>
  <si>
    <t xml:space="preserve">Marketing + CRM</t>
  </si>
  <si>
    <t xml:space="preserve">GHL Setup</t>
  </si>
  <si>
    <t xml:space="preserve">14</t>
  </si>
  <si>
    <t xml:space="preserve">Tác chiến 28 tuần, 3 đội</t>
  </si>
  <si>
    <t xml:space="preserve">Todo List</t>
  </si>
  <si>
    <t xml:space="preserve">A</t>
  </si>
  <si>
    <t xml:space="preserve">A. KPI Weekly Tracker</t>
  </si>
  <si>
    <t xml:space="preserve">Dashboard KPI tuần cho 3 đội</t>
  </si>
  <si>
    <t xml:space="preserve">Điều hành</t>
  </si>
  <si>
    <t xml:space="preserve">B</t>
  </si>
  <si>
    <t xml:space="preserve">B. Todo Daily</t>
  </si>
  <si>
    <t xml:space="preserve">Việc hàng ngày theo campaign/kênh</t>
  </si>
  <si>
    <t xml:space="preserve">Ngày</t>
  </si>
  <si>
    <t xml:space="preserve">Battleplan</t>
  </si>
  <si>
    <t xml:space="preserve">C</t>
  </si>
  <si>
    <t xml:space="preserve">B. Todo Weekly</t>
  </si>
  <si>
    <t xml:space="preserve">Checklist hàng tuần đủ 3 đội</t>
  </si>
  <si>
    <t xml:space="preserve">Marketing + Sales</t>
  </si>
  <si>
    <t xml:space="preserve">D</t>
  </si>
  <si>
    <t xml:space="preserve">C. Todo Monthly</t>
  </si>
  <si>
    <t xml:space="preserve">Checklist hàng tháng + review</t>
  </si>
  <si>
    <t xml:space="preserve">Management</t>
  </si>
  <si>
    <t xml:space="preserve">Timeline</t>
  </si>
  <si>
    <t xml:space="preserve">E</t>
  </si>
  <si>
    <t xml:space="preserve">D. Campaign Tracker</t>
  </si>
  <si>
    <t xml:space="preserve">Theo dõi từng campaign theo tuần</t>
  </si>
  <si>
    <t xml:space="preserve">F</t>
  </si>
  <si>
    <t xml:space="preserve">E. Meta Ads Plan</t>
  </si>
  <si>
    <t xml:space="preserve">Kế hoạch Meta Ads 04-09/2026 đầy đủ</t>
  </si>
  <si>
    <t xml:space="preserve">G</t>
  </si>
  <si>
    <t xml:space="preserve">F. Google Ads Plan</t>
  </si>
  <si>
    <t xml:space="preserve">Kế hoạch Google Ads 04-09/2026</t>
  </si>
  <si>
    <t xml:space="preserve">H</t>
  </si>
  <si>
    <t xml:space="preserve">G. Birch + GHL Integration</t>
  </si>
  <si>
    <t xml:space="preserve">Automation rules + webhook payload</t>
  </si>
  <si>
    <t xml:space="preserve">Tech + Marketing</t>
  </si>
  <si>
    <t xml:space="preserve">Birch Rules</t>
  </si>
  <si>
    <t xml:space="preserve">🆕 SHEETS BỔ SUNG V7</t>
  </si>
  <si>
    <t xml:space="preserve">I</t>
  </si>
  <si>
    <t xml:space="preserve">I. Chân Dung KH</t>
  </si>
  <si>
    <t xml:space="preserve">Persona + nỗi đau theo sản phẩm và địa điểm</t>
  </si>
  <si>
    <t xml:space="preserve">Persona, Funnel</t>
  </si>
  <si>
    <t xml:space="preserve">J</t>
  </si>
  <si>
    <t xml:space="preserve">J. Webinar Chi Tiết</t>
  </si>
  <si>
    <t xml:space="preserve">Kế hoạch 8 webinar + quy trình + KPI</t>
  </si>
  <si>
    <t xml:space="preserve">Marketing + BGH</t>
  </si>
  <si>
    <t xml:space="preserve">Campaign, GHL</t>
  </si>
  <si>
    <t xml:space="preserve">K</t>
  </si>
  <si>
    <t xml:space="preserve">K. Social Media Calendar</t>
  </si>
  <si>
    <t xml:space="preserve">Lịch đăng bài theo kênh, cơ sở, tháng</t>
  </si>
  <si>
    <t xml:space="preserve">Content Creator</t>
  </si>
  <si>
    <t xml:space="preserve">Hàng tuần</t>
  </si>
  <si>
    <t xml:space="preserve">Content</t>
  </si>
  <si>
    <t xml:space="preserve">L</t>
  </si>
  <si>
    <t xml:space="preserve">L. Analytics &amp; Remarketing</t>
  </si>
  <si>
    <t xml:space="preserve">GA4 events, remarketing audiences, automation tracking</t>
  </si>
  <si>
    <t xml:space="preserve">Performance</t>
  </si>
  <si>
    <t xml:space="preserve">GTM, Birch</t>
  </si>
  <si>
    <t xml:space="preserve">📊 KPI THEO KÊNH (liên kết chi tiết)</t>
  </si>
  <si>
    <t xml:space="preserve">NS 7 tháng</t>
  </si>
  <si>
    <t xml:space="preserve">CPL Target</t>
  </si>
  <si>
    <t xml:space="preserve">Leads Target</t>
  </si>
  <si>
    <t xml:space="preserve">Tours Target</t>
  </si>
  <si>
    <t xml:space="preserve">Sheet chi tiết</t>
  </si>
  <si>
    <t xml:space="preserve">Tool quản lý</t>
  </si>
  <si>
    <t xml:space="preserve">Meta Ads</t>
  </si>
  <si>
    <t xml:space="preserve">38%</t>
  </si>
  <si>
    <t xml:space="preserve">F. Meta Ads Plan</t>
  </si>
  <si>
    <t xml:space="preserve">Birch + Meta Ads Manager</t>
  </si>
  <si>
    <t xml:space="preserve">18%</t>
  </si>
  <si>
    <t xml:space="preserve">G. Google Ads Plan</t>
  </si>
  <si>
    <t xml:space="preserve">Birch + Google Ads</t>
  </si>
  <si>
    <t xml:space="preserve">Google Display/YT</t>
  </si>
  <si>
    <t xml:space="preserve">7%</t>
  </si>
  <si>
    <t xml:space="preserve">10%</t>
  </si>
  <si>
    <t xml:space="preserve">Birch + TikTok Ads</t>
  </si>
  <si>
    <t xml:space="preserve">Zalo Ads+OA</t>
  </si>
  <si>
    <t xml:space="preserve">GHL + Zalo OA</t>
  </si>
  <si>
    <t xml:space="preserve">5%</t>
  </si>
  <si>
    <t xml:space="preserve">Remarketing</t>
  </si>
  <si>
    <t xml:space="preserve">Birch cross-platform</t>
  </si>
  <si>
    <t xml:space="preserve">Local SEO/GMB</t>
  </si>
  <si>
    <t xml:space="preserve">INPUT &amp; ĐIỀU KHIỂN – BẢN V5 (BỎ PHÚ NHUẬN, CẬP NHẬT ĐỊA GIỚI)</t>
  </si>
  <si>
    <t xml:space="preserve">⚠️ Phú Nhuận ĐÃ BỎ. Ngân sách phân bổ lại cho các cơ sở còn lại. Cần Giuộc → Tây Ninh. Rạch Giá → An Giang.</t>
  </si>
  <si>
    <t xml:space="preserve">Hạng mục</t>
  </si>
  <si>
    <t xml:space="preserve">Giá trị</t>
  </si>
  <si>
    <t xml:space="preserve">Đơn vị</t>
  </si>
  <si>
    <t xml:space="preserve">Tổng ngân sách</t>
  </si>
  <si>
    <t xml:space="preserve">đ</t>
  </si>
  <si>
    <t xml:space="preserve">13 tỷ</t>
  </si>
  <si>
    <t xml:space="preserve">Mục tiêu nhập học</t>
  </si>
  <si>
    <t xml:space="preserve">HS</t>
  </si>
  <si>
    <t xml:space="preserve">Không còn Phú Nhuận → phân bổ lại</t>
  </si>
  <si>
    <t xml:space="preserve">NC → Lead</t>
  </si>
  <si>
    <t xml:space="preserve">%</t>
  </si>
  <si>
    <t xml:space="preserve">Benchmark K12: 18-25%</t>
  </si>
  <si>
    <t xml:space="preserve">Lead → School Tour</t>
  </si>
  <si>
    <t xml:space="preserve">SLA &lt; 5 phút + GHL automation</t>
  </si>
  <si>
    <t xml:space="preserve">Tour → Nhập học</t>
  </si>
  <si>
    <t xml:space="preserve">Thực tế K12 VN</t>
  </si>
  <si>
    <t xml:space="preserve">CRM / GoHighLevel</t>
  </si>
  <si>
    <t xml:space="preserve">GHL + Zalo + SMS + landing</t>
  </si>
  <si>
    <t xml:space="preserve">School Tour / Open Day / Event</t>
  </si>
  <si>
    <t xml:space="preserve">Điểm chuyển đổi #1</t>
  </si>
  <si>
    <t xml:space="preserve">Nhân sự Sales</t>
  </si>
  <si>
    <t xml:space="preserve">Lương + KPI + hoa hồng</t>
  </si>
  <si>
    <t xml:space="preserve">Content / Brand / Sales Enablement</t>
  </si>
  <si>
    <t xml:space="preserve">Kho sẵn + creative mới</t>
  </si>
  <si>
    <t xml:space="preserve">Nhân sự Marketing (5 người × 6T)</t>
  </si>
  <si>
    <t xml:space="preserve">5 người × 6 tháng × 15 triệu</t>
  </si>
  <si>
    <t xml:space="preserve">Học bổng / Promotion</t>
  </si>
  <si>
    <t xml:space="preserve">Kích hoạt quyết định</t>
  </si>
  <si>
    <t xml:space="preserve">Paid Media</t>
  </si>
  <si>
    <t xml:space="preserve">65.4% tổng NS</t>
  </si>
  <si>
    <t xml:space="preserve">Training / QA / Data / Mystery call</t>
  </si>
  <si>
    <t xml:space="preserve">100+100+200+150 triệu</t>
  </si>
  <si>
    <t xml:space="preserve">KIỂM TRA</t>
  </si>
  <si>
    <t xml:space="preserve">Chênh lệch</t>
  </si>
  <si>
    <t xml:space="preserve">CHI TIẾT BỔ SUNG</t>
  </si>
  <si>
    <t xml:space="preserve">Số cơ sở</t>
  </si>
  <si>
    <t xml:space="preserve">cơ sở</t>
  </si>
  <si>
    <t xml:space="preserve">Bỏ Phú Nhuận, còn 6 cơ sở hoạt động</t>
  </si>
  <si>
    <t xml:space="preserve">Số cấp học</t>
  </si>
  <si>
    <t xml:space="preserve">cấp</t>
  </si>
  <si>
    <t xml:space="preserve">MN, TH, THCS, THPT</t>
  </si>
  <si>
    <t xml:space="preserve">Số LP cần tạo</t>
  </si>
  <si>
    <t xml:space="preserve">trang</t>
  </si>
  <si>
    <t xml:space="preserve">1 LP/campus + 1 webinar + 1 tỉnh MN + 1 tỉnh TH</t>
  </si>
  <si>
    <t xml:space="preserve">Số pipeline GHL</t>
  </si>
  <si>
    <t xml:space="preserve">pipeline</t>
  </si>
  <si>
    <t xml:space="preserve">Thời gian chiến dịch</t>
  </si>
  <si>
    <t xml:space="preserve">tháng</t>
  </si>
  <si>
    <t xml:space="preserve">26/03 - 30/09/2026</t>
  </si>
  <si>
    <t xml:space="preserve">Số tuần tác chiến</t>
  </si>
  <si>
    <t xml:space="preserve">tuần</t>
  </si>
  <si>
    <t xml:space="preserve">Tuần 1 (26/03) → Tuần 28 (30/09)</t>
  </si>
  <si>
    <t xml:space="preserve">Số nhân sự Marketing</t>
  </si>
  <si>
    <t xml:space="preserve">người</t>
  </si>
  <si>
    <t xml:space="preserve">PM×1, Content×2, Performance×1, CRM×1</t>
  </si>
  <si>
    <t xml:space="preserve">Số nhân sự Sales</t>
  </si>
  <si>
    <t xml:space="preserve">1 Sales Lead + 5 Tư vấn viên (round-robin)</t>
  </si>
  <si>
    <t xml:space="preserve">Kho content sẵn có</t>
  </si>
  <si>
    <t xml:space="preserve">bài</t>
  </si>
  <si>
    <t xml:space="preserve">Ảnh+video+bài viết kho cũ</t>
  </si>
  <si>
    <t xml:space="preserve">Video testimonial</t>
  </si>
  <si>
    <t xml:space="preserve">video</t>
  </si>
  <si>
    <t xml:space="preserve">Kho 100 video PH+HS+GV sẵn sàng</t>
  </si>
  <si>
    <t xml:space="preserve">Webinar planned</t>
  </si>
  <si>
    <t xml:space="preserve">buổi</t>
  </si>
  <si>
    <t xml:space="preserve">6 chính + 2 bổ sung</t>
  </si>
  <si>
    <t xml:space="preserve">Open Day planned</t>
  </si>
  <si>
    <t xml:space="preserve">sự kiện</t>
  </si>
  <si>
    <t xml:space="preserve">Tháng 5 + Tháng 6</t>
  </si>
  <si>
    <t xml:space="preserve">Lead response SLA</t>
  </si>
  <si>
    <t xml:space="preserve">phút</t>
  </si>
  <si>
    <t xml:space="preserve">Gọi lại trong 5 phút, mục tiêu 85%</t>
  </si>
  <si>
    <t xml:space="preserve">Benchmark NC→Lead</t>
  </si>
  <si>
    <t xml:space="preserve">18-25%</t>
  </si>
  <si>
    <t xml:space="preserve">K12 VN trung bình</t>
  </si>
  <si>
    <t xml:space="preserve">Benchmark Lead→Tour</t>
  </si>
  <si>
    <t xml:space="preserve">25-35%</t>
  </si>
  <si>
    <t xml:space="preserve">Cần SLA tốt + GHL automation</t>
  </si>
  <si>
    <t xml:space="preserve">Benchmark Tour→Enroll</t>
  </si>
  <si>
    <t xml:space="preserve">30-40%</t>
  </si>
  <si>
    <t xml:space="preserve">Phụ thuộc tour quality + follow-up</t>
  </si>
  <si>
    <t xml:space="preserve">DANH SÁCH CƠ SỞ (ĐỊA GIỚI MỚI + CŨ)</t>
  </si>
  <si>
    <t xml:space="preserve">STT</t>
  </si>
  <si>
    <t xml:space="preserve">Tên cơ sở</t>
  </si>
  <si>
    <t xml:space="preserve">Địa chỉ</t>
  </si>
  <si>
    <t xml:space="preserve">Khu vực mới</t>
  </si>
  <si>
    <t xml:space="preserve">Khu vực cũ (trước sáp nhập)</t>
  </si>
  <si>
    <t xml:space="preserve">Hotline</t>
  </si>
  <si>
    <t xml:space="preserve">573 Đ. Lê Đức Thọ, P. An Hội Tây</t>
  </si>
  <si>
    <t xml:space="preserve">Q. Gò Vấp, TP.HCM (không đổi)</t>
  </si>
  <si>
    <t xml:space="preserve">0916 961 409</t>
  </si>
  <si>
    <t xml:space="preserve">22 Đường D2, KDC Cần Giuộc</t>
  </si>
  <si>
    <t xml:space="preserve">TX. Cần Giuộc, tỉnh Tây Ninh</t>
  </si>
  <si>
    <t xml:space="preserve">H. Cần Giuộc, tỉnh Long An</t>
  </si>
  <si>
    <t xml:space="preserve">MN+TH Thái Sơn</t>
  </si>
  <si>
    <t xml:space="preserve">KDC Thái Sơn, Cần Giuộc</t>
  </si>
  <si>
    <t xml:space="preserve">MN+TH Mekong Xanh</t>
  </si>
  <si>
    <t xml:space="preserve">Lô E7, KĐT Tây Bắc, TP. Rạch Giá</t>
  </si>
  <si>
    <t xml:space="preserve">TP. Rạch Giá, tỉnh An Giang</t>
  </si>
  <si>
    <t xml:space="preserve">TP. Rạch Giá, tỉnh Kiên Giang</t>
  </si>
  <si>
    <t xml:space="preserve">160/72 Phan Huy Ích</t>
  </si>
  <si>
    <t xml:space="preserve">Số 7 đường 38A, Tân Tạo</t>
  </si>
  <si>
    <t xml:space="preserve">Q. Bình Tân, TP.HCM (không đổi)</t>
  </si>
  <si>
    <t xml:space="preserve">091 696 1409</t>
  </si>
  <si>
    <t xml:space="preserve">MIX KÊNH PAID MEDIA – 8.5 TỶ (TÁCH SEARCH/DISPLAY, KHÔNG CÓ PHÚ NHUẬN)</t>
  </si>
  <si>
    <t xml:space="preserve">KPI</t>
  </si>
  <si>
    <t xml:space="preserve">CPL mục tiêu</t>
  </si>
  <si>
    <t xml:space="preserve">Quản lý bởi</t>
  </si>
  <si>
    <t xml:space="preserve">CPL, Volume</t>
  </si>
  <si>
    <t xml:space="preserve">Google Search (TÁCH RIÊNG)</t>
  </si>
  <si>
    <t xml:space="preserve">CPC, Quality</t>
  </si>
  <si>
    <t xml:space="preserve">Đo riêng THCS/THPT</t>
  </si>
  <si>
    <t xml:space="preserve">CPM, View</t>
  </si>
  <si>
    <t xml:space="preserve">Testimonial 15-30s</t>
  </si>
  <si>
    <t xml:space="preserve">CPV, Lead</t>
  </si>
  <si>
    <t xml:space="preserve">100 video = vàng</t>
  </si>
  <si>
    <t xml:space="preserve">Open, CTR</t>
  </si>
  <si>
    <t xml:space="preserve">GoHighLevel</t>
  </si>
  <si>
    <t xml:space="preserve">Hidden champion K12</t>
  </si>
  <si>
    <t xml:space="preserve">Webinar Ads (THCS/THPT)</t>
  </si>
  <si>
    <t xml:space="preserve">Đăng ký</t>
  </si>
  <si>
    <t xml:space="preserve">KHÔNG cho MN/TH</t>
  </si>
  <si>
    <t xml:space="preserve">ROAS, Conv</t>
  </si>
  <si>
    <t xml:space="preserve">Giảm 15%→12%</t>
  </si>
  <si>
    <t xml:space="preserve">Local SEO / Google Business</t>
  </si>
  <si>
    <t xml:space="preserve">Map, Clicks</t>
  </si>
  <si>
    <t xml:space="preserve">TỔNG</t>
  </si>
  <si>
    <t xml:space="preserve">NGÂN SÁCH PAID MEDIA THEO THÁNG</t>
  </si>
  <si>
    <t xml:space="preserve">T4 (12%)</t>
  </si>
  <si>
    <t xml:space="preserve">T5 (24%)</t>
  </si>
  <si>
    <t xml:space="preserve">T6 (28%)</t>
  </si>
  <si>
    <t xml:space="preserve">T7 (24%)</t>
  </si>
  <si>
    <t xml:space="preserve">T8 (8%)</t>
  </si>
  <si>
    <t xml:space="preserve">T9 (2%)</t>
  </si>
  <si>
    <t xml:space="preserve">Tổng 7 tháng</t>
  </si>
  <si>
    <t xml:space="preserve">Meta / FB+IG</t>
  </si>
  <si>
    <t xml:space="preserve">CHI TIẾT VAI TRÒ TỪNG KÊNH</t>
  </si>
  <si>
    <t xml:space="preserve">Vai trò trong funnel</t>
  </si>
  <si>
    <t xml:space="preserve">Giai đoạn KH</t>
  </si>
  <si>
    <t xml:space="preserve">Resource cần</t>
  </si>
  <si>
    <t xml:space="preserve">Daily operations</t>
  </si>
  <si>
    <t xml:space="preserve">Weekly optimization</t>
  </si>
  <si>
    <t xml:space="preserve">Tool chính</t>
  </si>
  <si>
    <t xml:space="preserve">Demand generation + Lead local + Social proof</t>
  </si>
  <si>
    <t xml:space="preserve">Awareness → Consideration</t>
  </si>
  <si>
    <t xml:space="preserve">30+ creative (image+video), 12 audiences</t>
  </si>
  <si>
    <t xml:space="preserve">Check CPL, scale/pause, creative refresh</t>
  </si>
  <si>
    <t xml:space="preserve">A/B test creative, audience expansion, budget realloc</t>
  </si>
  <si>
    <t xml:space="preserve">Meta Ads Manager + Birch</t>
  </si>
  <si>
    <t xml:space="preserve">Intent-based capture + Brand defense</t>
  </si>
  <si>
    <t xml:space="preserve">Consideration → Decision</t>
  </si>
  <si>
    <t xml:space="preserve">20 campaigns, 200+ keywords, 15 RSA</t>
  </si>
  <si>
    <t xml:space="preserve">Search terms review, bid adjust, QS check</t>
  </si>
  <si>
    <t xml:space="preserve">Negative KW update, RSA test, campaign restructure</t>
  </si>
  <si>
    <t xml:space="preserve">Google Ads + Birch</t>
  </si>
  <si>
    <t xml:space="preserve">Awareness phủ + Video retarget</t>
  </si>
  <si>
    <t xml:space="preserve">Awareness + Remarketing</t>
  </si>
  <si>
    <t xml:space="preserve">5 display banners, 3 video 15-30s</t>
  </si>
  <si>
    <t xml:space="preserve">Check CPM, placement exclusion</t>
  </si>
  <si>
    <t xml:space="preserve">Placement review, video performance</t>
  </si>
  <si>
    <t xml:space="preserve">Video social proof + Gen Z/Millennial reach</t>
  </si>
  <si>
    <t xml:space="preserve">Awareness → Lead</t>
  </si>
  <si>
    <t xml:space="preserve">100 video kho sẵn, 5 new/tháng</t>
  </si>
  <si>
    <t xml:space="preserve">Check CPV, engagement, 3s retention</t>
  </si>
  <si>
    <t xml:space="preserve">Video performance ranking, upload new</t>
  </si>
  <si>
    <t xml:space="preserve">TikTok Ads + Birch</t>
  </si>
  <si>
    <t xml:space="preserve">Local nurture + Broadcast + Remarketing</t>
  </si>
  <si>
    <t xml:space="preserve">8 broadcast templates, 4 ad creatives</t>
  </si>
  <si>
    <t xml:space="preserve">Check OA messages, broadcast schedule</t>
  </si>
  <si>
    <t xml:space="preserve">Segment refresh, broadcast content planning</t>
  </si>
  <si>
    <t xml:space="preserve">Zalo Ads + GHL</t>
  </si>
  <si>
    <t xml:space="preserve">Education + Trust building + Conversion</t>
  </si>
  <si>
    <t xml:space="preserve">LP webinar, email sequence, Zoom setup</t>
  </si>
  <si>
    <t xml:space="preserve">Monitor registrations, reminder blast</t>
  </si>
  <si>
    <t xml:space="preserve">Post-webinar analysis, follow-up sequence</t>
  </si>
  <si>
    <t xml:space="preserve">Meta + Google + GHL</t>
  </si>
  <si>
    <t xml:space="preserve">Re-engage warm/hot leads across platforms</t>
  </si>
  <si>
    <t xml:space="preserve">Decision → Conversion</t>
  </si>
  <si>
    <t xml:space="preserve">Dynamic creative, countdown, offers</t>
  </si>
  <si>
    <t xml:space="preserve">Check frequency, exclude converted</t>
  </si>
  <si>
    <t xml:space="preserve">Audience refresh, creative rotation</t>
  </si>
  <si>
    <t xml:space="preserve">All platforms + Birch</t>
  </si>
  <si>
    <t xml:space="preserve">Local presence + Map visibility + Reviews</t>
  </si>
  <si>
    <t xml:space="preserve">Awareness (local)</t>
  </si>
  <si>
    <t xml:space="preserve">Ảnh, posts, review management</t>
  </si>
  <si>
    <t xml:space="preserve">Reply reviews, check listing accuracy</t>
  </si>
  <si>
    <t xml:space="preserve">Post 1 bài/tuần, update photos</t>
  </si>
  <si>
    <t xml:space="preserve">Google Business + Manual</t>
  </si>
  <si>
    <t xml:space="preserve">PHÂN BỔ – BỎ PHÚ NHUẬN – 11 DÒNG CƠ SỞ (Cần Giuộc→Tây Ninh, Rạch Giá→An Giang)</t>
  </si>
  <si>
    <t xml:space="preserve">Địa chỉ / Tỉnh</t>
  </si>
  <si>
    <t xml:space="preserve">Điểm</t>
  </si>
  <si>
    <t xml:space="preserve">Tổng NS</t>
  </si>
  <si>
    <t xml:space="preserve">Paid</t>
  </si>
  <si>
    <t xml:space="preserve">Tour</t>
  </si>
  <si>
    <t xml:space="preserve">Meta</t>
  </si>
  <si>
    <t xml:space="preserve">G.Search</t>
  </si>
  <si>
    <t xml:space="preserve">G.Display</t>
  </si>
  <si>
    <t xml:space="preserve">TikTok</t>
  </si>
  <si>
    <t xml:space="preserve">Zalo</t>
  </si>
  <si>
    <t xml:space="preserve">Webinar</t>
  </si>
  <si>
    <t xml:space="preserve">Remarket</t>
  </si>
  <si>
    <t xml:space="preserve">Local SEO</t>
  </si>
  <si>
    <t xml:space="preserve">573 Lê Đức Thọ, Gò Vấp, TP.HCM</t>
  </si>
  <si>
    <t xml:space="preserve">22 D2, KDC Cần Giuộc, Tây Ninh</t>
  </si>
  <si>
    <t xml:space="preserve">KDC Thái Sơn, Cần Giuộc, Tây Ninh</t>
  </si>
  <si>
    <t xml:space="preserve">Lô E7, KĐT Tây Bắc, Rạch Giá, An Giang</t>
  </si>
  <si>
    <t xml:space="preserve">160/72 Phan Huy Ích, Gò Vấp, TP.HCM</t>
  </si>
  <si>
    <t xml:space="preserve">Số 7 đường 38A, Tân Tạo, Bình Tân, TP.HCM</t>
  </si>
  <si>
    <t xml:space="preserve">Liên cấp</t>
  </si>
  <si>
    <t xml:space="preserve">Retarget + brand awareness chung</t>
  </si>
  <si>
    <t xml:space="preserve">FUNNEL &amp; KPI (NC→Lead 20% | Lead→Tour 30% | Tour→Nhập 35%)</t>
  </si>
  <si>
    <t xml:space="preserve">Tầng</t>
  </si>
  <si>
    <t xml:space="preserve">Tỷ lệ</t>
  </si>
  <si>
    <t xml:space="preserve">Nguồn</t>
  </si>
  <si>
    <t xml:space="preserve">Sản lượng</t>
  </si>
  <si>
    <t xml:space="preserve">Chi phí BQ</t>
  </si>
  <si>
    <t xml:space="preserve">Nhập học</t>
  </si>
  <si>
    <t xml:space="preserve">1,300 HS mục tiêu</t>
  </si>
  <si>
    <t xml:space="preserve">School Tour</t>
  </si>
  <si>
    <t xml:space="preserve">Leads</t>
  </si>
  <si>
    <t xml:space="preserve">New Contacts</t>
  </si>
  <si>
    <t xml:space="preserve">B. FUNNEL THEO CẤP HỌC</t>
  </si>
  <si>
    <t xml:space="preserve">NC→Lead %</t>
  </si>
  <si>
    <t xml:space="preserve">Lead→Tour %</t>
  </si>
  <si>
    <t xml:space="preserve">Tours</t>
  </si>
  <si>
    <t xml:space="preserve">Tour→Enroll %</t>
  </si>
  <si>
    <t xml:space="preserve">Enrolled</t>
  </si>
  <si>
    <t xml:space="preserve">Cost/Tour</t>
  </si>
  <si>
    <t xml:space="preserve">MN (4 cơ sở)</t>
  </si>
  <si>
    <t xml:space="preserve">20%</t>
  </si>
  <si>
    <t xml:space="preserve">32%</t>
  </si>
  <si>
    <t xml:space="preserve">37%</t>
  </si>
  <si>
    <t xml:space="preserve">Conversion cao nhất, CAC thấp</t>
  </si>
  <si>
    <t xml:space="preserve">TH (4 cơ sở)</t>
  </si>
  <si>
    <t xml:space="preserve">30%</t>
  </si>
  <si>
    <t xml:space="preserve">35%</t>
  </si>
  <si>
    <t xml:space="preserve">Volume lớn, spread 4 campus</t>
  </si>
  <si>
    <t xml:space="preserve">THCS (1 cơ sở)</t>
  </si>
  <si>
    <t xml:space="preserve">28%</t>
  </si>
  <si>
    <t xml:space="preserve">33%</t>
  </si>
  <si>
    <t xml:space="preserve">Higher intent, cần webinar</t>
  </si>
  <si>
    <t xml:space="preserve">THPT (1 cơ sở)</t>
  </si>
  <si>
    <t xml:space="preserve">26%</t>
  </si>
  <si>
    <t xml:space="preserve">Học bổng + webinar = key</t>
  </si>
  <si>
    <t xml:space="preserve">Brand/Chung</t>
  </si>
  <si>
    <t xml:space="preserve">25%</t>
  </si>
  <si>
    <t xml:space="preserve">Hỗ trợ brand, không đo CAC riêng</t>
  </si>
  <si>
    <t xml:space="preserve">C. FUNNEL THEO ĐỊA ĐIỂM (CƠ SỞ)</t>
  </si>
  <si>
    <t xml:space="preserve">Khu vực mới (cũ)</t>
  </si>
  <si>
    <t xml:space="preserve">HS mục tiêu</t>
  </si>
  <si>
    <t xml:space="preserve">Leads cần</t>
  </si>
  <si>
    <t xml:space="preserve">Tours cần</t>
  </si>
  <si>
    <t xml:space="preserve">Lead→Tour target</t>
  </si>
  <si>
    <t xml:space="preserve">Tour→Enroll target</t>
  </si>
  <si>
    <t xml:space="preserve">Kênh chính</t>
  </si>
  <si>
    <t xml:space="preserve">Độ khó</t>
  </si>
  <si>
    <t xml:space="preserve">Gò Vấp, TP.HCM</t>
  </si>
  <si>
    <t xml:space="preserve">Meta + Zalo</t>
  </si>
  <si>
    <t xml:space="preserve">Trung bình</t>
  </si>
  <si>
    <t xml:space="preserve">Flagship, brand mạnh</t>
  </si>
  <si>
    <t xml:space="preserve">TX. Cần Giuộc, Tây Ninh (cũ: H. Cần Giuộc, Long An)</t>
  </si>
  <si>
    <t xml:space="preserve">Zalo + Facebook local</t>
  </si>
  <si>
    <t xml:space="preserve">Khó</t>
  </si>
  <si>
    <t xml:space="preserve">Thị trường nhỏ, cần local trust</t>
  </si>
  <si>
    <t xml:space="preserve">KDC nhỏ, cần word-of-mouth</t>
  </si>
  <si>
    <t xml:space="preserve">TP. Rạch Giá, An Giang (cũ: TP. Rạch Giá, Kiên Giang)</t>
  </si>
  <si>
    <t xml:space="preserve">Zalo + Google local</t>
  </si>
  <si>
    <t xml:space="preserve">Rất khó</t>
  </si>
  <si>
    <t xml:space="preserve">Thị trường mới, chưa có brand</t>
  </si>
  <si>
    <t xml:space="preserve">Meta + Google</t>
  </si>
  <si>
    <t xml:space="preserve">Cạnh tranh cao với Việt Úc, iSchool</t>
  </si>
  <si>
    <t xml:space="preserve">Bình Tân, TP.HCM</t>
  </si>
  <si>
    <t xml:space="preserve">Dễ-TB</t>
  </si>
  <si>
    <t xml:space="preserve">Ít đối thủ tư thục tại BT</t>
  </si>
  <si>
    <t xml:space="preserve">Zalo + Facebook</t>
  </si>
  <si>
    <t xml:space="preserve">Thị trường nhỏ</t>
  </si>
  <si>
    <t xml:space="preserve">Mới, chưa có track record</t>
  </si>
  <si>
    <t xml:space="preserve">Google + Meta + Webinar</t>
  </si>
  <si>
    <t xml:space="preserve">Cao</t>
  </si>
  <si>
    <t xml:space="preserve">Webinar là key, giai đoạn bản lề</t>
  </si>
  <si>
    <t xml:space="preserve">Rất cao</t>
  </si>
  <si>
    <t xml:space="preserve">Cần học bổng + đầu ra ĐH + webinar</t>
  </si>
  <si>
    <t xml:space="preserve">Remarketing + Brand</t>
  </si>
  <si>
    <t xml:space="preserve">Hỗ trợ toàn bộ funnel</t>
  </si>
  <si>
    <t xml:space="preserve">KẾ HOẠCH GOOGLE ADS – CẤU TRÚC TÀI KHOẢN + CAMPAIGN + KEYWORD + RSA + BIRCH</t>
  </si>
  <si>
    <t xml:space="preserve">A. CẤU TRÚC TÀI KHOẢN GOOGLE ADS</t>
  </si>
  <si>
    <t xml:space="preserve">Cấp độ</t>
  </si>
  <si>
    <t xml:space="preserve">Tên</t>
  </si>
  <si>
    <t xml:space="preserve">Account</t>
  </si>
  <si>
    <t xml:space="preserve">VA_TuyenSinh_2026</t>
  </si>
  <si>
    <t xml:space="preserve">Tài khoản chính cho tuyển sinh</t>
  </si>
  <si>
    <t xml:space="preserve">Tổng Google = 25% Paid Media</t>
  </si>
  <si>
    <t xml:space="preserve">Campaign</t>
  </si>
  <si>
    <t xml:space="preserve">S_BRAND_System</t>
  </si>
  <si>
    <t xml:space="preserve">Brand search toàn hệ thống</t>
  </si>
  <si>
    <t xml:space="preserve">Auto</t>
  </si>
  <si>
    <t xml:space="preserve">Luôn bật, không pause</t>
  </si>
  <si>
    <t xml:space="preserve">S_MN_GV_Generic</t>
  </si>
  <si>
    <t xml:space="preserve">Search mầm non Gò Vấp generic</t>
  </si>
  <si>
    <t xml:space="preserve">Daily cap</t>
  </si>
  <si>
    <t xml:space="preserve">Keyword: mầm non song ngữ gò vấp</t>
  </si>
  <si>
    <t xml:space="preserve">S_MN_GV_HighIntent</t>
  </si>
  <si>
    <t xml:space="preserve">Search mầm non Gò Vấp high intent</t>
  </si>
  <si>
    <t xml:space="preserve">Keyword: học phí mầm non, tuyển sinh mầm non</t>
  </si>
  <si>
    <t xml:space="preserve">S_MN_Tinh_Generic</t>
  </si>
  <si>
    <t xml:space="preserve">Search mầm non tỉnh (Tây Ninh, An Giang)</t>
  </si>
  <si>
    <t xml:space="preserve">Local intent tỉnh</t>
  </si>
  <si>
    <t xml:space="preserve">S_TH_GV_Generic</t>
  </si>
  <si>
    <t xml:space="preserve">Search tiểu học Gò Vấp</t>
  </si>
  <si>
    <t xml:space="preserve">Lớp 1, song ngữ, học phí</t>
  </si>
  <si>
    <t xml:space="preserve">S_TH_BT_Generic</t>
  </si>
  <si>
    <t xml:space="preserve">Search tiểu học Bình Tân</t>
  </si>
  <si>
    <t xml:space="preserve">Local + song ngữ</t>
  </si>
  <si>
    <t xml:space="preserve">S_TH_Tinh_Generic</t>
  </si>
  <si>
    <t xml:space="preserve">Search tiểu học tỉnh</t>
  </si>
  <si>
    <t xml:space="preserve">Thái Sơn + Mekong Xanh</t>
  </si>
  <si>
    <t xml:space="preserve">S_THCS_GV_Generic</t>
  </si>
  <si>
    <t xml:space="preserve">Search THCS Gò Vấp generic</t>
  </si>
  <si>
    <t xml:space="preserve">Lớp 6, trường cấp 2</t>
  </si>
  <si>
    <t xml:space="preserve">S_THCS_GV_HighIntent</t>
  </si>
  <si>
    <t xml:space="preserve">Search THCS Gò Vấp high intent</t>
  </si>
  <si>
    <t xml:space="preserve">Tuyển sinh lớp 6, học phí</t>
  </si>
  <si>
    <t xml:space="preserve">S_THPT_GV_Generic</t>
  </si>
  <si>
    <t xml:space="preserve">Search THPT Gò Vấp generic</t>
  </si>
  <si>
    <t xml:space="preserve">Lớp 10, trường cấp 3</t>
  </si>
  <si>
    <t xml:space="preserve">S_THPT_GV_HighIntent</t>
  </si>
  <si>
    <t xml:space="preserve">Search THPT Gò Vấp high intent</t>
  </si>
  <si>
    <t xml:space="preserve">Tuyển sinh lớp 10, học bổng</t>
  </si>
  <si>
    <t xml:space="preserve">S_THPT_GV_Webinar</t>
  </si>
  <si>
    <t xml:space="preserve">Search THPT webinar</t>
  </si>
  <si>
    <t xml:space="preserve">Hội thảo, lộ trình, chọn trường</t>
  </si>
  <si>
    <t xml:space="preserve">S_COMP_THCS_GV</t>
  </si>
  <si>
    <t xml:space="preserve">Competitor THCS Gò Vấp</t>
  </si>
  <si>
    <t xml:space="preserve">Chạy chọn lọc, LP compare</t>
  </si>
  <si>
    <t xml:space="preserve">S_COMP_THPT_GV</t>
  </si>
  <si>
    <t xml:space="preserve">Competitor THPT Gò Vấp</t>
  </si>
  <si>
    <t xml:space="preserve">Chạy chọn lọc</t>
  </si>
  <si>
    <t xml:space="preserve">DG_Testimonial</t>
  </si>
  <si>
    <t xml:space="preserve">Demand Gen video testimonial</t>
  </si>
  <si>
    <t xml:space="preserve">THCS/THPT retarget</t>
  </si>
  <si>
    <t xml:space="preserve">RMKT_AllVisitors</t>
  </si>
  <si>
    <t xml:space="preserve">Remarketing all web visitors</t>
  </si>
  <si>
    <t xml:space="preserve">7-30 ngày</t>
  </si>
  <si>
    <t xml:space="preserve">RMKT_HocPhi</t>
  </si>
  <si>
    <t xml:space="preserve">Remarketing người xem học phí</t>
  </si>
  <si>
    <t xml:space="preserve">Hot 1-7 ngày</t>
  </si>
  <si>
    <t xml:space="preserve">RMKT_FormDrop</t>
  </si>
  <si>
    <t xml:space="preserve">Remarketing form chưa submit</t>
  </si>
  <si>
    <t xml:space="preserve">PMAX_Test</t>
  </si>
  <si>
    <t xml:space="preserve">Performance Max test</t>
  </si>
  <si>
    <t xml:space="preserve">Daily cap 2%</t>
  </si>
  <si>
    <t xml:space="preserve">Chỉ test từ T6, không scale sớm</t>
  </si>
  <si>
    <t xml:space="preserve">B. KEYWORD BANK (EXACT + PHRASE)</t>
  </si>
  <si>
    <t xml:space="preserve">Nhóm</t>
  </si>
  <si>
    <t xml:space="preserve">Match</t>
  </si>
  <si>
    <t xml:space="preserve">Keyword</t>
  </si>
  <si>
    <t xml:space="preserve">Brand</t>
  </si>
  <si>
    <t xml:space="preserve">Exact</t>
  </si>
  <si>
    <t xml:space="preserve">[trường mầm non việt anh gò vấp]</t>
  </si>
  <si>
    <t xml:space="preserve">S_BRAND</t>
  </si>
  <si>
    <t xml:space="preserve">[mầm non việt anh lê đức thọ]</t>
  </si>
  <si>
    <t xml:space="preserve">Generic</t>
  </si>
  <si>
    <t xml:space="preserve">[trường mầm non song ngữ gò vấp]</t>
  </si>
  <si>
    <t xml:space="preserve">Top KW</t>
  </si>
  <si>
    <t xml:space="preserve">[trường mầm non tư thục gò vấp]</t>
  </si>
  <si>
    <t xml:space="preserve">Phrase</t>
  </si>
  <si>
    <t xml:space="preserve">"trường mầm non gần nhà"</t>
  </si>
  <si>
    <t xml:space="preserve">Local</t>
  </si>
  <si>
    <t xml:space="preserve">"mầm non song ngữ"</t>
  </si>
  <si>
    <t xml:space="preserve">HighIntent</t>
  </si>
  <si>
    <t xml:space="preserve">[học phí mầm non song ngữ gò vấp]</t>
  </si>
  <si>
    <t xml:space="preserve">HOT</t>
  </si>
  <si>
    <t xml:space="preserve">[tuyển sinh mầm non gò vấp]</t>
  </si>
  <si>
    <t xml:space="preserve">Pain</t>
  </si>
  <si>
    <t xml:space="preserve">"trường mầm non an toàn"</t>
  </si>
  <si>
    <t xml:space="preserve">"trường mầm non có camera"</t>
  </si>
  <si>
    <t xml:space="preserve">[trường việt anh gò vấp]</t>
  </si>
  <si>
    <t xml:space="preserve">[trường việt anh bình tân]</t>
  </si>
  <si>
    <t xml:space="preserve">[trường tiểu học song ngữ gò vấp]</t>
  </si>
  <si>
    <t xml:space="preserve">[trường tiểu học tư thục bình tân]</t>
  </si>
  <si>
    <t xml:space="preserve">[tuyển sinh lớp 1 trường tư]</t>
  </si>
  <si>
    <t xml:space="preserve">S_TH_GV_HighIntent</t>
  </si>
  <si>
    <t xml:space="preserve">[học phí tiểu học song ngữ]</t>
  </si>
  <si>
    <t xml:space="preserve">[trường thcs tư thục gò vấp]</t>
  </si>
  <si>
    <t xml:space="preserve">"trường cấp 2 song ngữ"</t>
  </si>
  <si>
    <t xml:space="preserve">[tuyển sinh lớp 6 trường tư]</t>
  </si>
  <si>
    <t xml:space="preserve">[học phí thcs song ngữ]</t>
  </si>
  <si>
    <t xml:space="preserve">[trường thpt tư thục gò vấp]</t>
  </si>
  <si>
    <t xml:space="preserve">"trường cấp 3 song ngữ"</t>
  </si>
  <si>
    <t xml:space="preserve">[tuyển sinh lớp 10 trường tư]</t>
  </si>
  <si>
    <t xml:space="preserve">[học bổng lớp 10]</t>
  </si>
  <si>
    <t xml:space="preserve">[chuyển trường cấp 3]</t>
  </si>
  <si>
    <t xml:space="preserve">Late intake</t>
  </si>
  <si>
    <t xml:space="preserve">"hội thảo chọn trường lớp 10"</t>
  </si>
  <si>
    <t xml:space="preserve">C. NEGATIVE KEYWORDS</t>
  </si>
  <si>
    <t xml:space="preserve">Scope</t>
  </si>
  <si>
    <t xml:space="preserve">Lý do</t>
  </si>
  <si>
    <t xml:space="preserve">Toàn TK</t>
  </si>
  <si>
    <t xml:space="preserve">miễn phí</t>
  </si>
  <si>
    <t xml:space="preserve">Không phù hợp</t>
  </si>
  <si>
    <t xml:space="preserve">giáo án</t>
  </si>
  <si>
    <t xml:space="preserve">tuyển dụng</t>
  </si>
  <si>
    <t xml:space="preserve">Nhầm</t>
  </si>
  <si>
    <t xml:space="preserve">việc làm</t>
  </si>
  <si>
    <t xml:space="preserve">giáo viên</t>
  </si>
  <si>
    <t xml:space="preserve">đại học</t>
  </si>
  <si>
    <t xml:space="preserve">Sai cấp</t>
  </si>
  <si>
    <t xml:space="preserve">du học</t>
  </si>
  <si>
    <t xml:space="preserve">Sai</t>
  </si>
  <si>
    <t xml:space="preserve">gia sư</t>
  </si>
  <si>
    <t xml:space="preserve">trường công</t>
  </si>
  <si>
    <t xml:space="preserve">Sai đối tượng</t>
  </si>
  <si>
    <t xml:space="preserve">điểm chuẩn</t>
  </si>
  <si>
    <t xml:space="preserve">Sai intent</t>
  </si>
  <si>
    <t xml:space="preserve">đề thi</t>
  </si>
  <si>
    <t xml:space="preserve">đáp án</t>
  </si>
  <si>
    <t xml:space="preserve">đồ chơi</t>
  </si>
  <si>
    <t xml:space="preserve">tranh tô màu</t>
  </si>
  <si>
    <t xml:space="preserve">luyện thi</t>
  </si>
  <si>
    <t xml:space="preserve">đề toán</t>
  </si>
  <si>
    <t xml:space="preserve">D. RSA – MẪU QUẢNG CÁO</t>
  </si>
  <si>
    <t xml:space="preserve">Loại</t>
  </si>
  <si>
    <t xml:space="preserve">Nội dung</t>
  </si>
  <si>
    <t xml:space="preserve">Pin vị trí</t>
  </si>
  <si>
    <t xml:space="preserve">Headline</t>
  </si>
  <si>
    <t xml:space="preserve">Tuyển Sinh Mầm Non 2026</t>
  </si>
  <si>
    <t xml:space="preserve">H1</t>
  </si>
  <si>
    <t xml:space="preserve">Trường Mầm Non Song Ngữ Gò Vấp</t>
  </si>
  <si>
    <t xml:space="preserve">H2</t>
  </si>
  <si>
    <t xml:space="preserve">Campus</t>
  </si>
  <si>
    <t xml:space="preserve">Môi Trường An Toàn Cho Bé</t>
  </si>
  <si>
    <t xml:space="preserve">USP</t>
  </si>
  <si>
    <t xml:space="preserve">Đăng Ký School Tour Ngay</t>
  </si>
  <si>
    <t xml:space="preserve">CTA</t>
  </si>
  <si>
    <t xml:space="preserve">Học Phí Phù Hợp, Minh Bạch</t>
  </si>
  <si>
    <t xml:space="preserve">Gần Nhà, Thuận Tiện Đưa Đón</t>
  </si>
  <si>
    <t xml:space="preserve">Description</t>
  </si>
  <si>
    <t xml:space="preserve">Tìm hiểu chương trình mầm non và lịch tham quan trường. Đăng ký tư vấn nhanh.</t>
  </si>
  <si>
    <t xml:space="preserve">D1</t>
  </si>
  <si>
    <t xml:space="preserve">Môi trường an toàn, giáo viên tận tâm. Xem cơ sở thực tế ngay.</t>
  </si>
  <si>
    <t xml:space="preserve">D2</t>
  </si>
  <si>
    <t xml:space="preserve">Tuyển Sinh Lớp 1 Năm Học 2026</t>
  </si>
  <si>
    <t xml:space="preserve">Trường Tiểu Học Song Ngữ Gò Vấp</t>
  </si>
  <si>
    <t xml:space="preserve">Tiếng Anh Có Lộ Trình Rõ Ràng</t>
  </si>
  <si>
    <t xml:space="preserve">Mời Tham Quan Trường Ngay</t>
  </si>
  <si>
    <t xml:space="preserve">Tìm hiểu chương trình tiểu học và lộ trình tiếng Anh phù hợp cho con.</t>
  </si>
  <si>
    <t xml:space="preserve">Tuyển Sinh Lớp 6 Năm 2026</t>
  </si>
  <si>
    <t xml:space="preserve">Trường THCS Việt Anh Gò Vấp</t>
  </si>
  <si>
    <t xml:space="preserve">Theo Sát Học Sinh Giai Đoạn Bản Lề</t>
  </si>
  <si>
    <t xml:space="preserve">THCS cần môi trường nghiêm túc, theo sát từng học sinh. Đăng ký tư vấn.</t>
  </si>
  <si>
    <t xml:space="preserve">Tuyển Sinh Lớp 10 Năm 2026</t>
  </si>
  <si>
    <t xml:space="preserve">Trường THPT Việt Anh Gò Vấp</t>
  </si>
  <si>
    <t xml:space="preserve">Học Bổng Tuyển Sinh Lớp 10</t>
  </si>
  <si>
    <t xml:space="preserve">Offer</t>
  </si>
  <si>
    <t xml:space="preserve">Định Hướng Đại Học Và Tương Lai</t>
  </si>
  <si>
    <t xml:space="preserve">Đăng ký tư vấn lớp 10, học bổng và tham quan campus ngay hôm nay.</t>
  </si>
  <si>
    <t xml:space="preserve">E. BIRCH PPC – CẤU HÌNH CHI TIẾT</t>
  </si>
  <si>
    <t xml:space="preserve">Bước</t>
  </si>
  <si>
    <t xml:space="preserve">Hành động</t>
  </si>
  <si>
    <t xml:space="preserve">Chi tiết</t>
  </si>
  <si>
    <t xml:space="preserve">Tool/Nơi thực hiện</t>
  </si>
  <si>
    <t xml:space="preserve">Tạo Workspace</t>
  </si>
  <si>
    <t xml:space="preserve">TruongVietAnh_GoogleAds_2026</t>
  </si>
  <si>
    <t xml:space="preserve">Birch &gt; Workspace</t>
  </si>
  <si>
    <t xml:space="preserve">☐</t>
  </si>
  <si>
    <t xml:space="preserve">Kết nối Google Ads</t>
  </si>
  <si>
    <t xml:space="preserve">Link account có admin rights</t>
  </si>
  <si>
    <t xml:space="preserve">Birch &gt; Settings &gt; Ad Platforms</t>
  </si>
  <si>
    <t xml:space="preserve">Kết nối GA4</t>
  </si>
  <si>
    <t xml:space="preserve">Link GA4 property website + LP</t>
  </si>
  <si>
    <t xml:space="preserve">Birch &gt; Settings &gt; Google Analytics</t>
  </si>
  <si>
    <t xml:space="preserve">Kết nối Google Sheets</t>
  </si>
  <si>
    <t xml:space="preserve">Share sheet cho service account Birch</t>
  </si>
  <si>
    <t xml:space="preserve">Google Sheets &gt; Share</t>
  </si>
  <si>
    <t xml:space="preserve">Tạo Custom Metrics</t>
  </si>
  <si>
    <t xml:space="preserve">Qualified Rate, Booked Tour Rate, Cost/Tour, CAC</t>
  </si>
  <si>
    <t xml:space="preserve">Birch &gt; Custom Metrics</t>
  </si>
  <si>
    <t xml:space="preserve">Ngày 2</t>
  </si>
  <si>
    <t xml:space="preserve">Rule: Alert CPL cao</t>
  </si>
  <si>
    <t xml:space="preserve">IF CPL &gt; target 20% for 3 days → Slack alert</t>
  </si>
  <si>
    <t xml:space="preserve">Birch &gt; Automation Rules</t>
  </si>
  <si>
    <t xml:space="preserve">Rule: Alert zero lead</t>
  </si>
  <si>
    <t xml:space="preserve">IF spend &gt; 500K + leads = 0 for 3 days → alert</t>
  </si>
  <si>
    <t xml:space="preserve">Rule: Scale campaign tốt</t>
  </si>
  <si>
    <t xml:space="preserve">IF CPL &lt; target + Qualified &gt; 50% → tăng budget 15%</t>
  </si>
  <si>
    <t xml:space="preserve">Tuần 2</t>
  </si>
  <si>
    <t xml:space="preserve">Rule: Giảm campaign yếu</t>
  </si>
  <si>
    <t xml:space="preserve">IF CPL &gt; target 30% + tour = 0 → giảm 15%</t>
  </si>
  <si>
    <t xml:space="preserve">Rule: Pause KW lãng phí</t>
  </si>
  <si>
    <t xml:space="preserve">IF KW spend &gt; 500K + conv = 0 → pause</t>
  </si>
  <si>
    <t xml:space="preserve">Rule: Brand always-on</t>
  </si>
  <si>
    <t xml:space="preserve">IF brand campaign paused → auto-notify</t>
  </si>
  <si>
    <t xml:space="preserve">Dashboard weekly</t>
  </si>
  <si>
    <t xml:space="preserve">CPL by campaign, campus, grade | Auto email T2+T5</t>
  </si>
  <si>
    <t xml:space="preserve">Birch &gt; Custom Reports</t>
  </si>
  <si>
    <t xml:space="preserve">Tuần 1</t>
  </si>
  <si>
    <t xml:space="preserve">Negative KW auto-check</t>
  </si>
  <si>
    <t xml:space="preserve">Shared negative list, auto-update weekly</t>
  </si>
  <si>
    <t xml:space="preserve">Birch &gt; Rules + Manual</t>
  </si>
  <si>
    <t xml:space="preserve">F. LANDING PAGE BLUEPRINT</t>
  </si>
  <si>
    <t xml:space="preserve">LP</t>
  </si>
  <si>
    <t xml:space="preserve">URL slug</t>
  </si>
  <si>
    <t xml:space="preserve">Khối cần có</t>
  </si>
  <si>
    <t xml:space="preserve">Form fields</t>
  </si>
  <si>
    <t xml:space="preserve">GTM Events</t>
  </si>
  <si>
    <t xml:space="preserve">LP_MN_GV</t>
  </si>
  <si>
    <t xml:space="preserve">/mam-non-go-vap</t>
  </si>
  <si>
    <t xml:space="preserve">Gò Vấp</t>
  </si>
  <si>
    <t xml:space="preserve">Hero video + USP + Ảnh + Testi + FAQ + Map + Form</t>
  </si>
  <si>
    <t xml:space="preserve">Tên, SĐT, Cơ sở, Cấp, Nhu cầu</t>
  </si>
  <si>
    <t xml:space="preserve">form_submit, click_call, click_zalo</t>
  </si>
  <si>
    <t xml:space="preserve">LP_TH_GV</t>
  </si>
  <si>
    <t xml:space="preserve">/tieu-hoc-go-vap</t>
  </si>
  <si>
    <t xml:space="preserve">Hero + Chương trình + Tiếng Anh + Testi + Form</t>
  </si>
  <si>
    <t xml:space="preserve">Tên, SĐT, Cơ sở, Lớp</t>
  </si>
  <si>
    <t xml:space="preserve">form_submit, click_call</t>
  </si>
  <si>
    <t xml:space="preserve">LP_TH_BT</t>
  </si>
  <si>
    <t xml:space="preserve">/tieu-hoc-binh-tan</t>
  </si>
  <si>
    <t xml:space="preserve">Bình Tân</t>
  </si>
  <si>
    <t xml:space="preserve">Hero + USP + Ảnh + Form + Map</t>
  </si>
  <si>
    <t xml:space="preserve">LP_THCS_GV</t>
  </si>
  <si>
    <t xml:space="preserve">/thcs-go-vap</t>
  </si>
  <si>
    <t xml:space="preserve">Hero + Lộ trình + GV + Testi + Webinar CTA + Form</t>
  </si>
  <si>
    <t xml:space="preserve">Tên, SĐT, Cấp, Nhu cầu</t>
  </si>
  <si>
    <t xml:space="preserve">form_submit, webinar_reg, click_call</t>
  </si>
  <si>
    <t xml:space="preserve">LP_THPT_GV</t>
  </si>
  <si>
    <t xml:space="preserve">/thpt-go-vap</t>
  </si>
  <si>
    <t xml:space="preserve">Hero + Lộ trình + Học bổng + ĐH + Testi + Form</t>
  </si>
  <si>
    <t xml:space="preserve">form_submit, scholarship_click, click_call</t>
  </si>
  <si>
    <t xml:space="preserve">LP_WEBINAR</t>
  </si>
  <si>
    <t xml:space="preserve">/webinar-chon-truong</t>
  </si>
  <si>
    <t xml:space="preserve">System</t>
  </si>
  <si>
    <t xml:space="preserve">Chủ đề + Diễn giả + CTA + Countdown</t>
  </si>
  <si>
    <t xml:space="preserve">Tên, SĐT, Email, Cấp</t>
  </si>
  <si>
    <t xml:space="preserve">webinar_register, click_call</t>
  </si>
  <si>
    <t xml:space="preserve">LP_MN_Tinh</t>
  </si>
  <si>
    <t xml:space="preserve">/mam-non-tinh</t>
  </si>
  <si>
    <t xml:space="preserve">Tây Ninh/An Giang</t>
  </si>
  <si>
    <t xml:space="preserve">Hero + Local USP + Ảnh + Map + Form</t>
  </si>
  <si>
    <t xml:space="preserve">Tên, SĐT, Cơ sở</t>
  </si>
  <si>
    <t xml:space="preserve">LP_TH_Tinh</t>
  </si>
  <si>
    <t xml:space="preserve">/tieu-hoc-tinh</t>
  </si>
  <si>
    <t xml:space="preserve">Hero + Local USP + Form</t>
  </si>
  <si>
    <t xml:space="preserve">G. DAILY OPERATIONS – GOOGLE ADS HÀNG NGÀY</t>
  </si>
  <si>
    <t xml:space="preserve">Thời gian</t>
  </si>
  <si>
    <t xml:space="preserve">Công việc</t>
  </si>
  <si>
    <t xml:space="preserve">Tool</t>
  </si>
  <si>
    <t xml:space="preserve">KPI check</t>
  </si>
  <si>
    <t xml:space="preserve">Action nếu lệch</t>
  </si>
  <si>
    <t xml:space="preserve">Ai làm</t>
  </si>
  <si>
    <t xml:space="preserve">8:00</t>
  </si>
  <si>
    <t xml:space="preserve">Check spend pacing</t>
  </si>
  <si>
    <t xml:space="preserve">Birch → Budget pacing → Alert nếu &gt;110% hoặc &lt;80%</t>
  </si>
  <si>
    <t xml:space="preserve">Birch PPC</t>
  </si>
  <si>
    <t xml:space="preserve">Daily spend vs target ±10%</t>
  </si>
  <si>
    <t xml:space="preserve">Overspend → giảm budget | Underspend → check impression share</t>
  </si>
  <si>
    <t xml:space="preserve">8:15</t>
  </si>
  <si>
    <t xml:space="preserve">Search terms review</t>
  </si>
  <si>
    <t xml:space="preserve">Birch Explorer hoặc Google Ads → Search terms report</t>
  </si>
  <si>
    <t xml:space="preserve">Birch / Google Ads</t>
  </si>
  <si>
    <t xml:space="preserve">Irrelevant terms &lt; 5%</t>
  </si>
  <si>
    <t xml:space="preserve">Thêm negative keywords ngay → Update shared list</t>
  </si>
  <si>
    <t xml:space="preserve">8:30</t>
  </si>
  <si>
    <t xml:space="preserve">Check CPC &amp; Position</t>
  </si>
  <si>
    <t xml:space="preserve">Campaign → Auction insights + CPC by keyword</t>
  </si>
  <si>
    <t xml:space="preserve">Google Ads</t>
  </si>
  <si>
    <t xml:space="preserve">Avg position top 3 | CPC &lt; max bid</t>
  </si>
  <si>
    <t xml:space="preserve">Position drop → check competitor | CPC spike → review Quality Score</t>
  </si>
  <si>
    <t xml:space="preserve">8:45</t>
  </si>
  <si>
    <t xml:space="preserve">Check conversion/leads</t>
  </si>
  <si>
    <t xml:space="preserve">Conversions by campaign → Compare vs yesterday</t>
  </si>
  <si>
    <t xml:space="preserve">Leads &gt; 0 per campaign/day</t>
  </si>
  <si>
    <t xml:space="preserve">Zero leads + spend &gt; 500K → pause &amp; investigate</t>
  </si>
  <si>
    <t xml:space="preserve">14:00</t>
  </si>
  <si>
    <t xml:space="preserve">Quality Score audit</t>
  </si>
  <si>
    <t xml:space="preserve">Keyword tab → Filter QS &lt; 5 → Plan improvement</t>
  </si>
  <si>
    <t xml:space="preserve">Avg QS ≥ 7</t>
  </si>
  <si>
    <t xml:space="preserve">QS &lt; 5 → improve ad relevance / LP experience</t>
  </si>
  <si>
    <t xml:space="preserve">15:00</t>
  </si>
  <si>
    <t xml:space="preserve">Bidding adjustment</t>
  </si>
  <si>
    <t xml:space="preserve">Device, location, time-of-day bid adjustment</t>
  </si>
  <si>
    <t xml:space="preserve">Peak hours: 9-11am, 7-9pm</t>
  </si>
  <si>
    <t xml:space="preserve">Tăng bid +20% peak hours, giảm -30% midnight</t>
  </si>
  <si>
    <t xml:space="preserve">17:00</t>
  </si>
  <si>
    <t xml:space="preserve">Log metrics</t>
  </si>
  <si>
    <t xml:space="preserve">Ghi spend, clicks, leads, CPL vào KPI tracker</t>
  </si>
  <si>
    <t xml:space="preserve">Excel</t>
  </si>
  <si>
    <t xml:space="preserve">H. RESOURCE PLAN – ẢNH/VIDEO CHO GOOGLE ADS</t>
  </si>
  <si>
    <t xml:space="preserve">Campaign Type</t>
  </si>
  <si>
    <t xml:space="preserve">Loại asset</t>
  </si>
  <si>
    <t xml:space="preserve">Số lượng</t>
  </si>
  <si>
    <t xml:space="preserve">Specs</t>
  </si>
  <si>
    <t xml:space="preserve">Refresh</t>
  </si>
  <si>
    <t xml:space="preserve">Search (RSA)</t>
  </si>
  <si>
    <t xml:space="preserve">Headlines</t>
  </si>
  <si>
    <t xml:space="preserve">15/campaign</t>
  </si>
  <si>
    <t xml:space="preserve">Max 30 ký tự</t>
  </si>
  <si>
    <t xml:space="preserve">Brand, USP, CTA, Location, Offer</t>
  </si>
  <si>
    <t xml:space="preserve">Copywriter</t>
  </si>
  <si>
    <t xml:space="preserve">4 tuần test</t>
  </si>
  <si>
    <t xml:space="preserve">Descriptions</t>
  </si>
  <si>
    <t xml:space="preserve">4/campaign</t>
  </si>
  <si>
    <t xml:space="preserve">Max 90 ký tự</t>
  </si>
  <si>
    <t xml:space="preserve">Detailed value prop, social proof, urgency</t>
  </si>
  <si>
    <t xml:space="preserve">Display</t>
  </si>
  <si>
    <t xml:space="preserve">Banner images</t>
  </si>
  <si>
    <t xml:space="preserve">5 sizes/campaign</t>
  </si>
  <si>
    <t xml:space="preserve">300x250, 728x90, 160x600, 320x50, 336x280</t>
  </si>
  <si>
    <t xml:space="preserve">Campus photo + headline + CTA</t>
  </si>
  <si>
    <t xml:space="preserve">Designer</t>
  </si>
  <si>
    <t xml:space="preserve">4 tuần</t>
  </si>
  <si>
    <t xml:space="preserve">Responsive Display</t>
  </si>
  <si>
    <t xml:space="preserve">5 images+5 headlines</t>
  </si>
  <si>
    <t xml:space="preserve">1200x628, 1200x1200 | 30 char headlines</t>
  </si>
  <si>
    <t xml:space="preserve">Mix campus, HS, GV, CSVC</t>
  </si>
  <si>
    <t xml:space="preserve">Designer + Chụp</t>
  </si>
  <si>
    <t xml:space="preserve">YouTube/DG</t>
  </si>
  <si>
    <t xml:space="preserve">3 videos</t>
  </si>
  <si>
    <t xml:space="preserve">15s + 30s + 60s (16:9)</t>
  </si>
  <si>
    <t xml:space="preserve">PH/HS testimonial + campus + CTA</t>
  </si>
  <si>
    <t xml:space="preserve">Quay tại campus</t>
  </si>
  <si>
    <t xml:space="preserve">6 tuần</t>
  </si>
  <si>
    <t xml:space="preserve">Video brand</t>
  </si>
  <si>
    <t xml:space="preserve">1 video</t>
  </si>
  <si>
    <t xml:space="preserve">15s (16:9 + 9:16)</t>
  </si>
  <si>
    <t xml:space="preserve">Brand montage 8 cơ sở + USP overlay</t>
  </si>
  <si>
    <t xml:space="preserve">Edit pro</t>
  </si>
  <si>
    <t xml:space="preserve">1 lần/mùa</t>
  </si>
  <si>
    <t xml:space="preserve">PMax</t>
  </si>
  <si>
    <t xml:space="preserve">Asset group</t>
  </si>
  <si>
    <t xml:space="preserve">1/campus</t>
  </si>
  <si>
    <t xml:space="preserve">Images+videos+headlines+descriptions+audience signals</t>
  </si>
  <si>
    <t xml:space="preserve">Full asset mix theo campus</t>
  </si>
  <si>
    <t xml:space="preserve">Mix sources</t>
  </si>
  <si>
    <t xml:space="preserve">Monitor weekly</t>
  </si>
  <si>
    <t xml:space="preserve">Sitelink Extensions</t>
  </si>
  <si>
    <t xml:space="preserve">Sitelinks</t>
  </si>
  <si>
    <t xml:space="preserve">Link text 25 char + Description</t>
  </si>
  <si>
    <t xml:space="preserve">Học phí, Tour, Hotline, Webinar</t>
  </si>
  <si>
    <t xml:space="preserve">Đầu mùa + refresh T6</t>
  </si>
  <si>
    <t xml:space="preserve">KẾ HOẠCH META ADS – CẤU TRÚC + AUDIENCE + CREATIVE + PIXEL + GHL</t>
  </si>
  <si>
    <t xml:space="preserve">A. CẤU TRÚC TÀI KHOẢN META ADS (BỎ PHÚ NHUẬN)</t>
  </si>
  <si>
    <t xml:space="preserve">Objective</t>
  </si>
  <si>
    <t xml:space="preserve">Audience</t>
  </si>
  <si>
    <t xml:space="preserve">Creative</t>
  </si>
  <si>
    <t xml:space="preserve">Budget/tháng</t>
  </si>
  <si>
    <t xml:space="preserve">GHL Pipeline</t>
  </si>
  <si>
    <t xml:space="preserve">GTM/Pixel Events</t>
  </si>
  <si>
    <t xml:space="preserve">MN_GV_LeadGen</t>
  </si>
  <si>
    <t xml:space="preserve">Lead Generation</t>
  </si>
  <si>
    <t xml:space="preserve">Geo 5km MN GV | Age 25-40 | Interest Parenting | Lookalike 1-3%</t>
  </si>
  <si>
    <t xml:space="preserve">Video testi PH 15-30s + Carousel campus + Lead form</t>
  </si>
  <si>
    <t xml:space="preserve">Pipeline MN</t>
  </si>
  <si>
    <t xml:space="preserve">Lead, ViewContent, CompleteRegistration</t>
  </si>
  <si>
    <t xml:space="preserve">MN_Tinh_LeadGen</t>
  </si>
  <si>
    <t xml:space="preserve">Geo Cần Giuộc (Tây Ninh) + Rạch Giá (An Giang) | Age 25-40</t>
  </si>
  <si>
    <t xml:space="preserve">Video testi + Ảnh campus local + Lead form</t>
  </si>
  <si>
    <t xml:space="preserve">Lead, ViewContent</t>
  </si>
  <si>
    <t xml:space="preserve">TH_GV_LeadGen</t>
  </si>
  <si>
    <t xml:space="preserve">Geo 8km TH GV | Age 28-45 | Lookalike PH TH</t>
  </si>
  <si>
    <t xml:space="preserve">Video lớp học + Carousel chương trình + Messenger</t>
  </si>
  <si>
    <t xml:space="preserve">Pipeline TH</t>
  </si>
  <si>
    <t xml:space="preserve">TH_BT_LeadGen</t>
  </si>
  <si>
    <t xml:space="preserve">Geo 8km Bình Tân | Age 28-45</t>
  </si>
  <si>
    <t xml:space="preserve">Video + Lead form</t>
  </si>
  <si>
    <t xml:space="preserve">Lead</t>
  </si>
  <si>
    <t xml:space="preserve">TH_Tinh_LeadGen</t>
  </si>
  <si>
    <t xml:space="preserve">Geo Thái Sơn + Mekong Xanh</t>
  </si>
  <si>
    <t xml:space="preserve">Video local + Lead form</t>
  </si>
  <si>
    <t xml:space="preserve">THCS_GV_Conv</t>
  </si>
  <si>
    <t xml:space="preserve">Conversions</t>
  </si>
  <si>
    <t xml:space="preserve">Geo TP.HCM | Age 30-50 | Custom: Web 30d</t>
  </si>
  <si>
    <t xml:space="preserve">Video HS+GV + Testi 60s + Webinar ads</t>
  </si>
  <si>
    <t xml:space="preserve">Pipeline THCS</t>
  </si>
  <si>
    <t xml:space="preserve">Lead, WebinarReg, ViewContent</t>
  </si>
  <si>
    <t xml:space="preserve">THPT_GV_Conv</t>
  </si>
  <si>
    <t xml:space="preserve">Geo TP.HCM + miền Nam | Age 35-55 | Lookalike PH THPT</t>
  </si>
  <si>
    <t xml:space="preserve">Video đầu ra + Học bổng + Testi</t>
  </si>
  <si>
    <t xml:space="preserve">Pipeline THPT</t>
  </si>
  <si>
    <t xml:space="preserve">Lead, ScholarshipClick</t>
  </si>
  <si>
    <t xml:space="preserve">Remarketing_All</t>
  </si>
  <si>
    <t xml:space="preserve">PageView 7-30d | Exclude enrolled | Dynamic by cấp</t>
  </si>
  <si>
    <t xml:space="preserve">Carousel campus + ưu đãi + Countdown</t>
  </si>
  <si>
    <t xml:space="preserve">Dynamic</t>
  </si>
  <si>
    <t xml:space="preserve">Retarget tag</t>
  </si>
  <si>
    <t xml:space="preserve">Purchase, Lead</t>
  </si>
  <si>
    <t xml:space="preserve">B. PIXEL + CAPI + GTM SETUP</t>
  </si>
  <si>
    <t xml:space="preserve">Cài Meta Pixel qua GTM</t>
  </si>
  <si>
    <t xml:space="preserve">Tạo tag Meta Pixel Base Code trong GTM → fire on All Pages</t>
  </si>
  <si>
    <t xml:space="preserve">GTM + Meta</t>
  </si>
  <si>
    <t xml:space="preserve">Tạo Custom Events trong GTM</t>
  </si>
  <si>
    <t xml:space="preserve">form_submit, click_call, click_zalo, webinar_register, scholarship_click</t>
  </si>
  <si>
    <t xml:space="preserve">GTM</t>
  </si>
  <si>
    <t xml:space="preserve">Cài Conversion API (CAPI)</t>
  </si>
  <si>
    <t xml:space="preserve">Server-side tracking qua GHL webhook → Meta CAPI endpoint</t>
  </si>
  <si>
    <t xml:space="preserve">GHL + Meta</t>
  </si>
  <si>
    <t xml:space="preserve">Tạo Custom Conversions</t>
  </si>
  <si>
    <t xml:space="preserve">4 events: Form MN, Form TH, Form THCS/THPT, Tour Scheduled</t>
  </si>
  <si>
    <t xml:space="preserve">Meta Events Manager</t>
  </si>
  <si>
    <t xml:space="preserve">Verify domain</t>
  </si>
  <si>
    <t xml:space="preserve">Xác minh domain truongvietanh.com trong Business Manager</t>
  </si>
  <si>
    <t xml:space="preserve">Meta Business Suite</t>
  </si>
  <si>
    <t xml:space="preserve">Tạo Audience Library</t>
  </si>
  <si>
    <t xml:space="preserve">8 saved audiences (4 cấp × 2 geo) + Lookalike 1%/3%/5% + Custom 7d/14d/30d/60d</t>
  </si>
  <si>
    <t xml:space="preserve">Meta Ads Manager</t>
  </si>
  <si>
    <t xml:space="preserve">Sync GHL → Meta</t>
  </si>
  <si>
    <t xml:space="preserve">Upload enrolled parents list → Exclusion | Monthly refresh</t>
  </si>
  <si>
    <t xml:space="preserve">Setup Birch cho Meta</t>
  </si>
  <si>
    <t xml:space="preserve">Kết nối Meta Ads → Birch | Tạo rules CPL, budget pacing</t>
  </si>
  <si>
    <t xml:space="preserve">Ngày 3</t>
  </si>
  <si>
    <t xml:space="preserve">C. CREATIVE RESOURCE PLAN – PHÂN BỔ ẢNH/VIDEO CHO META ADS</t>
  </si>
  <si>
    <t xml:space="preserve">Loại Creative</t>
  </si>
  <si>
    <t xml:space="preserve">Format</t>
  </si>
  <si>
    <t xml:space="preserve">Nguồn ảnh/video</t>
  </si>
  <si>
    <t xml:space="preserve">Refresh cycle</t>
  </si>
  <si>
    <t xml:space="preserve">A/B Test</t>
  </si>
  <si>
    <t xml:space="preserve">Video testimonial PH</t>
  </si>
  <si>
    <t xml:space="preserve">9:16 Reel 15-30s</t>
  </si>
  <si>
    <t xml:space="preserve">PH chia sẻ: "Con tôi vui khi đến trường"</t>
  </si>
  <si>
    <t xml:space="preserve">Quay tại campus, PH thật</t>
  </si>
  <si>
    <t xml:space="preserve">3 tuần</t>
  </si>
  <si>
    <t xml:space="preserve">Test 3 PH khác nhau</t>
  </si>
  <si>
    <t xml:space="preserve">Hook 3s quan trọng nhất</t>
  </si>
  <si>
    <t xml:space="preserve">Carousel campus</t>
  </si>
  <si>
    <t xml:space="preserve">1:1 1080x1080</t>
  </si>
  <si>
    <t xml:space="preserve">6 slides: Sân chơi, Phòng học, Bếp ăn, Camera, GV, Hoạt động</t>
  </si>
  <si>
    <t xml:space="preserve">Chụp tại campus GV</t>
  </si>
  <si>
    <t xml:space="preserve">Test order slides</t>
  </si>
  <si>
    <t xml:space="preserve">Ảnh thật, không stock</t>
  </si>
  <si>
    <t xml:space="preserve">Lead Form ad</t>
  </si>
  <si>
    <t xml:space="preserve">Image + text: "Đăng ký tour MN Việt Anh" | Form prefill</t>
  </si>
  <si>
    <t xml:space="preserve">Thiết kế Canva</t>
  </si>
  <si>
    <t xml:space="preserve">2 tuần</t>
  </si>
  <si>
    <t xml:space="preserve">Test benefit vs offer</t>
  </si>
  <si>
    <t xml:space="preserve">Form ngắn: Tên+SĐT+Cấp</t>
  </si>
  <si>
    <t xml:space="preserve">Video "Nền tảng lớp 1"</t>
  </si>
  <si>
    <t xml:space="preserve">9:16 Reel 30-60s</t>
  </si>
  <si>
    <t xml:space="preserve">Lớp học thực tế, HS đọc TA, GV tương tác</t>
  </si>
  <si>
    <t xml:space="preserve">Quay tại TH GV</t>
  </si>
  <si>
    <t xml:space="preserve">Test 30s vs 60s</t>
  </si>
  <si>
    <t xml:space="preserve">Show HS thật đang học</t>
  </si>
  <si>
    <t xml:space="preserve">Carousel chương trình</t>
  </si>
  <si>
    <t xml:space="preserve">6 slides: Chương trình, TA, STEM, Ngoại khóa, Sĩ số, Tour</t>
  </si>
  <si>
    <t xml:space="preserve">Chụp + thiết kế</t>
  </si>
  <si>
    <t xml:space="preserve">Test headline</t>
  </si>
  <si>
    <t xml:space="preserve">Infographic style</t>
  </si>
  <si>
    <t xml:space="preserve">Image + text local</t>
  </si>
  <si>
    <t xml:space="preserve">Ảnh campus BT + text "Trường tư song ngữ Bình Tân"</t>
  </si>
  <si>
    <t xml:space="preserve">Chụp tại campus BT</t>
  </si>
  <si>
    <t xml:space="preserve">Test 3 images</t>
  </si>
  <si>
    <t xml:space="preserve">Local feel quan trọng</t>
  </si>
  <si>
    <t xml:space="preserve">THCS_GV_LeadGen</t>
  </si>
  <si>
    <t xml:space="preserve">Video testi HS + GV</t>
  </si>
  <si>
    <t xml:space="preserve">HS THCS chia sẻ + GV chủ nhiệm nói về lộ trình</t>
  </si>
  <si>
    <t xml:space="preserve">Quay tại THCS GV</t>
  </si>
  <si>
    <t xml:space="preserve">Test HS vs GV focus</t>
  </si>
  <si>
    <t xml:space="preserve">Emotional storytelling</t>
  </si>
  <si>
    <t xml:space="preserve">THCS_GV_Webinar</t>
  </si>
  <si>
    <t xml:space="preserve">Video invite webinar</t>
  </si>
  <si>
    <t xml:space="preserve">9:16 Reel 15s</t>
  </si>
  <si>
    <t xml:space="preserve">Teaser: "Hội thảo chuyển cấp 5→6 – Miễn phí"</t>
  </si>
  <si>
    <t xml:space="preserve">Thiết kế motion</t>
  </si>
  <si>
    <t xml:space="preserve">Test countdown vs benefit</t>
  </si>
  <si>
    <t xml:space="preserve">Urgency + value</t>
  </si>
  <si>
    <t xml:space="preserve">THPT_GV_LeadGen</t>
  </si>
  <si>
    <t xml:space="preserve">Video "Lộ trình THPT"</t>
  </si>
  <si>
    <t xml:space="preserve">Alumni ĐH chia sẻ + BGH nói về đầu ra</t>
  </si>
  <si>
    <t xml:space="preserve">Quay tại THPT + ĐH</t>
  </si>
  <si>
    <t xml:space="preserve">Test alumni vs BGH</t>
  </si>
  <si>
    <t xml:space="preserve">Data-driven: % ĐH top</t>
  </si>
  <si>
    <t xml:space="preserve">THPT_HocBong</t>
  </si>
  <si>
    <t xml:space="preserve">Image học bổng</t>
  </si>
  <si>
    <t xml:space="preserve">"Học bổng lên đến 100% – Deadline [ngày]" | Bold design</t>
  </si>
  <si>
    <t xml:space="preserve">Thiết kế Canva/AI</t>
  </si>
  <si>
    <t xml:space="preserve">Test % vs giá trị tiền</t>
  </si>
  <si>
    <t xml:space="preserve">Deadline rõ ràng</t>
  </si>
  <si>
    <t xml:space="preserve">Retarget_7d_Hot</t>
  </si>
  <si>
    <t xml:space="preserve">Dynamic creative</t>
  </si>
  <si>
    <t xml:space="preserve">1:1 multi-format</t>
  </si>
  <si>
    <t xml:space="preserve">Testimonial + ưu đãi + countdown + campus</t>
  </si>
  <si>
    <t xml:space="preserve">Mix từ kho</t>
  </si>
  <si>
    <t xml:space="preserve">Auto by Meta</t>
  </si>
  <si>
    <t xml:space="preserve">DCO cho remarketing</t>
  </si>
  <si>
    <t xml:space="preserve">Brand_Awareness</t>
  </si>
  <si>
    <t xml:space="preserve">Brand video 15s</t>
  </si>
  <si>
    <t xml:space="preserve">16:9 + 9:16</t>
  </si>
  <si>
    <t xml:space="preserve">Montage: 8 campus, HS vui, USP overlay, logo end</t>
  </si>
  <si>
    <t xml:space="preserve">Quay + edit pro</t>
  </si>
  <si>
    <t xml:space="preserve">Test 15s vs 30s</t>
  </si>
  <si>
    <t xml:space="preserve">CPM optimize</t>
  </si>
  <si>
    <t xml:space="preserve">D. DAILY OPERATIONS – META ADS HÀNG NGÀY</t>
  </si>
  <si>
    <t xml:space="preserve">Check delivery &amp; spend</t>
  </si>
  <si>
    <t xml:space="preserve">Ads Manager → Campaign overview → Check pacing 24h</t>
  </si>
  <si>
    <t xml:space="preserve">Meta Ads Manager / Birch</t>
  </si>
  <si>
    <t xml:space="preserve">Spend vs daily target ±10%</t>
  </si>
  <si>
    <t xml:space="preserve">Overspend → lower budget | Underspend → check ad set</t>
  </si>
  <si>
    <t xml:space="preserve">Check CPL by campaign</t>
  </si>
  <si>
    <t xml:space="preserve">Filter last 3 days → Sort by CPL → Identify top/bottom</t>
  </si>
  <si>
    <t xml:space="preserve">CPL &lt; target kênh</t>
  </si>
  <si>
    <t xml:space="preserve">CPL &gt; 150% target → pause ad set → review creative</t>
  </si>
  <si>
    <t xml:space="preserve">Check ad set learning phase</t>
  </si>
  <si>
    <t xml:space="preserve">Review ad sets: Learning, Active, Learning Limited</t>
  </si>
  <si>
    <t xml:space="preserve">50 conversions / 7 ngày</t>
  </si>
  <si>
    <t xml:space="preserve">Learning Limited → consolidate ad sets hoặc tăng budget</t>
  </si>
  <si>
    <t xml:space="preserve">Review ad rejections</t>
  </si>
  <si>
    <t xml:space="preserve">Check ad review status → Fix rejected ads</t>
  </si>
  <si>
    <t xml:space="preserve">No rejected ads</t>
  </si>
  <si>
    <t xml:space="preserve">Edit ad → resubmit → nếu lặp lại → contact support</t>
  </si>
  <si>
    <t xml:space="preserve">9:00</t>
  </si>
  <si>
    <t xml:space="preserve">Check Frequency &amp; CTR</t>
  </si>
  <si>
    <t xml:space="preserve">Campaign level → Frequency col + CTR</t>
  </si>
  <si>
    <t xml:space="preserve">Freq &lt; 3, CTR &gt; 1%</t>
  </si>
  <si>
    <t xml:space="preserve">Freq &gt; 3 → refresh creative | CTR &lt; 0.8% → new copy/image</t>
  </si>
  <si>
    <t xml:space="preserve">Audience overlap check</t>
  </si>
  <si>
    <t xml:space="preserve">Meta → Audience overlap tool → Check cross-campaign</t>
  </si>
  <si>
    <t xml:space="preserve">Meta Audience Tool</t>
  </si>
  <si>
    <t xml:space="preserve">Overlap &lt; 30%</t>
  </si>
  <si>
    <t xml:space="preserve">&gt; 30% → exclude hoặc merge audiences</t>
  </si>
  <si>
    <t xml:space="preserve">Scale decision (daily)</t>
  </si>
  <si>
    <t xml:space="preserve">Top 3 ad sets by CPL + quality → increase 15-20%</t>
  </si>
  <si>
    <t xml:space="preserve">CPL &lt; target + Q.Rate &gt; 45%</t>
  </si>
  <si>
    <t xml:space="preserve">Scale immediately, monitor 24h</t>
  </si>
  <si>
    <t xml:space="preserve">Log daily metrics</t>
  </si>
  <si>
    <t xml:space="preserve">Ghi spend, leads, CPL, CTR vào KPI tracker</t>
  </si>
  <si>
    <t xml:space="preserve">Excel/Sheets</t>
  </si>
  <si>
    <t xml:space="preserve">E. AUDIENCE LIBRARY – DANH SÁCH AUDIENCE CHI TIẾT</t>
  </si>
  <si>
    <t xml:space="preserve">Audience Name</t>
  </si>
  <si>
    <t xml:space="preserve">Type</t>
  </si>
  <si>
    <t xml:space="preserve">Targeting chi tiết</t>
  </si>
  <si>
    <t xml:space="preserve">Size est.</t>
  </si>
  <si>
    <t xml:space="preserve">Dùng cho Campaign</t>
  </si>
  <si>
    <t xml:space="preserve">Prospecting_MN_GV</t>
  </si>
  <si>
    <t xml:space="preserve">Saved</t>
  </si>
  <si>
    <t xml:space="preserve">Geo: Gò Vấp 5km | Age 25-40 | Female | Interest: Parenting, Preschool, Child development</t>
  </si>
  <si>
    <t xml:space="preserve">200K-400K</t>
  </si>
  <si>
    <t xml:space="preserve">Core audience MN</t>
  </si>
  <si>
    <t xml:space="preserve">Prospecting_TH_GV</t>
  </si>
  <si>
    <t xml:space="preserve">Geo: Gò Vấp 8km | Age 28-45 | Parents | Interest: Education, Primary school</t>
  </si>
  <si>
    <t xml:space="preserve">300K-500K</t>
  </si>
  <si>
    <t xml:space="preserve">Core audience TH</t>
  </si>
  <si>
    <t xml:space="preserve">Prospecting_TH_BT</t>
  </si>
  <si>
    <t xml:space="preserve">Geo: Bình Tân 8km | Age 28-45 | Parents</t>
  </si>
  <si>
    <t xml:space="preserve">250K-400K</t>
  </si>
  <si>
    <t xml:space="preserve">Bình Tân local</t>
  </si>
  <si>
    <t xml:space="preserve">Prospecting_THCS</t>
  </si>
  <si>
    <t xml:space="preserve">Geo: TP.HCM | Age 32-48 | Interest: Secondary education, Exam prep</t>
  </si>
  <si>
    <t xml:space="preserve">500K-800K</t>
  </si>
  <si>
    <t xml:space="preserve">Broader for THCS</t>
  </si>
  <si>
    <t xml:space="preserve">Prospecting_THPT</t>
  </si>
  <si>
    <t xml:space="preserve">Geo: TP.HCM + miền Nam | Age 36-55 | Interest: High school, Scholarship, University</t>
  </si>
  <si>
    <t xml:space="preserve">600K-1M</t>
  </si>
  <si>
    <t xml:space="preserve">Broadest for THPT</t>
  </si>
  <si>
    <t xml:space="preserve">LAL_1%_Enrolled</t>
  </si>
  <si>
    <t xml:space="preserve">Lookalike</t>
  </si>
  <si>
    <t xml:space="preserve">Source: Enrolled parents list | 1% lookalike VN</t>
  </si>
  <si>
    <t xml:space="preserve">700K-1M</t>
  </si>
  <si>
    <t xml:space="preserve">All Lead Gen</t>
  </si>
  <si>
    <t xml:space="preserve">Best quality LAL</t>
  </si>
  <si>
    <t xml:space="preserve">LAL_3%_Leads</t>
  </si>
  <si>
    <t xml:space="preserve">Source: All qualified leads | 3% lookalike VN</t>
  </si>
  <si>
    <t xml:space="preserve">2M-3M</t>
  </si>
  <si>
    <t xml:space="preserve">Scale campaigns</t>
  </si>
  <si>
    <t xml:space="preserve">Volume LAL</t>
  </si>
  <si>
    <t xml:space="preserve">Custom_Web_7d</t>
  </si>
  <si>
    <t xml:space="preserve">Custom</t>
  </si>
  <si>
    <t xml:space="preserve">Website visitors last 7 days | All pages</t>
  </si>
  <si>
    <t xml:space="preserve">5K-20K</t>
  </si>
  <si>
    <t xml:space="preserve">Hottest remarketing</t>
  </si>
  <si>
    <t xml:space="preserve">Custom_Web_30d</t>
  </si>
  <si>
    <t xml:space="preserve">Website visitors last 30 days</t>
  </si>
  <si>
    <t xml:space="preserve">20K-50K</t>
  </si>
  <si>
    <t xml:space="preserve">Retarget_21d_Warm</t>
  </si>
  <si>
    <t xml:space="preserve">Warm remarketing</t>
  </si>
  <si>
    <t xml:space="preserve">Custom_Fee_Page</t>
  </si>
  <si>
    <t xml:space="preserve">Visitors to /hoc-phi pages | Last 14 days</t>
  </si>
  <si>
    <t xml:space="preserve">2K-8K</t>
  </si>
  <si>
    <t xml:space="preserve">Highest intent</t>
  </si>
  <si>
    <t xml:space="preserve">Custom_Video_50</t>
  </si>
  <si>
    <t xml:space="preserve">Video viewers 50%+ | Last 30 days</t>
  </si>
  <si>
    <t xml:space="preserve">10K-30K</t>
  </si>
  <si>
    <t xml:space="preserve">Engaged viewers</t>
  </si>
  <si>
    <t xml:space="preserve">Exclusion_Enrolled</t>
  </si>
  <si>
    <t xml:space="preserve">Upload enrolled parents list</t>
  </si>
  <si>
    <t xml:space="preserve">1K-5K</t>
  </si>
  <si>
    <t xml:space="preserve">ALL campaigns</t>
  </si>
  <si>
    <t xml:space="preserve">MUST exclude always</t>
  </si>
  <si>
    <t xml:space="preserve">KẾ HOẠCH TIKTOK ADS – 100 VIDEO TESTIMONIAL + CẤU TRÚC + GTM</t>
  </si>
  <si>
    <t xml:space="preserve">A. CẤU TRÚC CAMPAIGN TIKTOK</t>
  </si>
  <si>
    <t xml:space="preserve">Targeting</t>
  </si>
  <si>
    <t xml:space="preserve">Creative (từ kho 100 video)</t>
  </si>
  <si>
    <t xml:space="preserve">Spark_Testi_MN</t>
  </si>
  <si>
    <t xml:space="preserve">Traffic/Lead</t>
  </si>
  <si>
    <t xml:space="preserve">Age 25-45 | Parenting | Geo HCM+Tỉnh</t>
  </si>
  <si>
    <t xml:space="preserve">Boost organic testi PH MN | Hook 3s | 15-30s</t>
  </si>
  <si>
    <t xml:space="preserve">CPV ≤ 2K | Engage ≥ 5%</t>
  </si>
  <si>
    <t xml:space="preserve">ViewContent, ClickLink</t>
  </si>
  <si>
    <t xml:space="preserve">Dùng 100 video có sẵn</t>
  </si>
  <si>
    <t xml:space="preserve">Spark_Testi_THPT</t>
  </si>
  <si>
    <t xml:space="preserve">Age 30-55 | Education | Geo HCM</t>
  </si>
  <si>
    <t xml:space="preserve">Boost testi HS THPT + GV | Hook 3s</t>
  </si>
  <si>
    <t xml:space="preserve">CPV ≤ 2.5K | Lead</t>
  </si>
  <si>
    <t xml:space="preserve">ViewContent, Lead</t>
  </si>
  <si>
    <t xml:space="preserve">Social proof</t>
  </si>
  <si>
    <t xml:space="preserve">InFeed_CampusTour</t>
  </si>
  <si>
    <t xml:space="preserve">Traffic</t>
  </si>
  <si>
    <t xml:space="preserve">Age 25-45 | Geo radius 10km</t>
  </si>
  <si>
    <t xml:space="preserve">Virtual tour video | Day-in-the-life | CTA tour</t>
  </si>
  <si>
    <t xml:space="preserve">CPL ≤ 90K | CTR ≥ 1.5%</t>
  </si>
  <si>
    <t xml:space="preserve">Quay sẵn hoặc UGC</t>
  </si>
  <si>
    <t xml:space="preserve">LeadGen_Form</t>
  </si>
  <si>
    <t xml:space="preserve">Lead Gen</t>
  </si>
  <si>
    <t xml:space="preserve">Age 28-45 | School selection | Lookalike</t>
  </si>
  <si>
    <t xml:space="preserve">Video HS + Instant form: Tên+SĐT+Cấp</t>
  </si>
  <si>
    <t xml:space="preserve">CPL ≤ 80K | Form ≥ 3%</t>
  </si>
  <si>
    <t xml:space="preserve">Lead, FormSubmit</t>
  </si>
  <si>
    <t xml:space="preserve">Form → GHL auto</t>
  </si>
  <si>
    <t xml:space="preserve">TopView_Brand</t>
  </si>
  <si>
    <t xml:space="preserve">Reach</t>
  </si>
  <si>
    <t xml:space="preserve">Broad 25-50 HCM | 1 ngày</t>
  </si>
  <si>
    <t xml:space="preserve">Video 15s brand hệ thống | 8 cơ sở</t>
  </si>
  <si>
    <t xml:space="preserve">Reach ≥ 2M | CPM ≤ 50K</t>
  </si>
  <si>
    <t xml:space="preserve">Impression</t>
  </si>
  <si>
    <t xml:space="preserve">Chỉ 2-3 ngày peak</t>
  </si>
  <si>
    <t xml:space="preserve">B. TIKTOK PIXEL + GTM SETUP</t>
  </si>
  <si>
    <t xml:space="preserve">Tạo TikTok Pixel</t>
  </si>
  <si>
    <t xml:space="preserve">Tạo pixel trong TikTok Ads Manager</t>
  </si>
  <si>
    <t xml:space="preserve">Cài qua GTM</t>
  </si>
  <si>
    <t xml:space="preserve">Tạo Custom HTML tag với TikTok Pixel base code → All Pages</t>
  </si>
  <si>
    <t xml:space="preserve">Tạo Event tags</t>
  </si>
  <si>
    <t xml:space="preserve">ViewContent (LP view), ClickButton (CTA), SubmitForm, CompleteRegistration</t>
  </si>
  <si>
    <t xml:space="preserve">Test với TikTok Pixel Helper</t>
  </si>
  <si>
    <t xml:space="preserve">Verify events firing đúng trên mỗi LP</t>
  </si>
  <si>
    <t xml:space="preserve">Chrome Extension</t>
  </si>
  <si>
    <t xml:space="preserve">Tạo Custom Audiences</t>
  </si>
  <si>
    <t xml:space="preserve">Website visitors 7d/14d/30d + Video viewers 50%+ + Form submitters</t>
  </si>
  <si>
    <t xml:space="preserve">Tạo Lookalike</t>
  </si>
  <si>
    <t xml:space="preserve">Từ enrolled parents list + Form submitters</t>
  </si>
  <si>
    <t xml:space="preserve">Setup Birch cho TikTok</t>
  </si>
  <si>
    <t xml:space="preserve">Kết nối TikTok → Birch | Budget pacing rules</t>
  </si>
  <si>
    <t xml:space="preserve">GOHIGHLEVEL – SETUP TỪ ĐẦU + CRM + AUTOMATION + SALES + ZALO</t>
  </si>
  <si>
    <t xml:space="preserve">A. SETUP TÀI KHOẢN GHL TỪ ĐẦU</t>
  </si>
  <si>
    <t xml:space="preserve">Module</t>
  </si>
  <si>
    <t xml:space="preserve">Hành động chi tiết</t>
  </si>
  <si>
    <t xml:space="preserve">Kết quả cần có</t>
  </si>
  <si>
    <t xml:space="preserve">Tạo sub-account cho Việt Anh | Timezone VN | Currency VND</t>
  </si>
  <si>
    <t xml:space="preserve">Account live</t>
  </si>
  <si>
    <t xml:space="preserve">Custom Fields</t>
  </si>
  <si>
    <t xml:space="preserve">Tạo fields: Campus, Grade, Source Channel, Campaign ID, Campaign Name, Keyword Theme, Lead Status, Qualified Flag, Tour Date, Tour Attended, Application, Deposit, Enrollment</t>
  </si>
  <si>
    <t xml:space="preserve">Tất cả fields có</t>
  </si>
  <si>
    <t xml:space="preserve">Pipelines</t>
  </si>
  <si>
    <t xml:space="preserve">Tạo 4 pipelines: MN, TH, THCS, THPT | Stages: New → Contacted → Qualified → Tour Booked → Tour Done → Offer → Enrolled → Lost</t>
  </si>
  <si>
    <t xml:space="preserve">4 pipelines active</t>
  </si>
  <si>
    <t xml:space="preserve">Tags</t>
  </si>
  <si>
    <t xml:space="preserve">Tạo tag system: src_google, src_meta, src_tiktok, src_zalo, src_organic, campus_gv, campus_bt, campus_tinh, grade_mn, grade_th, grade_thcs, grade_thpt, qualified, booked_tour, tour_attended, enrolled, lost</t>
  </si>
  <si>
    <t xml:space="preserve">Tags ready</t>
  </si>
  <si>
    <t xml:space="preserve">Users &amp; Teams</t>
  </si>
  <si>
    <t xml:space="preserve">Tạo users cho sales team | Assign theo campus | Round-robin rules</t>
  </si>
  <si>
    <t xml:space="preserve">Team assigned</t>
  </si>
  <si>
    <t xml:space="preserve">Phone &amp; SMS</t>
  </si>
  <si>
    <t xml:space="preserve">Setup Twilio / VN SMS provider | Verify phone numbers | SMS templates</t>
  </si>
  <si>
    <t xml:space="preserve">SMS working</t>
  </si>
  <si>
    <t xml:space="preserve">Zalo OA</t>
  </si>
  <si>
    <t xml:space="preserve">Kết nối Zalo OA | Tạo 8 template messages | Auto-reply menu</t>
  </si>
  <si>
    <t xml:space="preserve">Zalo connected</t>
  </si>
  <si>
    <t xml:space="preserve">Email</t>
  </si>
  <si>
    <t xml:space="preserve">Setup domain, DKIM, SPF | Email templates: Welcome, Tour reminder, Follow-up, Scholarship, Thank you</t>
  </si>
  <si>
    <t xml:space="preserve">Email verified</t>
  </si>
  <si>
    <t xml:space="preserve">Calendar</t>
  </si>
  <si>
    <t xml:space="preserve">Tạo booking calendar cho 6 cơ sở (bỏ PN) | Availability slots | Auto SMS confirm</t>
  </si>
  <si>
    <t xml:space="preserve">Calendar live</t>
  </si>
  <si>
    <t xml:space="preserve">Forms</t>
  </si>
  <si>
    <t xml:space="preserve">Tạo 8 forms (1/LP) | UTM auto-capture | Pipeline auto-assign</t>
  </si>
  <si>
    <t xml:space="preserve">Forms embedded</t>
  </si>
  <si>
    <t xml:space="preserve">Landing Pages</t>
  </si>
  <si>
    <t xml:space="preserve">Build hoặc embed 8 LP trong GHL | Form + tracking + Zalo widget</t>
  </si>
  <si>
    <t xml:space="preserve">LPs live</t>
  </si>
  <si>
    <t xml:space="preserve">Ngày 3-5</t>
  </si>
  <si>
    <t xml:space="preserve">B. AUTOMATION WORKFLOWS</t>
  </si>
  <si>
    <t xml:space="preserve">Workflow</t>
  </si>
  <si>
    <t xml:space="preserve">Trigger</t>
  </si>
  <si>
    <t xml:space="preserve">Actions</t>
  </si>
  <si>
    <t xml:space="preserve">SLA</t>
  </si>
  <si>
    <t xml:space="preserve">Kết quả</t>
  </si>
  <si>
    <t xml:space="preserve">Auto-assign lead</t>
  </si>
  <si>
    <t xml:space="preserve">New contact created</t>
  </si>
  <si>
    <t xml:space="preserve">Round-robin assign theo campus + Push notification + SMS to sales</t>
  </si>
  <si>
    <t xml:space="preserve">&lt; 5 phút</t>
  </si>
  <si>
    <t xml:space="preserve">Lead có owner ngay</t>
  </si>
  <si>
    <t xml:space="preserve">Welcome sequence</t>
  </si>
  <si>
    <t xml:space="preserve">New lead + src_google/meta/tiktok</t>
  </si>
  <si>
    <t xml:space="preserve">SMS welcome 30s + Zalo message 5 phút + Email brochure 1h</t>
  </si>
  <si>
    <t xml:space="preserve">Tự động</t>
  </si>
  <si>
    <t xml:space="preserve">Mọi lead được chào</t>
  </si>
  <si>
    <t xml:space="preserve">Nurture chưa tour</t>
  </si>
  <si>
    <t xml:space="preserve">Lead &gt; 48h chưa book tour</t>
  </si>
  <si>
    <t xml:space="preserve">SMS Day 2 → Zalo Day 4 → Email Day 7 → Call task Day 10</t>
  </si>
  <si>
    <t xml:space="preserve">4 touchpoints</t>
  </si>
  <si>
    <t xml:space="preserve">Tăng Lead→Tour</t>
  </si>
  <si>
    <t xml:space="preserve">Ngày 4</t>
  </si>
  <si>
    <t xml:space="preserve">Tour reminder</t>
  </si>
  <si>
    <t xml:space="preserve">Appointment booked</t>
  </si>
  <si>
    <t xml:space="preserve">SMS 48h trước + Zalo 2h trước + Email confirm</t>
  </si>
  <si>
    <t xml:space="preserve">Giảm no-show</t>
  </si>
  <si>
    <t xml:space="preserve">Post-tour follow-up</t>
  </si>
  <si>
    <t xml:space="preserve">Tour completed (status changed)</t>
  </si>
  <si>
    <t xml:space="preserve">Thank you SMS 2h + Offer email 24h + Call task 48h</t>
  </si>
  <si>
    <t xml:space="preserve">3 touchpoints</t>
  </si>
  <si>
    <t xml:space="preserve">Tăng Tour→Enroll</t>
  </si>
  <si>
    <t xml:space="preserve">Lost re-engage</t>
  </si>
  <si>
    <t xml:space="preserve">Marked Lost &gt; 30 ngày</t>
  </si>
  <si>
    <t xml:space="preserve">Monthly email + SMS promo | Re-enter pipeline nếu click</t>
  </si>
  <si>
    <t xml:space="preserve">Monthly</t>
  </si>
  <si>
    <t xml:space="preserve">Reactivation</t>
  </si>
  <si>
    <t xml:space="preserve">Webinar sequence</t>
  </si>
  <si>
    <t xml:space="preserve">Webinar registered</t>
  </si>
  <si>
    <t xml:space="preserve">Confirm email + SMS 24h + Zalo 2h + Post-webinar call 24h</t>
  </si>
  <si>
    <t xml:space="preserve">Tăng attend + tour</t>
  </si>
  <si>
    <t xml:space="preserve">Ngày 5</t>
  </si>
  <si>
    <t xml:space="preserve">Scholarship workflow</t>
  </si>
  <si>
    <t xml:space="preserve">Scholarship form submitted</t>
  </si>
  <si>
    <t xml:space="preserve">Auto email confirm + Assign to senior counselor + Task create</t>
  </si>
  <si>
    <t xml:space="preserve">Immediate</t>
  </si>
  <si>
    <t xml:space="preserve">THPT priority</t>
  </si>
  <si>
    <t xml:space="preserve">Webhook → Sheets</t>
  </si>
  <si>
    <t xml:space="preserve">Any status change (qualified/tour/enroll)</t>
  </si>
  <si>
    <t xml:space="preserve">Custom webhook → Middleware → Google Sheets → Birch reads</t>
  </si>
  <si>
    <t xml:space="preserve">Real-time</t>
  </si>
  <si>
    <t xml:space="preserve">Birch data sync</t>
  </si>
  <si>
    <t xml:space="preserve">C. CRM + SALES INTEGRATION</t>
  </si>
  <si>
    <t xml:space="preserve">Mục đích</t>
  </si>
  <si>
    <t xml:space="preserve">Ai dùng</t>
  </si>
  <si>
    <t xml:space="preserve">Pipeline Dashboard</t>
  </si>
  <si>
    <t xml:space="preserve">Kanban view theo campus + cấp</t>
  </si>
  <si>
    <t xml:space="preserve">Theo dõi real-time</t>
  </si>
  <si>
    <t xml:space="preserve">Sales Manager</t>
  </si>
  <si>
    <t xml:space="preserve">Filter by campus</t>
  </si>
  <si>
    <t xml:space="preserve">Conversations</t>
  </si>
  <si>
    <t xml:space="preserve">Unified inbox: SMS + Zalo + Email + FB Messenger</t>
  </si>
  <si>
    <t xml:space="preserve">Tất cả kênh 1 chỗ</t>
  </si>
  <si>
    <t xml:space="preserve">Sales team</t>
  </si>
  <si>
    <t xml:space="preserve">Reply nhanh</t>
  </si>
  <si>
    <t xml:space="preserve">Opportunities</t>
  </si>
  <si>
    <t xml:space="preserve">Gắn giá trị = học phí năm 1 | Track close rate</t>
  </si>
  <si>
    <t xml:space="preserve">Forecast revenue</t>
  </si>
  <si>
    <t xml:space="preserve">Manager + BGH</t>
  </si>
  <si>
    <t xml:space="preserve">Dự báo doanh thu</t>
  </si>
  <si>
    <t xml:space="preserve">Reporting</t>
  </si>
  <si>
    <t xml:space="preserve">Lead by source, campaign, campus | Conversion funnel | SLA tracking</t>
  </si>
  <si>
    <t xml:space="preserve">Đo hiệu quả</t>
  </si>
  <si>
    <t xml:space="preserve">Auto weekly email</t>
  </si>
  <si>
    <t xml:space="preserve">Call tracking</t>
  </si>
  <si>
    <t xml:space="preserve">Ghi âm cuộc gọi + log duration + outcome</t>
  </si>
  <si>
    <t xml:space="preserve">QA + Training</t>
  </si>
  <si>
    <t xml:space="preserve">QA team</t>
  </si>
  <si>
    <t xml:space="preserve">Mystery call chấm điểm</t>
  </si>
  <si>
    <t xml:space="preserve">Review request</t>
  </si>
  <si>
    <t xml:space="preserve">Sau enrollment → auto gửi review link Google Business</t>
  </si>
  <si>
    <t xml:space="preserve">Tăng review organic</t>
  </si>
  <si>
    <t xml:space="preserve">Giúp Local SEO</t>
  </si>
  <si>
    <t xml:space="preserve">D. GHL + BIRCH INTEGRATION CHI TIẾT</t>
  </si>
  <si>
    <t xml:space="preserve">Chi tiết kỹ thuật</t>
  </si>
  <si>
    <t xml:space="preserve">Webhook Setup</t>
  </si>
  <si>
    <t xml:space="preserve">Tạo webhook từ GHL → Google Sheets</t>
  </si>
  <si>
    <t xml:space="preserve">GHL Workflow → Custom Webhook → POST to Sheets API middleware</t>
  </si>
  <si>
    <t xml:space="preserve">Data sync real-time</t>
  </si>
  <si>
    <t xml:space="preserve">GHL + Apps Script</t>
  </si>
  <si>
    <t xml:space="preserve">Middleware Build</t>
  </si>
  <si>
    <t xml:space="preserve">Xây middleware nhận webhook GHL</t>
  </si>
  <si>
    <t xml:space="preserve">Node.js/Apps Script → Parse payload → Write to Google Sheets</t>
  </si>
  <si>
    <t xml:space="preserve">Middleware running 24/7</t>
  </si>
  <si>
    <t xml:space="preserve">Apps Script / Cloud Run</t>
  </si>
  <si>
    <t xml:space="preserve">Ngày 3-4</t>
  </si>
  <si>
    <t xml:space="preserve">Sheet Structure</t>
  </si>
  <si>
    <t xml:space="preserve">Tạo Google Sheet cho Birch đọc</t>
  </si>
  <si>
    <t xml:space="preserve">Columns: Date, Contact ID, Campus, Grade, Source, Campaign, Status, Qualified, Tour, Enrolled</t>
  </si>
  <si>
    <t xml:space="preserve">Sheet ready for Birch</t>
  </si>
  <si>
    <t xml:space="preserve">Google Sheets</t>
  </si>
  <si>
    <t xml:space="preserve">Birch Connect Sheet</t>
  </si>
  <si>
    <t xml:space="preserve">Kết nối Birch với Google Sheets</t>
  </si>
  <si>
    <t xml:space="preserve">Birch Settings → Data Sources → Google Sheets → Share sheet</t>
  </si>
  <si>
    <t xml:space="preserve">Birch reads GHL data</t>
  </si>
  <si>
    <t xml:space="preserve">Custom Metrics Birch</t>
  </si>
  <si>
    <t xml:space="preserve">Tạo metrics kết hợp ads + CRM</t>
  </si>
  <si>
    <t xml:space="preserve">Qualified Rate = Q.Leads/Total Leads | Tour Rate = Tours/Leads | CAC = Spend/Enrolled</t>
  </si>
  <si>
    <t xml:space="preserve">Birch shows CRM metrics</t>
  </si>
  <si>
    <t xml:space="preserve">Birch Custom Metrics</t>
  </si>
  <si>
    <t xml:space="preserve">Auto Scale Rule</t>
  </si>
  <si>
    <t xml:space="preserve">Rule: Scale campaign nếu quality tốt</t>
  </si>
  <si>
    <t xml:space="preserve">IF CPL &lt; target AND Qualified Rate &gt; 50% AND Tour Rate &gt; 20% → Increase budget 15%</t>
  </si>
  <si>
    <t xml:space="preserve">Auto budget increase</t>
  </si>
  <si>
    <t xml:space="preserve">Birch Automation</t>
  </si>
  <si>
    <t xml:space="preserve">Auto Pause Rule</t>
  </si>
  <si>
    <t xml:space="preserve">Rule: Pause nếu quality xấu</t>
  </si>
  <si>
    <t xml:space="preserve">IF CPL &gt; target 30% AND Tour Rate &lt; 10% for 5 days → Pause adset + Alert</t>
  </si>
  <si>
    <t xml:space="preserve">Auto protection</t>
  </si>
  <si>
    <t xml:space="preserve">Campus Alert Rule</t>
  </si>
  <si>
    <t xml:space="preserve">Rule: Alert khi campus hụt target</t>
  </si>
  <si>
    <t xml:space="preserve">IF Campus X enrolled &lt; monthly target 20% by mid-month → Alert Slack</t>
  </si>
  <si>
    <t xml:space="preserve">Campus gap detection</t>
  </si>
  <si>
    <t xml:space="preserve">Meta CAPI Setup</t>
  </si>
  <si>
    <t xml:space="preserve">Conversion API từ GHL → Meta</t>
  </si>
  <si>
    <t xml:space="preserve">GHL Workflow → On status change → POST to Meta CAPI endpoint with event data</t>
  </si>
  <si>
    <t xml:space="preserve">Server-side tracking active</t>
  </si>
  <si>
    <t xml:space="preserve">GHL + Meta CAPI</t>
  </si>
  <si>
    <t xml:space="preserve">Google Offline Conv</t>
  </si>
  <si>
    <t xml:space="preserve">Upload offline conversions Google</t>
  </si>
  <si>
    <t xml:space="preserve">GHL → Tour completed → Upload to Google Ads as offline conversion via API</t>
  </si>
  <si>
    <t xml:space="preserve">Google Ads sees tour data</t>
  </si>
  <si>
    <t xml:space="preserve">GHL + Google Ads API</t>
  </si>
  <si>
    <t xml:space="preserve">Lead Scoring Setup</t>
  </si>
  <si>
    <t xml:space="preserve">Xây lead scoring trong GHL</t>
  </si>
  <si>
    <t xml:space="preserve">Score: +10 form submit, +20 call answered, +30 tour booked, +50 tour attended, -10 no answer 3x</t>
  </si>
  <si>
    <t xml:space="preserve">Lead priority ranking</t>
  </si>
  <si>
    <t xml:space="preserve">GHL Lead Scoring</t>
  </si>
  <si>
    <t xml:space="preserve">Dashboard GHL</t>
  </si>
  <si>
    <t xml:space="preserve">Build dashboard CRM realtime</t>
  </si>
  <si>
    <t xml:space="preserve">Pipeline view + Lead by source + Tour calendar + SLA tracker + Revenue forecast</t>
  </si>
  <si>
    <t xml:space="preserve">Dashboard live</t>
  </si>
  <si>
    <t xml:space="preserve">GHL Dashboard Builder</t>
  </si>
  <si>
    <t xml:space="preserve">Ngày 5-6</t>
  </si>
  <si>
    <t xml:space="preserve">E. GHL + ADS PLATFORMS INTEGRATION MAP</t>
  </si>
  <si>
    <t xml:space="preserve">Nền tảng Ads</t>
  </si>
  <si>
    <t xml:space="preserve">Loại Integration</t>
  </si>
  <si>
    <t xml:space="preserve">Data Flow</t>
  </si>
  <si>
    <t xml:space="preserve">Setup Tool</t>
  </si>
  <si>
    <t xml:space="preserve">Automation</t>
  </si>
  <si>
    <t xml:space="preserve">Lead Form Sync</t>
  </si>
  <si>
    <t xml:space="preserve">Meta Lead Form → GHL (instant)</t>
  </si>
  <si>
    <t xml:space="preserve">Auto-import lead từ Meta form vào GHL pipeline</t>
  </si>
  <si>
    <t xml:space="preserve">GHL Integration + Zapier</t>
  </si>
  <si>
    <t xml:space="preserve">New lead → Auto-assign → Welcome SMS 30s</t>
  </si>
  <si>
    <t xml:space="preserve">CAPI (Server)</t>
  </si>
  <si>
    <t xml:space="preserve">GHL Status Change → Meta CAPI</t>
  </si>
  <si>
    <t xml:space="preserve">Gửi offline events: Qualified, Tour, Enrolled về Meta</t>
  </si>
  <si>
    <t xml:space="preserve">GHL Webhook + Meta CAPI</t>
  </si>
  <si>
    <t xml:space="preserve">Improve Meta optimization + audience quality</t>
  </si>
  <si>
    <t xml:space="preserve">Audience Sync</t>
  </si>
  <si>
    <t xml:space="preserve">GHL Enrolled List → Meta Custom Audience</t>
  </si>
  <si>
    <t xml:space="preserve">Exclude enrolled + Create lookalike từ best leads</t>
  </si>
  <si>
    <t xml:space="preserve">GHL Export + Meta Upload</t>
  </si>
  <si>
    <t xml:space="preserve">Monthly refresh audience exclusion</t>
  </si>
  <si>
    <t xml:space="preserve">Offline Conversion</t>
  </si>
  <si>
    <t xml:space="preserve">GHL Tour/Enroll → Google Ads Offline Conv</t>
  </si>
  <si>
    <t xml:space="preserve">Google Ads optimize cho Tour thay vì chỉ form submit</t>
  </si>
  <si>
    <t xml:space="preserve">GHL → Sheets → Google Ads API</t>
  </si>
  <si>
    <t xml:space="preserve">Weekly upload offline conversions</t>
  </si>
  <si>
    <t xml:space="preserve">Birch Bridge</t>
  </si>
  <si>
    <t xml:space="preserve">GHL → Sheets → Birch → Google Ads</t>
  </si>
  <si>
    <t xml:space="preserve">Birch dùng CRM data để auto-optimize budget</t>
  </si>
  <si>
    <t xml:space="preserve">Birch + Google Sheets</t>
  </si>
  <si>
    <t xml:space="preserve">Auto scale/pause dựa trên CRM quality</t>
  </si>
  <si>
    <t xml:space="preserve">TikTok Lead Form → GHL</t>
  </si>
  <si>
    <t xml:space="preserve">Import TikTok leads vào GHL auto</t>
  </si>
  <si>
    <t xml:space="preserve">Zapier / Make.com</t>
  </si>
  <si>
    <t xml:space="preserve">New lead → Pipeline + Welcome seq</t>
  </si>
  <si>
    <t xml:space="preserve">Pixel Events</t>
  </si>
  <si>
    <t xml:space="preserve">Website → TikTok Pixel → Events</t>
  </si>
  <si>
    <t xml:space="preserve">Track form submit, call click cho TikTok optimization</t>
  </si>
  <si>
    <t xml:space="preserve">GTM + TikTok Pixel</t>
  </si>
  <si>
    <t xml:space="preserve">Event-based optimization</t>
  </si>
  <si>
    <t xml:space="preserve">Zalo Ads</t>
  </si>
  <si>
    <t xml:space="preserve">OA Connect</t>
  </si>
  <si>
    <t xml:space="preserve">Zalo OA → GHL Conversations</t>
  </si>
  <si>
    <t xml:space="preserve">Tất cả Zalo message hiện trong GHL inbox</t>
  </si>
  <si>
    <t xml:space="preserve">GHL Zalo Integration</t>
  </si>
  <si>
    <t xml:space="preserve">Auto-reply + broadcast từ GHL</t>
  </si>
  <si>
    <t xml:space="preserve">Pixel Sync</t>
  </si>
  <si>
    <t xml:space="preserve">Website → Zalo Pixel → Remarketing</t>
  </si>
  <si>
    <t xml:space="preserve">Build Zalo remarketing audience từ web visitors</t>
  </si>
  <si>
    <t xml:space="preserve">GTM + Zalo Pixel</t>
  </si>
  <si>
    <t xml:space="preserve">Retarget OA followers + web visitors</t>
  </si>
  <si>
    <t xml:space="preserve">All Platforms</t>
  </si>
  <si>
    <t xml:space="preserve">UTM Tracking</t>
  </si>
  <si>
    <t xml:space="preserve">UTM params → GHL Custom Fields</t>
  </si>
  <si>
    <t xml:space="preserve">Attribution chính xác: biết lead từ campaign/keyword nào</t>
  </si>
  <si>
    <t xml:space="preserve">GHL Form + Hidden fields</t>
  </si>
  <si>
    <t xml:space="preserve">Auto-capture UTM vào contact record</t>
  </si>
  <si>
    <t xml:space="preserve">Cross-platform</t>
  </si>
  <si>
    <t xml:space="preserve">All Ads → Birch → Rules + Reports</t>
  </si>
  <si>
    <t xml:space="preserve">Quản lý budget, pacing, alerts tất cả ads từ 1 dashboard</t>
  </si>
  <si>
    <t xml:space="preserve">Birch Workspace</t>
  </si>
  <si>
    <t xml:space="preserve">Auto email report T2+T5 cho team</t>
  </si>
  <si>
    <t xml:space="preserve">F. GHL AUTOMATION WORKFLOWS – CHI TIẾT TỪNG BƯỚC</t>
  </si>
  <si>
    <t xml:space="preserve">Action</t>
  </si>
  <si>
    <t xml:space="preserve">Delay</t>
  </si>
  <si>
    <t xml:space="preserve">Channel</t>
  </si>
  <si>
    <t xml:space="preserve">Nội dung tóm tắt</t>
  </si>
  <si>
    <t xml:space="preserve">Condition</t>
  </si>
  <si>
    <t xml:space="preserve">KPI đo</t>
  </si>
  <si>
    <t xml:space="preserve">Welcome Sequence</t>
  </si>
  <si>
    <t xml:space="preserve">SMS gửi ngay</t>
  </si>
  <si>
    <t xml:space="preserve">30 giây</t>
  </si>
  <si>
    <t xml:space="preserve">SMS</t>
  </si>
  <si>
    <t xml:space="preserve">Chào [Tên], cảm ơn bạn quan tâm Việt Anh. Tư vấn viên sẽ gọi trong 5 phút!</t>
  </si>
  <si>
    <t xml:space="preserve">New lead created</t>
  </si>
  <si>
    <t xml:space="preserve">Delivery rate</t>
  </si>
  <si>
    <t xml:space="preserve">Assign to Sales</t>
  </si>
  <si>
    <t xml:space="preserve">1 phút</t>
  </si>
  <si>
    <t xml:space="preserve">Round-robin assign theo campus + grade → Push notification</t>
  </si>
  <si>
    <t xml:space="preserve">Assign time &lt; 2 min</t>
  </si>
  <si>
    <t xml:space="preserve">Zalo message</t>
  </si>
  <si>
    <t xml:space="preserve">5 phút</t>
  </si>
  <si>
    <t xml:space="preserve">Chào [Tên]! Tôi là [Sales]. Rất vui được tư vấn. Bạn quan tâm cấp nào?</t>
  </si>
  <si>
    <t xml:space="preserve">IF Zalo connected</t>
  </si>
  <si>
    <t xml:space="preserve">Reply rate ≥ 25%</t>
  </si>
  <si>
    <t xml:space="preserve">Email brochure</t>
  </si>
  <si>
    <t xml:space="preserve">1 giờ</t>
  </si>
  <si>
    <t xml:space="preserve">Email chào đón + brochure PDF + link website + CTA book tour</t>
  </si>
  <si>
    <t xml:space="preserve">All leads</t>
  </si>
  <si>
    <t xml:space="preserve">Open rate ≥ 30%</t>
  </si>
  <si>
    <t xml:space="preserve">Internal alert</t>
  </si>
  <si>
    <t xml:space="preserve">IF lead chưa được gọi sau 5 min → Alert manager Slack/Zalo</t>
  </si>
  <si>
    <t xml:space="preserve">No call logged</t>
  </si>
  <si>
    <t xml:space="preserve">SLA compliance</t>
  </si>
  <si>
    <t xml:space="preserve">Nurture No-Tour</t>
  </si>
  <si>
    <t xml:space="preserve">SMS nhắc nhẹ</t>
  </si>
  <si>
    <t xml:space="preserve">Day 2</t>
  </si>
  <si>
    <t xml:space="preserve">[Tên] ơi, đã tìm hiểu về trường chưa? Mời bạn đặt lịch tour miễn phí!</t>
  </si>
  <si>
    <t xml:space="preserve">Lead &gt; 48h, no tour booked</t>
  </si>
  <si>
    <t xml:space="preserve">Reply rate</t>
  </si>
  <si>
    <t xml:space="preserve">Zalo article</t>
  </si>
  <si>
    <t xml:space="preserve">Day 4</t>
  </si>
  <si>
    <t xml:space="preserve">Gửi article: "5 tiêu chí chọn trường [Cấp] cho con" + CTA tour</t>
  </si>
  <si>
    <t xml:space="preserve">Still no tour</t>
  </si>
  <si>
    <t xml:space="preserve">Click rate</t>
  </si>
  <si>
    <t xml:space="preserve">Email testimonial</t>
  </si>
  <si>
    <t xml:space="preserve">Day 7</t>
  </si>
  <si>
    <t xml:space="preserve">Email testimonial video PH + campus photos + CTA book tour</t>
  </si>
  <si>
    <t xml:space="preserve">Open + Click</t>
  </si>
  <si>
    <t xml:space="preserve">Task: Gọi điện</t>
  </si>
  <si>
    <t xml:space="preserve">Day 10</t>
  </si>
  <si>
    <t xml:space="preserve">Tạo task cho sales: Gọi [Tên] – lead chưa tour 10 ngày</t>
  </si>
  <si>
    <t xml:space="preserve">Call outcome</t>
  </si>
  <si>
    <t xml:space="preserve">SMS ưu đãi</t>
  </si>
  <si>
    <t xml:space="preserve">Day 14</t>
  </si>
  <si>
    <t xml:space="preserve">Ưu đãi đặc biệt cho [Tên]: Giảm [X]% nếu nộp hồ sơ trong tuần!</t>
  </si>
  <si>
    <t xml:space="preserve">Conv rate</t>
  </si>
  <si>
    <t xml:space="preserve">Post-Tour</t>
  </si>
  <si>
    <t xml:space="preserve">SMS cảm ơn</t>
  </si>
  <si>
    <t xml:space="preserve">2 giờ</t>
  </si>
  <si>
    <t xml:space="preserve">Cảm ơn [Tên] đã đến tham quan! Nếu cần thêm thông tin, nhắn ngay!</t>
  </si>
  <si>
    <t xml:space="preserve">Tour completed</t>
  </si>
  <si>
    <t xml:space="preserve">Email offer</t>
  </si>
  <si>
    <t xml:space="preserve">24 giờ</t>
  </si>
  <si>
    <t xml:space="preserve">Email ưu đãi riêng cho PH đã tour + Deadline hồ sơ + Scholarship info</t>
  </si>
  <si>
    <t xml:space="preserve">Task: Follow-up call</t>
  </si>
  <si>
    <t xml:space="preserve">48 giờ</t>
  </si>
  <si>
    <t xml:space="preserve">Tạo task: Gọi [Tên] hỏi cảm nhận tour + push nộp hồ sơ</t>
  </si>
  <si>
    <t xml:space="preserve">No enrollment</t>
  </si>
  <si>
    <t xml:space="preserve">Zalo reminder</t>
  </si>
  <si>
    <t xml:space="preserve">Day 5</t>
  </si>
  <si>
    <t xml:space="preserve">Nhắc nhẹ: Hạn nộp hồ sơ ưu đãi còn [X] ngày!</t>
  </si>
  <si>
    <t xml:space="preserve">Reply + Conv</t>
  </si>
  <si>
    <t xml:space="preserve">SMS deadline</t>
  </si>
  <si>
    <t xml:space="preserve">Cuối cùng! Ưu đãi [X]% hết hạn [Ngày]. Nộp hồ sơ ngay!</t>
  </si>
  <si>
    <t xml:space="preserve">GOOGLE TAG MANAGER – TRACKING SETUP TOÀN BỘ KÊNH</t>
  </si>
  <si>
    <t xml:space="preserve">A. TAGS CẦN CÀI TRONG GTM</t>
  </si>
  <si>
    <t xml:space="preserve">Tag</t>
  </si>
  <si>
    <t xml:space="preserve">Platform</t>
  </si>
  <si>
    <t xml:space="preserve">GA4 Config</t>
  </si>
  <si>
    <t xml:space="preserve">GA4 Configuration</t>
  </si>
  <si>
    <t xml:space="preserve">Google Analytics</t>
  </si>
  <si>
    <t xml:space="preserve">All Pages</t>
  </si>
  <si>
    <t xml:space="preserve">GA4 property chính</t>
  </si>
  <si>
    <t xml:space="preserve">GA4 - form_submit</t>
  </si>
  <si>
    <t xml:space="preserve">GA4 Event</t>
  </si>
  <si>
    <t xml:space="preserve">Form submission (all LPs)</t>
  </si>
  <si>
    <t xml:space="preserve">Khi form được submit</t>
  </si>
  <si>
    <t xml:space="preserve">GA4 - click_call</t>
  </si>
  <si>
    <t xml:space="preserve">Click on tel: links</t>
  </si>
  <si>
    <t xml:space="preserve">Bấm gọi hotline</t>
  </si>
  <si>
    <t xml:space="preserve">GA4 - click_zalo</t>
  </si>
  <si>
    <t xml:space="preserve">Click on Zalo widget/link</t>
  </si>
  <si>
    <t xml:space="preserve">Bấm Zalo</t>
  </si>
  <si>
    <t xml:space="preserve">GA4 - webinar_register</t>
  </si>
  <si>
    <t xml:space="preserve">Webinar form submit</t>
  </si>
  <si>
    <t xml:space="preserve">Đăng ký webinar</t>
  </si>
  <si>
    <t xml:space="preserve">GA4 - scholarship_click</t>
  </si>
  <si>
    <t xml:space="preserve">Click scholarship CTA</t>
  </si>
  <si>
    <t xml:space="preserve">THPT scholarship</t>
  </si>
  <si>
    <t xml:space="preserve">Meta Pixel Base</t>
  </si>
  <si>
    <t xml:space="preserve">Custom HTML</t>
  </si>
  <si>
    <t xml:space="preserve">Pixel ID + PageView event</t>
  </si>
  <si>
    <t xml:space="preserve">Meta - Lead</t>
  </si>
  <si>
    <t xml:space="preserve">Form submission</t>
  </si>
  <si>
    <t xml:space="preserve">Conversion event cho Meta</t>
  </si>
  <si>
    <t xml:space="preserve">Meta - ViewContent</t>
  </si>
  <si>
    <t xml:space="preserve">LP Page View</t>
  </si>
  <si>
    <t xml:space="preserve">Content view tracking</t>
  </si>
  <si>
    <t xml:space="preserve">Meta - CompleteRegistration</t>
  </si>
  <si>
    <t xml:space="preserve">Thank you page view</t>
  </si>
  <si>
    <t xml:space="preserve">Tour/webinar confirmed</t>
  </si>
  <si>
    <t xml:space="preserve">TikTok Pixel Base</t>
  </si>
  <si>
    <t xml:space="preserve">Pixel ID + PageView</t>
  </si>
  <si>
    <t xml:space="preserve">TikTok - ClickButton</t>
  </si>
  <si>
    <t xml:space="preserve">CTA button clicks</t>
  </si>
  <si>
    <t xml:space="preserve">Track engagement</t>
  </si>
  <si>
    <t xml:space="preserve">TikTok - SubmitForm</t>
  </si>
  <si>
    <t xml:space="preserve">Lead event</t>
  </si>
  <si>
    <t xml:space="preserve">Google Ads Conversion</t>
  </si>
  <si>
    <t xml:space="preserve">Form submission + Call click</t>
  </si>
  <si>
    <t xml:space="preserve">Conversion tracking chính</t>
  </si>
  <si>
    <t xml:space="preserve">Google Ads Remarketing</t>
  </si>
  <si>
    <t xml:space="preserve">Audience building</t>
  </si>
  <si>
    <t xml:space="preserve">Zalo Pixel</t>
  </si>
  <si>
    <t xml:space="preserve">All Pages + Form</t>
  </si>
  <si>
    <t xml:space="preserve">Zalo Ads tracking</t>
  </si>
  <si>
    <t xml:space="preserve">B. TRIGGERS CẦN TẠO</t>
  </si>
  <si>
    <t xml:space="preserve">Dùng cho tags</t>
  </si>
  <si>
    <t xml:space="preserve">Page View</t>
  </si>
  <si>
    <t xml:space="preserve">Mọi trang</t>
  </si>
  <si>
    <t xml:space="preserve">GA4, Meta, TikTok, Google Ads RMKT, Zalo</t>
  </si>
  <si>
    <t xml:space="preserve">Base trigger</t>
  </si>
  <si>
    <t xml:space="preserve">Form Submit - All</t>
  </si>
  <si>
    <t xml:space="preserve">Form Submission</t>
  </si>
  <si>
    <t xml:space="preserve">Form ID contains 'ghl' hoặc class</t>
  </si>
  <si>
    <t xml:space="preserve">GA4 form, Meta Lead, TikTok Submit, GG Ads Conv</t>
  </si>
  <si>
    <t xml:space="preserve">Tất cả form trên LP</t>
  </si>
  <si>
    <t xml:space="preserve">Click Call</t>
  </si>
  <si>
    <t xml:space="preserve">Click - Just Links</t>
  </si>
  <si>
    <t xml:space="preserve">Click URL contains 'tel:'</t>
  </si>
  <si>
    <t xml:space="preserve">GA4 click_call, Google Ads call conv</t>
  </si>
  <si>
    <t xml:space="preserve">Hotline click</t>
  </si>
  <si>
    <t xml:space="preserve">Click Zalo</t>
  </si>
  <si>
    <t xml:space="preserve">Click URL contains 'zalo.me'</t>
  </si>
  <si>
    <t xml:space="preserve">GA4 click_zalo</t>
  </si>
  <si>
    <t xml:space="preserve">Zalo widget click</t>
  </si>
  <si>
    <t xml:space="preserve">Click CTA Button</t>
  </si>
  <si>
    <t xml:space="preserve">Click - All Elements</t>
  </si>
  <si>
    <t xml:space="preserve">CSS selector cho CTA buttons</t>
  </si>
  <si>
    <t xml:space="preserve">TikTok ClickButton</t>
  </si>
  <si>
    <t xml:space="preserve">Tour / tư vấn buttons</t>
  </si>
  <si>
    <t xml:space="preserve">Thank You Page</t>
  </si>
  <si>
    <t xml:space="preserve">Page URL contains '/thank-you' hoặc '/cam-on'</t>
  </si>
  <si>
    <t xml:space="preserve">Meta CompleteReg, GA4 conversion</t>
  </si>
  <si>
    <t xml:space="preserve">Sau form submit</t>
  </si>
  <si>
    <t xml:space="preserve">Webinar Form</t>
  </si>
  <si>
    <t xml:space="preserve">Form contains 'webinar'</t>
  </si>
  <si>
    <t xml:space="preserve">GA4 webinar_register</t>
  </si>
  <si>
    <t xml:space="preserve">Chỉ webinar forms</t>
  </si>
  <si>
    <t xml:space="preserve">Scholarship CTA</t>
  </si>
  <si>
    <t xml:space="preserve">Element contains 'scholarship' / 'hoc-bong'</t>
  </si>
  <si>
    <t xml:space="preserve">GA4 scholarship_click</t>
  </si>
  <si>
    <t xml:space="preserve">THPT only</t>
  </si>
  <si>
    <t xml:space="preserve">LỊCH CÔNG VIỆC MARKETER – HÀNG NGÀY / TUẦN / THÁNG / QUÝ / NĂM</t>
  </si>
  <si>
    <t xml:space="preserve">A. CÔNG VIỆC HÀNG NGÀY (MỖI NGÀY LÀM VIỆC)</t>
  </si>
  <si>
    <t xml:space="preserve">Checklist</t>
  </si>
  <si>
    <t xml:space="preserve">Kiểm tra spend vs budget</t>
  </si>
  <si>
    <t xml:space="preserve">Login Birch → check pacing alert | Nếu overspend → giảm</t>
  </si>
  <si>
    <t xml:space="preserve">8:00-8:15</t>
  </si>
  <si>
    <t xml:space="preserve">Rà search terms</t>
  </si>
  <si>
    <t xml:space="preserve">Birch Explorer → Search terms | Thêm negative nếu cần</t>
  </si>
  <si>
    <t xml:space="preserve">8:15-8:30</t>
  </si>
  <si>
    <t xml:space="preserve">Kiểm tra CPL và lead volume</t>
  </si>
  <si>
    <t xml:space="preserve">Birch hoặc Meta Ads Manager → check CPL by campaign</t>
  </si>
  <si>
    <t xml:space="preserve">8:30-8:45</t>
  </si>
  <si>
    <t xml:space="preserve">Kiểm tra CPV và engagement</t>
  </si>
  <si>
    <t xml:space="preserve">TikTok Ads Manager → check Spark Ads performance</t>
  </si>
  <si>
    <t xml:space="preserve">8:45-9:00</t>
  </si>
  <si>
    <t xml:space="preserve">GHL/CRM</t>
  </si>
  <si>
    <t xml:space="preserve">Kiểm tra lead mới từ đêm qua</t>
  </si>
  <si>
    <t xml:space="preserve">GHL Dashboard → New leads → Verify source tags đúng</t>
  </si>
  <si>
    <t xml:space="preserve">9:00-9:15</t>
  </si>
  <si>
    <t xml:space="preserve">Marketing Manager</t>
  </si>
  <si>
    <t xml:space="preserve">Check SLA phản hồi</t>
  </si>
  <si>
    <t xml:space="preserve">GHL → Pipeline → Lead chưa được gọi &gt; 5 phút → escalate</t>
  </si>
  <si>
    <t xml:space="preserve">9:15-9:30</t>
  </si>
  <si>
    <t xml:space="preserve">Đăng bài social media</t>
  </si>
  <si>
    <t xml:space="preserve">3-4 bài/ngày: FB + IG + TikTok organic | Dùng kho 2,000 bài</t>
  </si>
  <si>
    <t xml:space="preserve">9:30-10:30</t>
  </si>
  <si>
    <t xml:space="preserve">Kiểm tra Zalo OA messages</t>
  </si>
  <si>
    <t xml:space="preserve">Reply tin nhắn mới + Check broadcast schedule</t>
  </si>
  <si>
    <t xml:space="preserve">10:30-11:00</t>
  </si>
  <si>
    <t xml:space="preserve">Content/Sales</t>
  </si>
  <si>
    <t xml:space="preserve">All</t>
  </si>
  <si>
    <t xml:space="preserve">Báo cáo nhanh buổi sáng</t>
  </si>
  <si>
    <t xml:space="preserve">Gửi Slack/Zalo group: lead hôm qua, booked tour, spend</t>
  </si>
  <si>
    <t xml:space="preserve">11:00-11:15</t>
  </si>
  <si>
    <t xml:space="preserve">Sync với Sales</t>
  </si>
  <si>
    <t xml:space="preserve">15 phút meeting: lead quality, objection, tour feedback</t>
  </si>
  <si>
    <t xml:space="preserve">14:00-14:15</t>
  </si>
  <si>
    <t xml:space="preserve">MM + Sales Lead</t>
  </si>
  <si>
    <t xml:space="preserve">B. CÔNG VIỆC HÀNG TUẦN (MỖI THỨ HAI + THỨ NĂM)</t>
  </si>
  <si>
    <t xml:space="preserve">Tối ưu bidding</t>
  </si>
  <si>
    <t xml:space="preserve">Review CPA targets | Adjust bids by campaign | Pause KW yếu</t>
  </si>
  <si>
    <t xml:space="preserve">Thứ 2</t>
  </si>
  <si>
    <t xml:space="preserve">Cập nhật negative KW</t>
  </si>
  <si>
    <t xml:space="preserve">Rà search terms tuần | Thêm negative | Check quality score</t>
  </si>
  <si>
    <t xml:space="preserve">A/B test creative</t>
  </si>
  <si>
    <t xml:space="preserve">Test 2 creative mới / tuần | Compare CTR, CPL, quality</t>
  </si>
  <si>
    <t xml:space="preserve">Performance + Content</t>
  </si>
  <si>
    <t xml:space="preserve">Upload video mới</t>
  </si>
  <si>
    <t xml:space="preserve">2-3 video mới từ kho testimonial | Test hook mới</t>
  </si>
  <si>
    <t xml:space="preserve">Broadcast schedule</t>
  </si>
  <si>
    <t xml:space="preserve">Lên lịch broadcast tour/ưu đãi cho tuần | Segment by campus</t>
  </si>
  <si>
    <t xml:space="preserve">Pipeline review</t>
  </si>
  <si>
    <t xml:space="preserve">Rà pipeline: leads stuck, overdue follow-ups, tour no-shows</t>
  </si>
  <si>
    <t xml:space="preserve">MM + Sales</t>
  </si>
  <si>
    <t xml:space="preserve">Review rules</t>
  </si>
  <si>
    <t xml:space="preserve">Kiểm tra rules nào fired | CPL alerts | Budget pacing</t>
  </si>
  <si>
    <t xml:space="preserve">Báo cáo tuần</t>
  </si>
  <si>
    <t xml:space="preserve">Weekly report: spend, leads, tours, enrollments by campus</t>
  </si>
  <si>
    <t xml:space="preserve">Thứ 5</t>
  </si>
  <si>
    <t xml:space="preserve">Họp tuần MKT + Sales</t>
  </si>
  <si>
    <t xml:space="preserve">30 phút: KPI review, blockers, campus feedback, action items</t>
  </si>
  <si>
    <t xml:space="preserve">All team</t>
  </si>
  <si>
    <t xml:space="preserve">Check Google Business</t>
  </si>
  <si>
    <t xml:space="preserve">Reply reviews mới | Post bài mới | Check info chính xác</t>
  </si>
  <si>
    <t xml:space="preserve">C. CÔNG VIỆC HÀNG THÁNG</t>
  </si>
  <si>
    <t xml:space="preserve">Monthly report</t>
  </si>
  <si>
    <t xml:space="preserve">Tổng spend, leads, tours, enrollments, CAC by campus + channel</t>
  </si>
  <si>
    <t xml:space="preserve">Ngày 1-3</t>
  </si>
  <si>
    <t xml:space="preserve">MM</t>
  </si>
  <si>
    <t xml:space="preserve">Cấu trúc lại campaigns</t>
  </si>
  <si>
    <t xml:space="preserve">Pause campaigns yếu | Tạo campaigns mới nếu cần | Shift budget</t>
  </si>
  <si>
    <t xml:space="preserve">Ngày 1-5</t>
  </si>
  <si>
    <t xml:space="preserve">Refresh audiences</t>
  </si>
  <si>
    <t xml:space="preserve">Update Lookalike | Refresh Custom audiences | Exclude enrolled</t>
  </si>
  <si>
    <t xml:space="preserve">Content refresh</t>
  </si>
  <si>
    <t xml:space="preserve">Quay 3-5 video mới nếu cần | Update Spark Ads library</t>
  </si>
  <si>
    <t xml:space="preserve">Ngày 5-10</t>
  </si>
  <si>
    <t xml:space="preserve">Content + Campus</t>
  </si>
  <si>
    <t xml:space="preserve">CRM cleanup</t>
  </si>
  <si>
    <t xml:space="preserve">Merge duplicates | Update lost reasons | Archive old leads</t>
  </si>
  <si>
    <t xml:space="preserve">Sales + MM</t>
  </si>
  <si>
    <t xml:space="preserve">Automation review</t>
  </si>
  <si>
    <t xml:space="preserve">Kiểm tra workflow performance | Adjust nurture timing | Test SMS</t>
  </si>
  <si>
    <t xml:space="preserve">Rule optimization</t>
  </si>
  <si>
    <t xml:space="preserve">Review rule performance | Adjust thresholds | Add new rules</t>
  </si>
  <si>
    <t xml:space="preserve">Họp tháng với BGH</t>
  </si>
  <si>
    <t xml:space="preserve">CAC, ROI, campus performance, budget shift proposal, next month plan</t>
  </si>
  <si>
    <t xml:space="preserve">Ngày 5-7</t>
  </si>
  <si>
    <t xml:space="preserve">MM + BGH</t>
  </si>
  <si>
    <t xml:space="preserve">Kế hoạch content tháng sau</t>
  </si>
  <si>
    <t xml:space="preserve">Calendar editorial: 90 bài social + 4-8 blog + video plan</t>
  </si>
  <si>
    <t xml:space="preserve">Ngày 25-30</t>
  </si>
  <si>
    <t xml:space="preserve">Content Lead</t>
  </si>
  <si>
    <t xml:space="preserve">GMB monthly update</t>
  </si>
  <si>
    <t xml:space="preserve">Cập nhật ảnh, bài viết, sự kiện cho 6 cơ sở | Review response</t>
  </si>
  <si>
    <t xml:space="preserve">Ngày 15</t>
  </si>
  <si>
    <t xml:space="preserve">D. CÔNG VIỆC HÀNG QUÝ</t>
  </si>
  <si>
    <t xml:space="preserve">Review chiến lược tổng</t>
  </si>
  <si>
    <t xml:space="preserve">So sánh KPI thực vs plan | Điều chỉnh mix kênh | Shift budget</t>
  </si>
  <si>
    <t xml:space="preserve">Audit toàn bộ tracking</t>
  </si>
  <si>
    <t xml:space="preserve">GTM audit: tất cả tags fire đúng? | Pixel health check | CAPI verify</t>
  </si>
  <si>
    <t xml:space="preserve">Performance + Dev</t>
  </si>
  <si>
    <t xml:space="preserve">Competitor analysis</t>
  </si>
  <si>
    <t xml:space="preserve">Rà đối thủ: ads library, keyword, LP, ưu đãi, positioning</t>
  </si>
  <si>
    <t xml:space="preserve">Content audit</t>
  </si>
  <si>
    <t xml:space="preserve">Rà kho content: video nào perform tốt? Bài nào traffic cao? | Gap analysis</t>
  </si>
  <si>
    <t xml:space="preserve">CRM &amp; automation review</t>
  </si>
  <si>
    <t xml:space="preserve">Workflow nào convert tốt? Nurture nào cần sửa? SLA trend?</t>
  </si>
  <si>
    <t xml:space="preserve">Training team</t>
  </si>
  <si>
    <t xml:space="preserve">Cập nhật kỹ năng: Google Ads mới, Meta policy, TikTok trends, GHL features</t>
  </si>
  <si>
    <t xml:space="preserve">E. CÔNG VIỆC HÀNG NĂM (CUỐI MÙA)</t>
  </si>
  <si>
    <t xml:space="preserve">Post-mortem toàn chiến dịch</t>
  </si>
  <si>
    <t xml:space="preserve">Tổng kết: spend, leads, tours, enrollments, CAC, ROI theo campus + kênh</t>
  </si>
  <si>
    <t xml:space="preserve">MM + Sales + BGH</t>
  </si>
  <si>
    <t xml:space="preserve">Lưu playbook</t>
  </si>
  <si>
    <t xml:space="preserve">Ghi lại: top campaigns, top keywords, top creatives, best practices, lessons learned</t>
  </si>
  <si>
    <t xml:space="preserve">Chuẩn bị mùa sau</t>
  </si>
  <si>
    <t xml:space="preserve">Budget proposal + Channel mix + Campus priority + Content plan cho năm sau</t>
  </si>
  <si>
    <t xml:space="preserve">Cập nhật assets</t>
  </si>
  <si>
    <t xml:space="preserve">Refresh video, ảnh, testimonial mới | Quay phụ huynh mới nhập học</t>
  </si>
  <si>
    <t xml:space="preserve">Review tools &amp; contracts</t>
  </si>
  <si>
    <t xml:space="preserve">GHL, Birch, domain, hosting, SMS credits, Zalo OA | Renew/upgrade nếu cần</t>
  </si>
  <si>
    <t xml:space="preserve">MM + IT</t>
  </si>
  <si>
    <t xml:space="preserve">TIMELINE GIẢI NGÂN 03-09/2026</t>
  </si>
  <si>
    <t xml:space="preserve">Trọng tâm</t>
  </si>
  <si>
    <t xml:space="preserve">Checkpoint</t>
  </si>
  <si>
    <t xml:space="preserve">26/03–31/03</t>
  </si>
  <si>
    <t xml:space="preserve">Setup Birch+GHL+GTM+Pixel+LP</t>
  </si>
  <si>
    <t xml:space="preserve">Tracking live</t>
  </si>
  <si>
    <t xml:space="preserve">Go/No-go 31/03</t>
  </si>
  <si>
    <t xml:space="preserve">Tháng 4</t>
  </si>
  <si>
    <t xml:space="preserve">Meta+TikTok mở phủ | Webinar #1-2 | Tour #1-3</t>
  </si>
  <si>
    <t xml:space="preserve">1,400 leads/420 tours</t>
  </si>
  <si>
    <t xml:space="preserve">CPL review tuần 2</t>
  </si>
  <si>
    <t xml:space="preserve">Tháng 5</t>
  </si>
  <si>
    <t xml:space="preserve">Scale paid | Open Day #1 | Zalo broadcast tỉnh</t>
  </si>
  <si>
    <t xml:space="preserve">2,400 leads/720 tours</t>
  </si>
  <si>
    <t xml:space="preserve">Lead→Tour&lt;25%→dừng</t>
  </si>
  <si>
    <t xml:space="preserve">Tháng 6</t>
  </si>
  <si>
    <t xml:space="preserve">Tour cao điểm | Remarket mạnh | Open Day #2</t>
  </si>
  <si>
    <t xml:space="preserve">2,800 leads/840 tours</t>
  </si>
  <si>
    <t xml:space="preserve">Check 53% target</t>
  </si>
  <si>
    <t xml:space="preserve">Tháng 7</t>
  </si>
  <si>
    <t xml:space="preserve">Chốt sale | Học bổng cuối | Pipeline GHL</t>
  </si>
  <si>
    <t xml:space="preserve">&lt;73%→dự phòng</t>
  </si>
  <si>
    <t xml:space="preserve">Tháng 8</t>
  </si>
  <si>
    <t xml:space="preserve">Vét cuối | Retarget database</t>
  </si>
  <si>
    <t xml:space="preserve">1,200 leads/360 tours</t>
  </si>
  <si>
    <t xml:space="preserve">Gần đạt target</t>
  </si>
  <si>
    <t xml:space="preserve">Tháng 9</t>
  </si>
  <si>
    <t xml:space="preserve">Late intake | Chuyển trường | Brand defense</t>
  </si>
  <si>
    <t xml:space="preserve">400 leads/120 tours</t>
  </si>
  <si>
    <t xml:space="preserve">Post-mortem</t>
  </si>
  <si>
    <t xml:space="preserve">DANH BẠ CƠ SỞ (BỎ PHÚ NHUẬN – CẬP NHẬT ĐỊA GIỚI MỚI)</t>
  </si>
  <si>
    <t xml:space="preserve">Khu vực</t>
  </si>
  <si>
    <t xml:space="preserve">Tên trường</t>
  </si>
  <si>
    <t xml:space="preserve">TP.HCM</t>
  </si>
  <si>
    <t xml:space="preserve">Việt Anh Gò Vấp</t>
  </si>
  <si>
    <t xml:space="preserve">TH+THCS+THPT</t>
  </si>
  <si>
    <t xml:space="preserve">160/72 Phan Huy Ích, Gò Vấp</t>
  </si>
  <si>
    <t xml:space="preserve">✅</t>
  </si>
  <si>
    <t xml:space="preserve">Cơ sở lớn, 3 cấp</t>
  </si>
  <si>
    <t xml:space="preserve">Việt Anh Bình Tân</t>
  </si>
  <si>
    <t xml:space="preserve">Tiểu học</t>
  </si>
  <si>
    <t xml:space="preserve">Số 7 đường 38A, Tân Tạo, Bình Tân</t>
  </si>
  <si>
    <t xml:space="preserve">Khu đông dân</t>
  </si>
  <si>
    <t xml:space="preserve">MN Việt Anh Gò Vấp</t>
  </si>
  <si>
    <t xml:space="preserve">Mầm non</t>
  </si>
  <si>
    <t xml:space="preserve">573 Đ. Lê Đức Thọ, P. An Hội Tây, Gò Vấp</t>
  </si>
  <si>
    <t xml:space="preserve">Flagship MN</t>
  </si>
  <si>
    <t xml:space="preserve">Tây Ninh</t>
  </si>
  <si>
    <t xml:space="preserve">22 Đường D2, KDC Cần Giuộc, Tây Ninh</t>
  </si>
  <si>
    <t xml:space="preserve">Cần Giuộc → Tây Ninh</t>
  </si>
  <si>
    <t xml:space="preserve">An Giang</t>
  </si>
  <si>
    <t xml:space="preserve">Lô E7, KĐT Tây Bắc, TP. Rạch Giá, An Giang</t>
  </si>
  <si>
    <t xml:space="preserve">Rạch Giá → An Giang</t>
  </si>
  <si>
    <t xml:space="preserve">⚠️ Phú Nhuận ĐÃ BỎ (sắp đóng cửa). Ngân sách Phú Nhuận phân bổ lại cho các cơ sở còn lại.</t>
  </si>
  <si>
    <t xml:space="preserve">📌 Cần Giuộc → thuộc tỉnh TÂY NINH (trước là Long An). Rạch Giá → thuộc tỉnh AN GIANG (trước là Kiên Giang).</t>
  </si>
  <si>
    <t xml:space="preserve">KẾ HOẠCH ZALO ADS + ZALO OA – NURTURE LOCAL + BROADCAST</t>
  </si>
  <si>
    <t xml:space="preserve">A. ZALO ADS CAMPAIGNS</t>
  </si>
  <si>
    <t xml:space="preserve">GHL Integration</t>
  </si>
  <si>
    <t xml:space="preserve">Zalo_MN_Local</t>
  </si>
  <si>
    <t xml:space="preserve">Geo Gò Vấp+Tỉnh | Age 25-40 | Interest Parenting</t>
  </si>
  <si>
    <t xml:space="preserve">Image+text: Tour invitation, campus ảnh, ưu đãi</t>
  </si>
  <si>
    <t xml:space="preserve">Open ≥ 40% | CTR ≥ 5%</t>
  </si>
  <si>
    <t xml:space="preserve">Lead → Pipeline MN</t>
  </si>
  <si>
    <t xml:space="preserve">Zalo Pixel via GTM</t>
  </si>
  <si>
    <t xml:space="preserve">Zalo_TH_Local</t>
  </si>
  <si>
    <t xml:space="preserve">Geo Gò Vấp+BT+Tỉnh | Age 28-45</t>
  </si>
  <si>
    <t xml:space="preserve">Image+text: Tuyển sinh lớp 1, chương trình</t>
  </si>
  <si>
    <t xml:space="preserve">Open ≥ 35% | CTR ≥ 4%</t>
  </si>
  <si>
    <t xml:space="preserve">Lead → Pipeline TH</t>
  </si>
  <si>
    <t xml:space="preserve">Zalo_THCS_THPT</t>
  </si>
  <si>
    <t xml:space="preserve">Geo TP.HCM | Age 30-55</t>
  </si>
  <si>
    <t xml:space="preserve">Webinar invite, lộ trình, học bổng</t>
  </si>
  <si>
    <t xml:space="preserve">Open ≥ 35% | Reg ≥ 3%</t>
  </si>
  <si>
    <t xml:space="preserve">Lead → Pipeline THCS/THPT</t>
  </si>
  <si>
    <t xml:space="preserve">Zalo_Remarketing</t>
  </si>
  <si>
    <t xml:space="preserve">OA followers + Web visitors</t>
  </si>
  <si>
    <t xml:space="preserve">Tour reminder, ưu đãi cuối, deadline</t>
  </si>
  <si>
    <t xml:space="preserve">Conv ≥ 5%</t>
  </si>
  <si>
    <t xml:space="preserve">Retarget pipeline</t>
  </si>
  <si>
    <t xml:space="preserve">B. ZALO OA SETUP + BROADCAST</t>
  </si>
  <si>
    <t xml:space="preserve">Tạo/Verify Zalo OA</t>
  </si>
  <si>
    <t xml:space="preserve">1 OA chính cho hệ thống Việt Anh | Verify business</t>
  </si>
  <si>
    <t xml:space="preserve">Kết nối GHL</t>
  </si>
  <si>
    <t xml:space="preserve">API Zalo OA → GHL | Auto-reply + Broadcast + Nurture</t>
  </si>
  <si>
    <t xml:space="preserve">Tạo menu auto-reply</t>
  </si>
  <si>
    <t xml:space="preserve">Menu: Tư vấn MN | TH | THCS | THPT | Học phí | Tour | Hotline</t>
  </si>
  <si>
    <t xml:space="preserve">Tạo 8 broadcast templates</t>
  </si>
  <si>
    <t xml:space="preserve">Welcome, Tour invite, Tour reminder, Ưu đãi, Webinar, Scholarship, Thank you, Re-engage</t>
  </si>
  <si>
    <t xml:space="preserve">Segment followers</t>
  </si>
  <si>
    <t xml:space="preserve">By campus, cấp, trạng thái lead | Auto-tag từ GHL</t>
  </si>
  <si>
    <t xml:space="preserve">Lịch broadcast tuần</t>
  </si>
  <si>
    <t xml:space="preserve">Thứ 3: Tour invite | Thứ 6: Ưu đãi/content | Trước webinar: Reminder</t>
  </si>
  <si>
    <t xml:space="preserve">Cài Zalo Pixel qua GTM</t>
  </si>
  <si>
    <t xml:space="preserve">Custom HTML tag trong GTM | Events: PageView, Lead, Form</t>
  </si>
  <si>
    <t xml:space="preserve">C. CHIẾN LƯỢC CONTENT ZALO OA – 8 MẪU BROADCAST</t>
  </si>
  <si>
    <t xml:space="preserve">Template Name</t>
  </si>
  <si>
    <t xml:space="preserve">Nội dung mẫu</t>
  </si>
  <si>
    <t xml:space="preserve">Segment gửi</t>
  </si>
  <si>
    <t xml:space="preserve">GHL Trigger</t>
  </si>
  <si>
    <t xml:space="preserve">Welcome Message</t>
  </si>
  <si>
    <t xml:space="preserve">Chào đón lead mới</t>
  </si>
  <si>
    <t xml:space="preserve">Chào [Tên]! Cảm ơn bạn quan tâm Trường Việt Anh. Chúng tôi có MN, TH, THCS, THPT tại 8 cơ sở. Nhấn menu để tìm hiểu thêm!</t>
  </si>
  <si>
    <t xml:space="preserve">Chọn cấp học quan tâm</t>
  </si>
  <si>
    <t xml:space="preserve">New OA follower</t>
  </si>
  <si>
    <t xml:space="preserve">Auto (khi follow)</t>
  </si>
  <si>
    <t xml:space="preserve">New contact → Welcome seq</t>
  </si>
  <si>
    <t xml:space="preserve">Reply rate ≥ 30%</t>
  </si>
  <si>
    <t xml:space="preserve">Tour Invitation</t>
  </si>
  <si>
    <t xml:space="preserve">Mời tham quan trường</t>
  </si>
  <si>
    <t xml:space="preserve">[Tên] ơi, cuối tuần này Việt Anh mở cửa đón PH tham quan. Cơ sở [Campus]: [Địa chỉ]. Đăng ký tour tại đây!</t>
  </si>
  <si>
    <t xml:space="preserve">Đăng ký tour ngay</t>
  </si>
  <si>
    <t xml:space="preserve">Lead chưa book tour</t>
  </si>
  <si>
    <t xml:space="preserve">2 lần/tuần (T3, T6)</t>
  </si>
  <si>
    <t xml:space="preserve">Lead &gt; 48h no tour</t>
  </si>
  <si>
    <t xml:space="preserve">Tour booked rate ≥ 8%</t>
  </si>
  <si>
    <t xml:space="preserve">Tour Reminder</t>
  </si>
  <si>
    <t xml:space="preserve">Nhắc lịch tour</t>
  </si>
  <si>
    <t xml:space="preserve">[Tên] ơi, lịch tham quan trường của bạn vào [Ngày] lúc [Giờ] tại [Campus]. Chúng tôi rất mong gặp bạn!</t>
  </si>
  <si>
    <t xml:space="preserve">Xác nhận tham dự</t>
  </si>
  <si>
    <t xml:space="preserve">Lead đã book tour</t>
  </si>
  <si>
    <t xml:space="preserve">Auto (48h + 2h trước)</t>
  </si>
  <si>
    <t xml:space="preserve">Tour booked trigger</t>
  </si>
  <si>
    <t xml:space="preserve">Show-up rate ≥ 70%</t>
  </si>
  <si>
    <t xml:space="preserve">Ưu đãi tuyển sinh</t>
  </si>
  <si>
    <t xml:space="preserve">Push ưu đãi/học bổng</t>
  </si>
  <si>
    <t xml:space="preserve">Tin vui! Việt Anh dành ưu đãi [%] cho hồ sơ nộp trước [Deadline]. Áp dụng [Cấp]. Liên hệ ngay!</t>
  </si>
  <si>
    <t xml:space="preserve">Nhận ưu đãi ngay</t>
  </si>
  <si>
    <t xml:space="preserve">Lead qualified chưa enroll</t>
  </si>
  <si>
    <t xml:space="preserve">1-2 lần/tháng</t>
  </si>
  <si>
    <t xml:space="preserve">Manual schedule</t>
  </si>
  <si>
    <t xml:space="preserve">CTR ≥ 5%</t>
  </si>
  <si>
    <t xml:space="preserve">Webinar Invitation</t>
  </si>
  <si>
    <t xml:space="preserve">Mời dự hội thảo online</t>
  </si>
  <si>
    <t xml:space="preserve">Hội thảo "[Tên WB]" – [Ngày] lúc [Giờ]. Chủ đề: [Topic]. Đăng ký miễn phí ngay!</t>
  </si>
  <si>
    <t xml:space="preserve">Lead theo cấp phù hợp</t>
  </si>
  <si>
    <t xml:space="preserve">Trước WB 7 ngày + 2 ngày</t>
  </si>
  <si>
    <t xml:space="preserve">Reg rate ≥ 5%</t>
  </si>
  <si>
    <t xml:space="preserve">Scholarship Alert</t>
  </si>
  <si>
    <t xml:space="preserve">Thông báo học bổng</t>
  </si>
  <si>
    <t xml:space="preserve">Chương trình học bổng [Cấp] 2026 đã mở đăng ký! Giá trị đến [X]%. Deadline: [Ngày]. Đăng ký thi ngay!</t>
  </si>
  <si>
    <t xml:space="preserve">Đăng ký thi HB</t>
  </si>
  <si>
    <t xml:space="preserve">THCS/THPT leads</t>
  </si>
  <si>
    <t xml:space="preserve">1 lần/tháng</t>
  </si>
  <si>
    <t xml:space="preserve">Manual</t>
  </si>
  <si>
    <t xml:space="preserve">Reg rate ≥ 8%</t>
  </si>
  <si>
    <t xml:space="preserve">Thank You / Post-tour</t>
  </si>
  <si>
    <t xml:space="preserve">Cảm ơn sau tour</t>
  </si>
  <si>
    <t xml:space="preserve">Cảm ơn [Tên] đã đến tham quan Việt Anh! Hy vọng bạn ấn tượng. Nếu cần thêm thông tin, nhắn ngay cho chúng tôi.</t>
  </si>
  <si>
    <t xml:space="preserve">Nộp hồ sơ ngay</t>
  </si>
  <si>
    <t xml:space="preserve">Lead đã tour</t>
  </si>
  <si>
    <t xml:space="preserve">Auto (2h sau tour)</t>
  </si>
  <si>
    <t xml:space="preserve">Tour completed trigger</t>
  </si>
  <si>
    <t xml:space="preserve">Reply rate ≥ 20%</t>
  </si>
  <si>
    <t xml:space="preserve">Re-engage / Win-back</t>
  </si>
  <si>
    <t xml:space="preserve">Kích hoạt lại lead cũ</t>
  </si>
  <si>
    <t xml:space="preserve">[Tên] ơi, Việt Anh vẫn còn chỗ cho [Cấp]. Ưu đãi đặc biệt cho PH quay lại. Hẹn gặp bạn tuần này!</t>
  </si>
  <si>
    <t xml:space="preserve">Đặt lịch lại</t>
  </si>
  <si>
    <t xml:space="preserve">Lead lost &gt; 30 ngày</t>
  </si>
  <si>
    <t xml:space="preserve">Lost 30d trigger</t>
  </si>
  <si>
    <t xml:space="preserve">Reactivation ≥ 3%</t>
  </si>
  <si>
    <t xml:space="preserve">D. LỊCH BROADCAST ZALO OA HÀNG TUẦN</t>
  </si>
  <si>
    <t xml:space="preserve">Giờ gửi</t>
  </si>
  <si>
    <t xml:space="preserve">Template</t>
  </si>
  <si>
    <t xml:space="preserve">Segment</t>
  </si>
  <si>
    <t xml:space="preserve">Thứ 3</t>
  </si>
  <si>
    <t xml:space="preserve">10:00</t>
  </si>
  <si>
    <t xml:space="preserve">Lead chưa tour + campus tương ứng</t>
  </si>
  <si>
    <t xml:space="preserve">Mời tour cuối tuần | Cơ sở phù hợp</t>
  </si>
  <si>
    <t xml:space="preserve">Open ≥ 40%, CTR ≥ 5%</t>
  </si>
  <si>
    <t xml:space="preserve">Segment theo campus, cấp</t>
  </si>
  <si>
    <t xml:space="preserve">Ưu đãi / Webinar</t>
  </si>
  <si>
    <t xml:space="preserve">Tất cả lead active</t>
  </si>
  <si>
    <t xml:space="preserve">Ưu đãi tuần hoặc reminder webinar</t>
  </si>
  <si>
    <t xml:space="preserve">Open ≥ 35%, CTR ≥ 4%</t>
  </si>
  <si>
    <t xml:space="preserve">Tuần có WB → WB invite</t>
  </si>
  <si>
    <t xml:space="preserve">Thứ 6</t>
  </si>
  <si>
    <t xml:space="preserve">09:00</t>
  </si>
  <si>
    <t xml:space="preserve">Lead đã book tour T7/CN</t>
  </si>
  <si>
    <t xml:space="preserve">Nhắc tour cuối tuần + địa chỉ + parking</t>
  </si>
  <si>
    <t xml:space="preserve">Open ≥ 60%</t>
  </si>
  <si>
    <t xml:space="preserve">Auto từ GHL</t>
  </si>
  <si>
    <t xml:space="preserve">Thứ 7</t>
  </si>
  <si>
    <t xml:space="preserve">08:00</t>
  </si>
  <si>
    <t xml:space="preserve">Tour Reminder 2h</t>
  </si>
  <si>
    <t xml:space="preserve">Lead tour hôm nay</t>
  </si>
  <si>
    <t xml:space="preserve">Nhắc tour sáng nay + SĐT liên hệ</t>
  </si>
  <si>
    <t xml:space="preserve">Open ≥ 70%</t>
  </si>
  <si>
    <t xml:space="preserve">Cuối tháng</t>
  </si>
  <si>
    <t xml:space="preserve">Scholarship / Deadline</t>
  </si>
  <si>
    <t xml:space="preserve">Lead qualified THCS/THPT</t>
  </si>
  <si>
    <t xml:space="preserve">Deadline ưu đãi, học bổng sắp hết</t>
  </si>
  <si>
    <t xml:space="preserve">CTR ≥ 6%</t>
  </si>
  <si>
    <t xml:space="preserve">Đầu tháng</t>
  </si>
  <si>
    <t xml:space="preserve">Re-engage</t>
  </si>
  <si>
    <t xml:space="preserve">Lost leads &gt; 30 ngày</t>
  </si>
  <si>
    <t xml:space="preserve">Win-back message + ưu đãi quay lại</t>
  </si>
  <si>
    <t xml:space="preserve">Monthly, manual approval</t>
  </si>
  <si>
    <t xml:space="preserve">E. ZALO ADS – CHI TIẾT AUDIENCE &amp; CREATIVE THEO CHIẾN DỊCH</t>
  </si>
  <si>
    <t xml:space="preserve">Audience Size est.</t>
  </si>
  <si>
    <t xml:space="preserve">Detailed Targeting</t>
  </si>
  <si>
    <t xml:space="preserve">Placement</t>
  </si>
  <si>
    <t xml:space="preserve">Creative Type</t>
  </si>
  <si>
    <t xml:space="preserve">Số lượng creative</t>
  </si>
  <si>
    <t xml:space="preserve">Daily Budget</t>
  </si>
  <si>
    <t xml:space="preserve">Optimization Goal</t>
  </si>
  <si>
    <t xml:space="preserve">Tracking</t>
  </si>
  <si>
    <t xml:space="preserve">150,000-300,000</t>
  </si>
  <si>
    <t xml:space="preserve">Geo: Gò Vấp 5km + Cần Giuộc + Rạch Giá | Age 25-40 | Female 85% | Interest: Parenting, Baby, Preschool</t>
  </si>
  <si>
    <t xml:space="preserve">Zalo Feed + Article</t>
  </si>
  <si>
    <t xml:space="preserve">Image card + Short text</t>
  </si>
  <si>
    <t xml:space="preserve">5 image + 3 article</t>
  </si>
  <si>
    <t xml:space="preserve">Test 2 headline, 2 image</t>
  </si>
  <si>
    <t xml:space="preserve">Click to OA / Lead form</t>
  </si>
  <si>
    <t xml:space="preserve">Zalo Pixel + UTM → GA4</t>
  </si>
  <si>
    <t xml:space="preserve">200,000-400,000</t>
  </si>
  <si>
    <t xml:space="preserve">Geo: Gò Vấp + Bình Tân + Tỉnh | Age 28-45 | Parents | Interest: Education, School</t>
  </si>
  <si>
    <t xml:space="preserve">Image card + Carousel</t>
  </si>
  <si>
    <t xml:space="preserve">4 image + 2 carousel</t>
  </si>
  <si>
    <t xml:space="preserve">Test headline + CTA</t>
  </si>
  <si>
    <t xml:space="preserve">300,000-500,000</t>
  </si>
  <si>
    <t xml:space="preserve">Geo: TP.HCM rộng | Age 30-55 | Interest: Education, University prep, Scholarship</t>
  </si>
  <si>
    <t xml:space="preserve">Zalo Feed + Article + Banner</t>
  </si>
  <si>
    <t xml:space="preserve">Image + Video teaser 15s</t>
  </si>
  <si>
    <t xml:space="preserve">4 image + 2 video + 2 article</t>
  </si>
  <si>
    <t xml:space="preserve">Test video vs image</t>
  </si>
  <si>
    <t xml:space="preserve">Lead form / Webinar reg</t>
  </si>
  <si>
    <t xml:space="preserve">50,000-100,000</t>
  </si>
  <si>
    <t xml:space="preserve">OA followers + Website pixel visitors | All ages | Exclude enrolled</t>
  </si>
  <si>
    <t xml:space="preserve">Zalo Feed + Push notification</t>
  </si>
  <si>
    <t xml:space="preserve">Countdown + Ưu đãi + Tour reminder</t>
  </si>
  <si>
    <t xml:space="preserve">3 countdown + 2 offer</t>
  </si>
  <si>
    <t xml:space="preserve">Test urgency vs benefit</t>
  </si>
  <si>
    <t xml:space="preserve">Conversion / Tour booked</t>
  </si>
  <si>
    <t xml:space="preserve">Zalo Pixel + GHL sync</t>
  </si>
  <si>
    <t xml:space="preserve">F. ZALO OA AUTO-REPLY MENU CHI TIẾT</t>
  </si>
  <si>
    <t xml:space="preserve">Menu Level 1</t>
  </si>
  <si>
    <t xml:space="preserve">Menu Level 2</t>
  </si>
  <si>
    <t xml:space="preserve">Auto-reply Content</t>
  </si>
  <si>
    <t xml:space="preserve">GHL Action</t>
  </si>
  <si>
    <t xml:space="preserve">Next Step</t>
  </si>
  <si>
    <t xml:space="preserve">📚 Tư vấn Mầm non</t>
  </si>
  <si>
    <t xml:space="preserve">Cảm ơn bạn! MN Việt Anh có 4 cơ sở: GV, Nhân Lễ, Thái Sơn, Mekong Xanh. Bạn muốn tìm hiểu cơ sở nào?</t>
  </si>
  <si>
    <t xml:space="preserve">Tag: grade_mn + Assign sales</t>
  </si>
  <si>
    <t xml:space="preserve">Chọn cơ sở → Info + Book tour</t>
  </si>
  <si>
    <t xml:space="preserve">📖 Tư vấn Tiểu học</t>
  </si>
  <si>
    <t xml:space="preserve">TH Việt Anh có tại: Gò Vấp, Bình Tân, Thái Sơn, Mekong Xanh. Song ngữ từ lớp 1. Bạn quan tâm cơ sở nào?</t>
  </si>
  <si>
    <t xml:space="preserve">Tag: grade_th + Assign sales</t>
  </si>
  <si>
    <t xml:space="preserve">🎓 Tư vấn THCS</t>
  </si>
  <si>
    <t xml:space="preserve">THCS Việt Anh tại Gò Vấp. Lộ trình 6→12 liên cấp, GV chủ nhiệm theo sát. Để lại SĐT để được tư vấn chi tiết!</t>
  </si>
  <si>
    <t xml:space="preserve">Tag: grade_thcs + Create contact</t>
  </si>
  <si>
    <t xml:space="preserve">Sales gọi lại &lt; 5 phút</t>
  </si>
  <si>
    <t xml:space="preserve">🏫 Tư vấn THPT</t>
  </si>
  <si>
    <t xml:space="preserve">THPT Việt Anh Gò Vấp. Học bổng đến 100%, đầu ra ĐH top. Để lại SĐT hoặc nhấn "Đăng ký thi học bổng"!</t>
  </si>
  <si>
    <t xml:space="preserve">Tag: grade_thpt + Create contact</t>
  </si>
  <si>
    <t xml:space="preserve">Sales gọi + Gửi brochure</t>
  </si>
  <si>
    <t xml:space="preserve">💰 Học phí</t>
  </si>
  <si>
    <t xml:space="preserve">Học phí Việt Anh dao động theo cấp và cơ sở. Nhấn cấp học để xem chi tiết hoặc liên hệ hotline 0916 961 409.</t>
  </si>
  <si>
    <t xml:space="preserve">Tag: fee_inquiry + Hot lead</t>
  </si>
  <si>
    <t xml:space="preserve">Gửi bảng phí → Book tour</t>
  </si>
  <si>
    <t xml:space="preserve">📅 Đặt lịch Tour</t>
  </si>
  <si>
    <t xml:space="preserve">Tuyệt vời! Chọn cơ sở và thời gian phù hợp. Chúng tôi sẽ xác nhận ngay!</t>
  </si>
  <si>
    <t xml:space="preserve">Create appointment in GHL</t>
  </si>
  <si>
    <t xml:space="preserve">Confirm SMS + Zalo 2h trước</t>
  </si>
  <si>
    <t xml:space="preserve">📞 Gọi Hotline</t>
  </si>
  <si>
    <t xml:space="preserve">Hotline: 0916 961 409 (tất cả cơ sở). Giờ tư vấn: 7:30-17:30 T2-T7, 8:00-12:00 CN.</t>
  </si>
  <si>
    <t xml:space="preserve">Log call_intent</t>
  </si>
  <si>
    <t xml:space="preserve">Track click_call</t>
  </si>
  <si>
    <t xml:space="preserve">🎯 Hội thảo/Webinar</t>
  </si>
  <si>
    <t xml:space="preserve">Hội thảo miễn phí sắp tới: [Tên WB] ngày [Date]. Đăng ký ngay!</t>
  </si>
  <si>
    <t xml:space="preserve">Tag: webinar_interest</t>
  </si>
  <si>
    <t xml:space="preserve">Gửi link đăng ký WB</t>
  </si>
  <si>
    <t xml:space="preserve">KẾ HOẠCH TÁC CHIẾN TUẦN 1-28 (03-09/2026)</t>
  </si>
  <si>
    <t xml:space="preserve">Mục tiêu tuần</t>
  </si>
  <si>
    <t xml:space="preserve">Marketing Action</t>
  </si>
  <si>
    <t xml:space="preserve">Sales Action</t>
  </si>
  <si>
    <t xml:space="preserve">Campus Action</t>
  </si>
  <si>
    <t xml:space="preserve">26/03-01/04</t>
  </si>
  <si>
    <t xml:space="preserve">Dựng nền tảng</t>
  </si>
  <si>
    <t xml:space="preserve">Setup GTM+Pixel+GHL+Birch+LP</t>
  </si>
  <si>
    <t xml:space="preserve">Chốt SLA+script+CRM tags</t>
  </si>
  <si>
    <t xml:space="preserve">Hotline+GMB+Tour slots</t>
  </si>
  <si>
    <t xml:space="preserve">02-08/04</t>
  </si>
  <si>
    <t xml:space="preserve">Chuẩn hóa LP+Forms</t>
  </si>
  <si>
    <t xml:space="preserve">Test LP 6 cơ sở + Forms → GHL</t>
  </si>
  <si>
    <t xml:space="preserve">Test nhận lead+gọi lại</t>
  </si>
  <si>
    <t xml:space="preserve">Chụp ảnh+video bổ sung</t>
  </si>
  <si>
    <t xml:space="preserve">09-15/04</t>
  </si>
  <si>
    <t xml:space="preserve">Pilot</t>
  </si>
  <si>
    <t xml:space="preserve">Pilot campaign đợt 1</t>
  </si>
  <si>
    <t xml:space="preserve">Bật Brand+Generic+HighIntent | 2 RSA/adgroup</t>
  </si>
  <si>
    <t xml:space="preserve">Gọi 100% lead &lt;5 phút</t>
  </si>
  <si>
    <t xml:space="preserve">Tour slots ít nhất 2/tuần</t>
  </si>
  <si>
    <t xml:space="preserve">16-22/04</t>
  </si>
  <si>
    <t xml:space="preserve">Đánh giá pilot</t>
  </si>
  <si>
    <t xml:space="preserve">Rà search terms+pause yếu+keep tốt</t>
  </si>
  <si>
    <t xml:space="preserve">QA 20 cuộc gọi đầu</t>
  </si>
  <si>
    <t xml:space="preserve">Đánh giá 5 tour đầu</t>
  </si>
  <si>
    <t xml:space="preserve">23-29/04</t>
  </si>
  <si>
    <t xml:space="preserve">Scale 1</t>
  </si>
  <si>
    <t xml:space="preserve">Scale sau pilot</t>
  </si>
  <si>
    <t xml:space="preserve">Tăng budget campaigns thắng+mở thêm cơ sở</t>
  </si>
  <si>
    <t xml:space="preserve">4 touchpoints/lead 3 ngày</t>
  </si>
  <si>
    <t xml:space="preserve">Open campus cuối tuần</t>
  </si>
  <si>
    <t xml:space="preserve">30/04-06/05</t>
  </si>
  <si>
    <t xml:space="preserve">Mở webinar</t>
  </si>
  <si>
    <t xml:space="preserve">LP webinar THCS+THPT+Search webinar ads</t>
  </si>
  <si>
    <t xml:space="preserve">Script gọi webinar lead</t>
  </si>
  <si>
    <t xml:space="preserve">Diễn giả+slide+CTA</t>
  </si>
  <si>
    <t xml:space="preserve">07-13/05</t>
  </si>
  <si>
    <t xml:space="preserve">Tối ưu quality</t>
  </si>
  <si>
    <t xml:space="preserve">Tách HI/webinar/brand+bidding optimize</t>
  </si>
  <si>
    <t xml:space="preserve">Rà Lead→Tour by counselor</t>
  </si>
  <si>
    <t xml:space="preserve">Show-up rate report</t>
  </si>
  <si>
    <t xml:space="preserve">14-20/05</t>
  </si>
  <si>
    <t xml:space="preserve">Mở competitor</t>
  </si>
  <si>
    <t xml:space="preserve">Competitor THCS+THPT GV+LP compare</t>
  </si>
  <si>
    <t xml:space="preserve">Script xử lý so sánh</t>
  </si>
  <si>
    <t xml:space="preserve">Bảng so sánh mềm</t>
  </si>
  <si>
    <t xml:space="preserve">21-27/05</t>
  </si>
  <si>
    <t xml:space="preserve">Khóa baseline T4-5</t>
  </si>
  <si>
    <t xml:space="preserve">Tổng hợp CPL/campus/quality | Plan T6</t>
  </si>
  <si>
    <t xml:space="preserve">Top 5 lost reasons</t>
  </si>
  <si>
    <t xml:space="preserve">Best practice tour</t>
  </si>
  <si>
    <t xml:space="preserve">28/05-03/06</t>
  </si>
  <si>
    <t xml:space="preserve">Scale 2</t>
  </si>
  <si>
    <t xml:space="preserve">Scale mạnh T6</t>
  </si>
  <si>
    <t xml:space="preserve">Tăng NS THCS+THPT GV+brand defense</t>
  </si>
  <si>
    <t xml:space="preserve">Ưu tiên lead Google</t>
  </si>
  <si>
    <t xml:space="preserve">Tăng tour slots</t>
  </si>
  <si>
    <t xml:space="preserve">04-10/06</t>
  </si>
  <si>
    <t xml:space="preserve">YouTube+DG</t>
  </si>
  <si>
    <t xml:space="preserve">Video testi THCS/THPT+YouTube retarget</t>
  </si>
  <si>
    <t xml:space="preserve">Tag video-engaged lead</t>
  </si>
  <si>
    <t xml:space="preserve">Quay thêm testimonial</t>
  </si>
  <si>
    <t xml:space="preserve">11-17/06</t>
  </si>
  <si>
    <t xml:space="preserve">Test PMax</t>
  </si>
  <si>
    <t xml:space="preserve">PMax test 2% | Track riêng</t>
  </si>
  <si>
    <t xml:space="preserve">Source PMax riêng</t>
  </si>
  <si>
    <t xml:space="preserve">Giữ nguyên quy trình</t>
  </si>
  <si>
    <t xml:space="preserve">18-24/06</t>
  </si>
  <si>
    <t xml:space="preserve">Chuyển cấp push</t>
  </si>
  <si>
    <t xml:space="preserve">Campaign lớp 1/6/10 tập trung</t>
  </si>
  <si>
    <t xml:space="preserve">Script riêng per grade</t>
  </si>
  <si>
    <t xml:space="preserve">Tài liệu theo cấp</t>
  </si>
  <si>
    <t xml:space="preserve">25/06-01/07</t>
  </si>
  <si>
    <t xml:space="preserve">LP optimization</t>
  </si>
  <si>
    <t xml:space="preserve">Heatmap+CVR+A/B hero section</t>
  </si>
  <si>
    <t xml:space="preserve">Cập nhật FAQ mới</t>
  </si>
  <si>
    <t xml:space="preserve">Ảnh hoạt động mới</t>
  </si>
  <si>
    <t xml:space="preserve">02-08/07</t>
  </si>
  <si>
    <t xml:space="preserve">Peak</t>
  </si>
  <si>
    <t xml:space="preserve">Webinar chốt</t>
  </si>
  <si>
    <t xml:space="preserve">Webinar THCS+THPT | Search+YT+retarget</t>
  </si>
  <si>
    <t xml:space="preserve">Gọi 24h sau webinar</t>
  </si>
  <si>
    <t xml:space="preserve">Campus head webinar</t>
  </si>
  <si>
    <t xml:space="preserve">09-15/07</t>
  </si>
  <si>
    <t xml:space="preserve">Cost/tour focus</t>
  </si>
  <si>
    <t xml:space="preserve">Pause CPL đẹp nhưng tour xấu | Scale tour tốt</t>
  </si>
  <si>
    <t xml:space="preserve">Coaching counselor yếu</t>
  </si>
  <si>
    <t xml:space="preserve">Tour→hồ sơ by campus</t>
  </si>
  <si>
    <t xml:space="preserve">16-22/07</t>
  </si>
  <si>
    <t xml:space="preserve">Lock winners</t>
  </si>
  <si>
    <t xml:space="preserve">Top 10 KW+Top 5 LP+Top 3 video | Brand defense</t>
  </si>
  <si>
    <t xml:space="preserve">Chốt objection script</t>
  </si>
  <si>
    <t xml:space="preserve">Kiểm tra capacity tour</t>
  </si>
  <si>
    <t xml:space="preserve">23-29/07</t>
  </si>
  <si>
    <t xml:space="preserve">Chốt</t>
  </si>
  <si>
    <t xml:space="preserve">Chốt mạnh nhất</t>
  </si>
  <si>
    <t xml:space="preserve">HI+brand+retarget đẩy mạnh | Ưu đãi cuối</t>
  </si>
  <si>
    <t xml:space="preserve">Lead nóng xử lý 30 phút</t>
  </si>
  <si>
    <t xml:space="preserve">Tour đều đặn, sẵn sàng</t>
  </si>
  <si>
    <t xml:space="preserve">30/07-05/08</t>
  </si>
  <si>
    <t xml:space="preserve">Tăng show-up</t>
  </si>
  <si>
    <t xml:space="preserve">RMKT booked chưa đến+reminder asset</t>
  </si>
  <si>
    <t xml:space="preserve">Nhắc 24h+2h | Xử lý no-show</t>
  </si>
  <si>
    <t xml:space="preserve">Đón khách đúng giờ</t>
  </si>
  <si>
    <t xml:space="preserve">06-12/08</t>
  </si>
  <si>
    <t xml:space="preserve">Tour→hồ sơ</t>
  </si>
  <si>
    <t xml:space="preserve">LP ưu đãi cuối+RMKT đã tour chưa chốt</t>
  </si>
  <si>
    <t xml:space="preserve">Follow-up 3-5-7 ngày sau tour</t>
  </si>
  <si>
    <t xml:space="preserve">Tài liệu follow-up chuẩn</t>
  </si>
  <si>
    <t xml:space="preserve">13-19/08</t>
  </si>
  <si>
    <t xml:space="preserve">Brand defense</t>
  </si>
  <si>
    <t xml:space="preserve">Tăng brand impression share+monitor competitor</t>
  </si>
  <si>
    <t xml:space="preserve">Ưu tiên brand leads</t>
  </si>
  <si>
    <t xml:space="preserve">Hotline+map 100% chính xác</t>
  </si>
  <si>
    <t xml:space="preserve">20-26/08</t>
  </si>
  <si>
    <t xml:space="preserve">Campus gap fill</t>
  </si>
  <si>
    <t xml:space="preserve">Dồn NS theo campus hụt+cắt campus đủ</t>
  </si>
  <si>
    <t xml:space="preserve">Ưu tiên cơ sở hụt target</t>
  </si>
  <si>
    <t xml:space="preserve">Tăng tour cơ sở hụt</t>
  </si>
  <si>
    <t xml:space="preserve">27/08-02/09</t>
  </si>
  <si>
    <t xml:space="preserve">Vét</t>
  </si>
  <si>
    <t xml:space="preserve">Khóa T8</t>
  </si>
  <si>
    <t xml:space="preserve">Rà HI+brand+RMKT nóng | Tắt display lạnh</t>
  </si>
  <si>
    <t xml:space="preserve">Gọi lại all lead nóng chưa chốt</t>
  </si>
  <si>
    <t xml:space="preserve">Danh sách chỗ trống</t>
  </si>
  <si>
    <t xml:space="preserve">03-09/09</t>
  </si>
  <si>
    <t xml:space="preserve">Late</t>
  </si>
  <si>
    <t xml:space="preserve">Search 'chuyển trường'+'còn nhận hồ sơ' | Brand on</t>
  </si>
  <si>
    <t xml:space="preserve">Script chuyển trường</t>
  </si>
  <si>
    <t xml:space="preserve">Xử lý hồ sơ gấp</t>
  </si>
  <si>
    <t xml:space="preserve">10-16/09</t>
  </si>
  <si>
    <t xml:space="preserve">RMKT 30-60d+DG nhẹ audience cũ</t>
  </si>
  <si>
    <t xml:space="preserve">Gọi lại lead tour chưa chốt</t>
  </si>
  <si>
    <t xml:space="preserve">Mời PH quay lại campus</t>
  </si>
  <si>
    <t xml:space="preserve">17-23/09</t>
  </si>
  <si>
    <t xml:space="preserve">Optimize cuối</t>
  </si>
  <si>
    <t xml:space="preserve">Cắt lãng phí+giữ brand+HI+reactivation</t>
  </si>
  <si>
    <t xml:space="preserve">Tập trung lead cao nhất</t>
  </si>
  <si>
    <t xml:space="preserve">Real-time số chỗ</t>
  </si>
  <si>
    <t xml:space="preserve">24-28/09</t>
  </si>
  <si>
    <t xml:space="preserve">Close</t>
  </si>
  <si>
    <t xml:space="preserve">Chốt nốt</t>
  </si>
  <si>
    <t xml:space="preserve">RMKT form/phí/hotline | 'Còn nhận hồ sơ'</t>
  </si>
  <si>
    <t xml:space="preserve">Gọi all pending | Chốt giấy tờ</t>
  </si>
  <si>
    <t xml:space="preserve">Hỗ trợ hồ sơ nhanh</t>
  </si>
  <si>
    <t xml:space="preserve">29-30/09</t>
  </si>
  <si>
    <t xml:space="preserve">Đóng mùa</t>
  </si>
  <si>
    <t xml:space="preserve">Tổng kết: spend/leads/tours/enrollments/CAC | Playbook</t>
  </si>
  <si>
    <t xml:space="preserve">Tổng kết per counselor | Lost reasons</t>
  </si>
  <si>
    <t xml:space="preserve">Tổng kết tour+testimonial mới</t>
  </si>
  <si>
    <t xml:space="preserve">📈 KPI WEEKLY TRACKER – 3 ĐỘI (Marketing | Tuyển Sinh | Ban Cơ Sở)</t>
  </si>
  <si>
    <t xml:space="preserve">Hướng dẫn: Nhập dữ liệu thực tế vào cột "Thực tế" mỗi tuần. Cột "Vs Target" tự tính. Tô màu xanh=đạt, vàng=cần theo dõi, đỏ=cần can thiệp.</t>
  </si>
  <si>
    <t xml:space="preserve">KPI / Chỉ số</t>
  </si>
  <si>
    <t xml:space="preserve">Tuần 1
26/03</t>
  </si>
  <si>
    <t xml:space="preserve">Tuần 2
02/04</t>
  </si>
  <si>
    <t xml:space="preserve">Tuần 3
09/04</t>
  </si>
  <si>
    <t xml:space="preserve">Tuần 4
16/04</t>
  </si>
  <si>
    <t xml:space="preserve">Tuần 5
23/04</t>
  </si>
  <si>
    <t xml:space="preserve">Tuần 6
30/04</t>
  </si>
  <si>
    <t xml:space="preserve">MTD Tích lũy</t>
  </si>
  <si>
    <t xml:space="preserve">Target</t>
  </si>
  <si>
    <t xml:space="preserve">% đạt</t>
  </si>
  <si>
    <t xml:space="preserve">Cảnh báo</t>
  </si>
  <si>
    <t xml:space="preserve">🎯 MARKETING – GOOGLE ADS</t>
  </si>
  <si>
    <t xml:space="preserve">Spend Google (đ)</t>
  </si>
  <si>
    <t xml:space="preserve">Impressions</t>
  </si>
  <si>
    <t xml:space="preserve">Clicks</t>
  </si>
  <si>
    <t xml:space="preserve">CTR (%)</t>
  </si>
  <si>
    <t xml:space="preserve">Ngưỡng: 0.05</t>
  </si>
  <si>
    <t xml:space="preserve">CPC trung bình (đ)</t>
  </si>
  <si>
    <t xml:space="preserve">Leads (Google)</t>
  </si>
  <si>
    <t xml:space="preserve">Qualified Leads (Google)</t>
  </si>
  <si>
    <t xml:space="preserve">CPL Google (đ)</t>
  </si>
  <si>
    <t xml:space="preserve">Ngưỡng: 220000</t>
  </si>
  <si>
    <t xml:space="preserve">Qualified Rate</t>
  </si>
  <si>
    <t xml:space="preserve">Ngưỡng: 0.4</t>
  </si>
  <si>
    <t xml:space="preserve">Booked Tours (Google)</t>
  </si>
  <si>
    <t xml:space="preserve">Cost / Booked Tour</t>
  </si>
  <si>
    <t xml:space="preserve">🎯 MARKETING – META ADS</t>
  </si>
  <si>
    <t xml:space="preserve">Spend Meta (đ)</t>
  </si>
  <si>
    <t xml:space="preserve">Reach / Impressions</t>
  </si>
  <si>
    <t xml:space="preserve">CPM (đ)</t>
  </si>
  <si>
    <t xml:space="preserve">CTR Meta (%)</t>
  </si>
  <si>
    <t xml:space="preserve">Ngưỡng: 0.01</t>
  </si>
  <si>
    <t xml:space="preserve">Leads (Meta)</t>
  </si>
  <si>
    <t xml:space="preserve">CPL Meta (đ)</t>
  </si>
  <si>
    <t xml:space="preserve">Ngưỡng: 180000</t>
  </si>
  <si>
    <t xml:space="preserve">Qualified Rate Meta</t>
  </si>
  <si>
    <t xml:space="preserve">Ngưỡng: 0.35</t>
  </si>
  <si>
    <t xml:space="preserve">Booked Tours (Meta)</t>
  </si>
  <si>
    <t xml:space="preserve">🎯 MARKETING – TIKTOK / ZALO</t>
  </si>
  <si>
    <t xml:space="preserve">Spend TikTok (đ)</t>
  </si>
  <si>
    <t xml:space="preserve">Views / CPV</t>
  </si>
  <si>
    <t xml:space="preserve">Leads TikTok</t>
  </si>
  <si>
    <t xml:space="preserve">CPL TikTok (đ)</t>
  </si>
  <si>
    <t xml:space="preserve">Ngưỡng: 130000</t>
  </si>
  <si>
    <t xml:space="preserve">Spend Zalo (đ)</t>
  </si>
  <si>
    <t xml:space="preserve">Leads Zalo</t>
  </si>
  <si>
    <t xml:space="preserve">CPL Zalo (đ)</t>
  </si>
  <si>
    <t xml:space="preserve">Ngưỡng: 120000</t>
  </si>
  <si>
    <t xml:space="preserve">🏃 TUYỂN SINH – PIPELINE</t>
  </si>
  <si>
    <t xml:space="preserve">Leads mới (tất cả kênh)</t>
  </si>
  <si>
    <t xml:space="preserve">Leads đã gọi</t>
  </si>
  <si>
    <t xml:space="preserve">Response &lt; 5 phút (%)</t>
  </si>
  <si>
    <t xml:space="preserve">Ngưỡng: 0.7</t>
  </si>
  <si>
    <t xml:space="preserve">Tỷ lệ bắt máy (%)</t>
  </si>
  <si>
    <t xml:space="preserve">Lịch tour đặt (Booked)</t>
  </si>
  <si>
    <t xml:space="preserve">Lead → Tour rate (%)</t>
  </si>
  <si>
    <t xml:space="preserve">Ngưỡng: 0.2</t>
  </si>
  <si>
    <t xml:space="preserve">Tour Attended (Show-up)</t>
  </si>
  <si>
    <t xml:space="preserve">Show-up rate (%)</t>
  </si>
  <si>
    <t xml:space="preserve">Ngưỡng: 0.5</t>
  </si>
  <si>
    <t xml:space="preserve">Hồ sơ / Đăng ký</t>
  </si>
  <si>
    <t xml:space="preserve">Deposits / Đặt cọc</t>
  </si>
  <si>
    <t xml:space="preserve">Nhập học (Enrollment)</t>
  </si>
  <si>
    <t xml:space="preserve">Tour → Enroll rate (%)</t>
  </si>
  <si>
    <t xml:space="preserve">Ngưỡng: 0.25</t>
  </si>
  <si>
    <t xml:space="preserve">🏫 BAN CƠ SỞ – CAMPUS OPS</t>
  </si>
  <si>
    <t xml:space="preserve">Hotline uptime (%)</t>
  </si>
  <si>
    <t xml:space="preserve">Ngưỡng: 0.95</t>
  </si>
  <si>
    <t xml:space="preserve">GMB views</t>
  </si>
  <si>
    <t xml:space="preserve">Tour slots tổng</t>
  </si>
  <si>
    <t xml:space="preserve">Tour slots đã book</t>
  </si>
  <si>
    <t xml:space="preserve">Slot fill rate (%)</t>
  </si>
  <si>
    <t xml:space="preserve">No-show count</t>
  </si>
  <si>
    <t xml:space="preserve">Ảnh/video mới upload</t>
  </si>
  <si>
    <t xml:space="preserve">📋 TODO LIST HÀNG NGÀY – MARKETING + TUYỂN SINH + CƠ SỞ</t>
  </si>
  <si>
    <t xml:space="preserve">Dùng mỗi ngày. Đánh dấu ✅ khi hoàn thành. Ghi chú vào cột Notes. Link đến Campaign Tracker để track số liệu.</t>
  </si>
  <si>
    <t xml:space="preserve">Kênh/Đội</t>
  </si>
  <si>
    <t xml:space="preserve">Chi tiết hành động</t>
  </si>
  <si>
    <t xml:space="preserve">── BUỔI SÁNG (8:00–10:00) ──</t>
  </si>
  <si>
    <t xml:space="preserve">Check pacing &amp; spend</t>
  </si>
  <si>
    <t xml:space="preserve">Login Birch → check daily pacing | Alert overspend &gt;110% → giảm ngay</t>
  </si>
  <si>
    <t xml:space="preserve">Performance Marketer</t>
  </si>
  <si>
    <t xml:space="preserve">Xem search terms mới → Thêm negative nếu sai intent | Min 2 lần/tuần</t>
  </si>
  <si>
    <t xml:space="preserve">Check CPL &amp; CPM</t>
  </si>
  <si>
    <t xml:space="preserve">Ads Manager → filter 3-day window | CPL &gt;120k → review ad set</t>
  </si>
  <si>
    <t xml:space="preserve">8:20</t>
  </si>
  <si>
    <t xml:space="preserve">Kiểm tra ad delivery</t>
  </si>
  <si>
    <t xml:space="preserve">Ad set nào learning phase? Nào đang scale? Nào bị từ chối?</t>
  </si>
  <si>
    <t xml:space="preserve">Check CPV và engagement</t>
  </si>
  <si>
    <t xml:space="preserve">TikTok Ads Manager → CPV, CTR, likes | Video nào dưới 3s quit rate cao?</t>
  </si>
  <si>
    <t xml:space="preserve">8:40</t>
  </si>
  <si>
    <t xml:space="preserve">Kiểm tra broadcast</t>
  </si>
  <si>
    <t xml:space="preserve">Xem open rate, click | Gửi broadcast mới nếu có plan</t>
  </si>
  <si>
    <t xml:space="preserve">8:50</t>
  </si>
  <si>
    <t xml:space="preserve">CRM Executive</t>
  </si>
  <si>
    <t xml:space="preserve">GHL / CRM</t>
  </si>
  <si>
    <t xml:space="preserve">Review lead mới đêm qua</t>
  </si>
  <si>
    <t xml:space="preserve">GHL → All leads → Filter "Created yesterday" | Check source, stage</t>
  </si>
  <si>
    <t xml:space="preserve">Sales Lead</t>
  </si>
  <si>
    <t xml:space="preserve">Gọi lead chưa liên lạc</t>
  </si>
  <si>
    <t xml:space="preserve">Gọi tất cả lead &gt;12h chưa gọi | Log trong CRM</t>
  </si>
  <si>
    <t xml:space="preserve">9:10</t>
  </si>
  <si>
    <t xml:space="preserve">Tư vấn viên</t>
  </si>
  <si>
    <t xml:space="preserve">── BUỔI TRƯA (12:00–13:00) ──</t>
  </si>
  <si>
    <t xml:space="preserve">Follow-up booked tour</t>
  </si>
  <si>
    <t xml:space="preserve">Nhắn Zalo/gọi lead có tour hôm nay/ngày mai | Xác nhận show-up</t>
  </si>
  <si>
    <t xml:space="preserve">12:00</t>
  </si>
  <si>
    <t xml:space="preserve">Check Quality Score</t>
  </si>
  <si>
    <t xml:space="preserve">Review keyword QS thấp (&lt;5) → cải thiện ad/LP</t>
  </si>
  <si>
    <t xml:space="preserve">12:20</t>
  </si>
  <si>
    <t xml:space="preserve">Chuẩn bị tour chiều</t>
  </si>
  <si>
    <t xml:space="preserve">Kiểm tra phòng tư vấn, tài liệu, bảng hiệu | Campus lead xác nhận</t>
  </si>
  <si>
    <t xml:space="preserve">12:30</t>
  </si>
  <si>
    <t xml:space="preserve">Campus Manager</t>
  </si>
  <si>
    <t xml:space="preserve">── BUỔI CHIỀU (14:00–17:00) ──</t>
  </si>
  <si>
    <t xml:space="preserve">Xử lý lead pipeline</t>
  </si>
  <si>
    <t xml:space="preserve">Review pipeline từng stage | Identify stuck leads | Update notes</t>
  </si>
  <si>
    <t xml:space="preserve">Check top/bottom ad sets</t>
  </si>
  <si>
    <t xml:space="preserve">Identify top 3 performers → +15-20% budget | Bottom 2 → pause/fix</t>
  </si>
  <si>
    <t xml:space="preserve">14:30</t>
  </si>
  <si>
    <t xml:space="preserve">Upload/boost nội dung</t>
  </si>
  <si>
    <t xml:space="preserve">Post Story, Reel, TikTok mới | Boost post organic nếu engaging</t>
  </si>
  <si>
    <t xml:space="preserve">Tiến hành tour</t>
  </si>
  <si>
    <t xml:space="preserve">Đón phụ huynh, tư vấn, giới thiệu campus | Log feedback sau tour</t>
  </si>
  <si>
    <t xml:space="preserve">Gọi/nhắn phụ huynh đã tour ngày hôm nay trong 2h | Note CRM</t>
  </si>
  <si>
    <t xml:space="preserve">── CUỐI NGÀY (17:00–18:00) ──</t>
  </si>
  <si>
    <t xml:space="preserve">Điền Daily Metrics</t>
  </si>
  <si>
    <t xml:space="preserve">Điền số vào A. KPI Weekly Tracker: leads, spend, tours, enrolls</t>
  </si>
  <si>
    <t xml:space="preserve">Set bid adjustment nếu cần</t>
  </si>
  <si>
    <t xml:space="preserve">Device, location, time-of-day bid adj | Chạy cao hơn 9-11am, 7-9pm</t>
  </si>
  <si>
    <t xml:space="preserve">17:15</t>
  </si>
  <si>
    <t xml:space="preserve">Tag và phân loại leads cuối ngày</t>
  </si>
  <si>
    <t xml:space="preserve">GHL → Today leads → Verify tags đúng: source, campus, grade, intent</t>
  </si>
  <si>
    <t xml:space="preserve">17:30</t>
  </si>
  <si>
    <t xml:space="preserve">Báo cáo nhanh cho team</t>
  </si>
  <si>
    <t xml:space="preserve">Gửi Slack/Zalo: tổng leads hôm nay, tours, enrolls, anomaly</t>
  </si>
  <si>
    <t xml:space="preserve">17:45</t>
  </si>
  <si>
    <t xml:space="preserve">Cập nhật lead feedback</t>
  </si>
  <si>
    <t xml:space="preserve">Log tour feedback, câu hỏi PH, lý do chưa chốt vào CRM/sheet</t>
  </si>
  <si>
    <t xml:space="preserve">17:50</t>
  </si>
  <si>
    <t xml:space="preserve">📅 TODO LIST HÀNG TUẦN – MARKETING + TUYỂN SINH + BAN CƠ SỞ (28 TUẦN)</t>
  </si>
  <si>
    <t xml:space="preserve">Mỗi tuần họp ngắn Thứ 2 sáng để assign task. Họp review Thứ 6 chiều. Tất cả trạng thái phải cập nhật trước 17:00 Thứ 6.</t>
  </si>
  <si>
    <t xml:space="preserve">Đội</t>
  </si>
  <si>
    <t xml:space="preserve">Chi tiết / Tiêu chí hoàn thành</t>
  </si>
  <si>
    <t xml:space="preserve">Deadline</t>
  </si>
  <si>
    <t xml:space="preserve">Notes</t>
  </si>
  <si>
    <t xml:space="preserve">── MARKETING – GOOGLE ADS ──</t>
  </si>
  <si>
    <t xml:space="preserve">Review search terms report</t>
  </si>
  <si>
    <t xml:space="preserve">Download search terms tuần → Thêm negatives → Update Birch rule</t>
  </si>
  <si>
    <t xml:space="preserve">Negative list cập nhật</t>
  </si>
  <si>
    <t xml:space="preserve">So sánh CPL theo campaign</t>
  </si>
  <si>
    <t xml:space="preserve">Birch → Campaign report → Sort by CPL | Scale top 3, pause bottom 2</t>
  </si>
  <si>
    <t xml:space="preserve">Decision log</t>
  </si>
  <si>
    <t xml:space="preserve">Kiểm tra Quality Score</t>
  </si>
  <si>
    <t xml:space="preserve">KW QS &lt;5 → Cải thiện ad copy hoặc landing page phù hợp</t>
  </si>
  <si>
    <t xml:space="preserve">QS avg ≥7</t>
  </si>
  <si>
    <t xml:space="preserve">Thứ 4</t>
  </si>
  <si>
    <t xml:space="preserve">Cập nhật Birch automation rules</t>
  </si>
  <si>
    <t xml:space="preserve">Review rule performance → Điều chỉnh threshold nếu cần</t>
  </si>
  <si>
    <t xml:space="preserve">Rules live</t>
  </si>
  <si>
    <t xml:space="preserve">A/B test report Google</t>
  </si>
  <si>
    <t xml:space="preserve">2 RSA test → winner tiếp tục, loser pause | Document kết quả</t>
  </si>
  <si>
    <t xml:space="preserve">Test concluded</t>
  </si>
  <si>
    <t xml:space="preserve">── MARKETING – META ADS ──</t>
  </si>
  <si>
    <t xml:space="preserve">Creative refresh Meta</t>
  </si>
  <si>
    <t xml:space="preserve">Thay ad 7-10 ngày 1 lần | Freq &gt;3 → cần creative mới ngay</t>
  </si>
  <si>
    <t xml:space="preserve">New creative live</t>
  </si>
  <si>
    <t xml:space="preserve">Audience expansion review</t>
  </si>
  <si>
    <t xml:space="preserve">Lookalike tốt → expand 1% → 2% | Interest test mới</t>
  </si>
  <si>
    <t xml:space="preserve">Audience updated</t>
  </si>
  <si>
    <t xml:space="preserve">Pixel health check</t>
  </si>
  <si>
    <t xml:space="preserve">Events Manager → check pixel events, match rate, deduplication</t>
  </si>
  <si>
    <t xml:space="preserve">Match rate ≥80%</t>
  </si>
  <si>
    <t xml:space="preserve">Budget reallocation Meta</t>
  </si>
  <si>
    <t xml:space="preserve">Ad set thắng → +15-20% | Thua → pause hoặc pivot creative</t>
  </si>
  <si>
    <t xml:space="preserve">Budget optimized</t>
  </si>
  <si>
    <t xml:space="preserve">Retargeting audience update</t>
  </si>
  <si>
    <t xml:space="preserve">Refresh audience lists: 7d/21d/60d | Loại lead đã enrolled</t>
  </si>
  <si>
    <t xml:space="preserve">Audience fresh</t>
  </si>
  <si>
    <t xml:space="preserve">── MARKETING – TIKTOK / ZALO / WEBINAR ──</t>
  </si>
  <si>
    <t xml:space="preserve">TikTok video performance</t>
  </si>
  <si>
    <t xml:space="preserve">3-second retention, completion rate, CTR | Boost video tốt</t>
  </si>
  <si>
    <t xml:space="preserve">Top 3 identified</t>
  </si>
  <si>
    <t xml:space="preserve">Zalo broadcast lên kế hoạch</t>
  </si>
  <si>
    <t xml:space="preserve">Draft nội dung tuần sau | Segment theo campus, grade, stage</t>
  </si>
  <si>
    <t xml:space="preserve">Draft approved</t>
  </si>
  <si>
    <t xml:space="preserve">Webinar prep (nếu có tuần này)</t>
  </si>
  <si>
    <t xml:space="preserve">Landing page live, email sequence, reminder Zalo, test Zoom link</t>
  </si>
  <si>
    <t xml:space="preserve">Go/No-go</t>
  </si>
  <si>
    <t xml:space="preserve">── TUYỂN SINH ──</t>
  </si>
  <si>
    <t xml:space="preserve">Tuyển sinh</t>
  </si>
  <si>
    <t xml:space="preserve">Weekly pipeline review</t>
  </si>
  <si>
    <t xml:space="preserve">GHL → Review tất cả pipeline stages | Xác định stuck leads</t>
  </si>
  <si>
    <t xml:space="preserve">Pipeline clean</t>
  </si>
  <si>
    <t xml:space="preserve">QA cuộc gọi ngẫu nhiên</t>
  </si>
  <si>
    <t xml:space="preserve">Nghe lại 5-10 cuộc gọi/tuần | Score theo 5 tiêu chí | Coaching</t>
  </si>
  <si>
    <t xml:space="preserve">QA report</t>
  </si>
  <si>
    <t xml:space="preserve">Lost lead analysis</t>
  </si>
  <si>
    <t xml:space="preserve">Tổng hợp top 5 lý do lost | Cập nhật objection script</t>
  </si>
  <si>
    <t xml:space="preserve">Script updated</t>
  </si>
  <si>
    <t xml:space="preserve">Confirm tours tuần sau</t>
  </si>
  <si>
    <t xml:space="preserve">Gọi tất cả lead đã booked tour tuần sau | Xác nhận 100%</t>
  </si>
  <si>
    <t xml:space="preserve">Confirmation rate</t>
  </si>
  <si>
    <t xml:space="preserve">CRM data hygiene</t>
  </si>
  <si>
    <t xml:space="preserve">Xóa/merge duplicate | Verify tags | Update lost reasons</t>
  </si>
  <si>
    <t xml:space="preserve">CRM clean</t>
  </si>
  <si>
    <t xml:space="preserve">── BAN CƠ SỞ ──</t>
  </si>
  <si>
    <t xml:space="preserve">Tour slot management</t>
  </si>
  <si>
    <t xml:space="preserve">Update slot availability tuần sau | Thêm slot nếu demand cao</t>
  </si>
  <si>
    <t xml:space="preserve">Slots published</t>
  </si>
  <si>
    <t xml:space="preserve">GMB (Google Business) update</t>
  </si>
  <si>
    <t xml:space="preserve">Post 1 bài/tuần | Cập nhật giờ mở cửa | Reply reviews mới</t>
  </si>
  <si>
    <t xml:space="preserve">Post live</t>
  </si>
  <si>
    <t xml:space="preserve">Testimonial collection</t>
  </si>
  <si>
    <t xml:space="preserve">Thu thập 1-2 testimonial PH/HS/tuần | Video ngắn hoặc text</t>
  </si>
  <si>
    <t xml:space="preserve">1-2 pieces</t>
  </si>
  <si>
    <t xml:space="preserve">Hotline health check</t>
  </si>
  <si>
    <t xml:space="preserve">Test gọi hotline từng cơ sở | Verify pickup trong 3 ring</t>
  </si>
  <si>
    <t xml:space="preserve">100% pickup</t>
  </si>
  <si>
    <t xml:space="preserve">── REPORTING &amp; REVIEW TUẦN ──</t>
  </si>
  <si>
    <t xml:space="preserve">Weekly KPI report</t>
  </si>
  <si>
    <t xml:space="preserve">Điền đủ vào A. KPI Weekly Tracker | Share với team</t>
  </si>
  <si>
    <t xml:space="preserve">Report sent</t>
  </si>
  <si>
    <t xml:space="preserve">Thứ 6 17:00</t>
  </si>
  <si>
    <t xml:space="preserve">Campaign Tracker update</t>
  </si>
  <si>
    <t xml:space="preserve">Điền spend, leads, tours, enrolls vào D. Campaign Tracker</t>
  </si>
  <si>
    <t xml:space="preserve">Tracker updated</t>
  </si>
  <si>
    <t xml:space="preserve">Weekly review meeting</t>
  </si>
  <si>
    <t xml:space="preserve">Xem 12 KPI | Q: Scale gì, Pause gì, LP nào yếu, Campus nào cần fix</t>
  </si>
  <si>
    <t xml:space="preserve">Thứ 6 16:00</t>
  </si>
  <si>
    <t xml:space="preserve">Todo tuần sau prep</t>
  </si>
  <si>
    <t xml:space="preserve">Xem Battleplan tuần tiếp → Assign tasks → Set priorities</t>
  </si>
  <si>
    <t xml:space="preserve">Next week ready</t>
  </si>
  <si>
    <t xml:space="preserve">Thứ 6 17:30</t>
  </si>
  <si>
    <t xml:space="preserve">📆 TODO LIST HÀNG THÁNG – REVIEW + PLANNING + TUYỂN SINH (Tháng 4–9/2026)</t>
  </si>
  <si>
    <t xml:space="preserve">Tháng/Đội</t>
  </si>
  <si>
    <t xml:space="preserve">Chi tiết / Tiêu chí</t>
  </si>
  <si>
    <t xml:space="preserve">KPI cần đạt</t>
  </si>
  <si>
    <t xml:space="preserve">Owner</t>
  </si>
  <si>
    <t xml:space="preserve">Status</t>
  </si>
  <si>
    <t xml:space="preserve">THÁNG 4/2026 – SETUP + PILOT</t>
  </si>
  <si>
    <t xml:space="preserve">📌 Ngân sách: 1,820,000,000đ | Mục tiêu: 1,400 leads / 420 tours</t>
  </si>
  <si>
    <t xml:space="preserve">Go/No-go decision 31/03</t>
  </si>
  <si>
    <t xml:space="preserve">Tracking đã live? GHL nhận lead? LP hoạt động? Birch kết nối?</t>
  </si>
  <si>
    <t xml:space="preserve">All systems GO</t>
  </si>
  <si>
    <t xml:space="preserve">31/03</t>
  </si>
  <si>
    <t xml:space="preserve">Launch brand + generic search</t>
  </si>
  <si>
    <t xml:space="preserve">Bật Brand Search + Generic cho GV, BT | RSA 2 variant/adgroup</t>
  </si>
  <si>
    <t xml:space="preserve">CTR &gt;6%</t>
  </si>
  <si>
    <t xml:space="preserve">09/04</t>
  </si>
  <si>
    <t xml:space="preserve">Mở Meta campaign đợt 1</t>
  </si>
  <si>
    <t xml:space="preserve">Prospecting MN+TH | Lead Gen THCS+THPT | Test 10-15 creative</t>
  </si>
  <si>
    <t xml:space="preserve">CPL &lt;150k</t>
  </si>
  <si>
    <t xml:space="preserve">Webinar #1 (THCS)</t>
  </si>
  <si>
    <t xml:space="preserve">Chủ đề: Lộ trình lớp 6 | 100+ đăng ký | Chốt tour sau</t>
  </si>
  <si>
    <t xml:space="preserve">100 reg</t>
  </si>
  <si>
    <t xml:space="preserve">15/04</t>
  </si>
  <si>
    <t xml:space="preserve">QA pipeline đầu tiên</t>
  </si>
  <si>
    <t xml:space="preserve">Nghe 20 cuộc gọi đầu | Score | Coaching ngay | Fix script</t>
  </si>
  <si>
    <t xml:space="preserve">Confirm tour slots tháng 4</t>
  </si>
  <si>
    <t xml:space="preserve">Tối thiểu 2 slot/campus/tuần | Brief campus manager</t>
  </si>
  <si>
    <t xml:space="preserve">Slots live</t>
  </si>
  <si>
    <t xml:space="preserve">07/04</t>
  </si>
  <si>
    <t xml:space="preserve">Mid-month CPL review</t>
  </si>
  <si>
    <t xml:space="preserve">CPL từng kênh, từng campus | Scale/pause decision</t>
  </si>
  <si>
    <t xml:space="preserve">Budget adj</t>
  </si>
  <si>
    <t xml:space="preserve">A/B test landing pages</t>
  </si>
  <si>
    <t xml:space="preserve">Test 2 LP version cho THCS/THPT | Measure CVR</t>
  </si>
  <si>
    <t xml:space="preserve">Winner selected</t>
  </si>
  <si>
    <t xml:space="preserve">30/04</t>
  </si>
  <si>
    <t xml:space="preserve">Monthly review tháng 4</t>
  </si>
  <si>
    <t xml:space="preserve">So với target: leads, tours, CPL, response rate | Plan tháng 5</t>
  </si>
  <si>
    <t xml:space="preserve">Report + plan</t>
  </si>
  <si>
    <t xml:space="preserve">THÁNG 5/2026 – MỞ RỘNG + SCALE</t>
  </si>
  <si>
    <t xml:space="preserve">📌 Ngân sách: 2,860,000,000đ | Mục tiêu: 2,400 leads / 720 tours</t>
  </si>
  <si>
    <t xml:space="preserve">Scale campaign thắng tháng 4</t>
  </si>
  <si>
    <t xml:space="preserve">Top 5 adset/campaign → +20-30% budget | KPI-based scaling</t>
  </si>
  <si>
    <t xml:space="preserve">Budget scaled</t>
  </si>
  <si>
    <t xml:space="preserve">05/05</t>
  </si>
  <si>
    <t xml:space="preserve">Mở competitor search</t>
  </si>
  <si>
    <t xml:space="preserve">THPT GV chọn lọc | Landing compare mềm | Budget riêng</t>
  </si>
  <si>
    <t xml:space="preserve">CPL competitor</t>
  </si>
  <si>
    <t xml:space="preserve">07/05</t>
  </si>
  <si>
    <t xml:space="preserve">Webinar #2 (THPT)</t>
  </si>
  <si>
    <t xml:space="preserve">Chủ đề: Tuyển sinh lớp 10, học bổng | 120+ đăng ký</t>
  </si>
  <si>
    <t xml:space="preserve">120 reg</t>
  </si>
  <si>
    <t xml:space="preserve">14/05</t>
  </si>
  <si>
    <t xml:space="preserve">TikTok scale top videos</t>
  </si>
  <si>
    <t xml:space="preserve">Top 5 video by CPV → Spark Ads | Budget TikTok +30%</t>
  </si>
  <si>
    <t xml:space="preserve">CPV ≤2k</t>
  </si>
  <si>
    <t xml:space="preserve">10/05</t>
  </si>
  <si>
    <t xml:space="preserve">Open Day #1</t>
  </si>
  <si>
    <t xml:space="preserve">Tổ chức open campus event | PR + paid + Zalo broadcast</t>
  </si>
  <si>
    <t xml:space="preserve">50+ phụ huynh</t>
  </si>
  <si>
    <t xml:space="preserve">17/05</t>
  </si>
  <si>
    <t xml:space="preserve">Zalo broadcast tỉnh</t>
  </si>
  <si>
    <t xml:space="preserve">Blast toàn bộ Zalo OA subscriber tỉnh | Mời tour tháng 6</t>
  </si>
  <si>
    <t xml:space="preserve">Open ≥40%</t>
  </si>
  <si>
    <t xml:space="preserve">20/05</t>
  </si>
  <si>
    <t xml:space="preserve">Remarketing ramp-up</t>
  </si>
  <si>
    <t xml:space="preserve">Bật strong retarget: học phí visitors, form-not-submit, video viewers</t>
  </si>
  <si>
    <t xml:space="preserve">ROAS tracking</t>
  </si>
  <si>
    <t xml:space="preserve">15/05</t>
  </si>
  <si>
    <t xml:space="preserve">Mid-month review tháng 5</t>
  </si>
  <si>
    <t xml:space="preserve">Check 53% target lead | Lead→Tour rate | School tour quality</t>
  </si>
  <si>
    <t xml:space="preserve">Monthly review tháng 5</t>
  </si>
  <si>
    <t xml:space="preserve">Full KPI review | Budget reallocation tháng 6 | Creative refresh plan</t>
  </si>
  <si>
    <t xml:space="preserve">31/05</t>
  </si>
  <si>
    <t xml:space="preserve">THÁNG 6/2026 – CAO ĐIỂM TOUR</t>
  </si>
  <si>
    <t xml:space="preserve">📌 Ngân sách: 3,120,000,000đ | Mục tiêu: 2,800 leads / 840 tours | Check 53% target</t>
  </si>
  <si>
    <t xml:space="preserve">Tăng ngân sách THCS/THPT</t>
  </si>
  <si>
    <t xml:space="preserve">THCS PN, THCS GV, THPT GV → +25-30% | Dựa trên booked tour data</t>
  </si>
  <si>
    <t xml:space="preserve">01/06</t>
  </si>
  <si>
    <t xml:space="preserve">Test PMax nhỏ</t>
  </si>
  <si>
    <t xml:space="preserve">PMax test 2% Google budget | Chỉ cho THPT | Track riêng quality</t>
  </si>
  <si>
    <t xml:space="preserve">Lead quality</t>
  </si>
  <si>
    <t xml:space="preserve">07/06</t>
  </si>
  <si>
    <t xml:space="preserve">YouTube/Demand Gen scale</t>
  </si>
  <si>
    <t xml:space="preserve">Testimonial video THCS/THPT → Retarget | Webinar reminder</t>
  </si>
  <si>
    <t xml:space="preserve">View-to-tour</t>
  </si>
  <si>
    <t xml:space="preserve">Webinar #3 (THCS - chuyển cấp)</t>
  </si>
  <si>
    <t xml:space="preserve">Lộ trình con tôi học ở đâu sau lớp 5? | 100+ reg</t>
  </si>
  <si>
    <t xml:space="preserve">11/06</t>
  </si>
  <si>
    <t xml:space="preserve">Tăng tour slots + staff</t>
  </si>
  <si>
    <t xml:space="preserve">Mỗi cơ sở có person phụ trách tour đầy đủ | Cuối tuần +1 slot</t>
  </si>
  <si>
    <t xml:space="preserve">Slots full</t>
  </si>
  <si>
    <t xml:space="preserve">05/06</t>
  </si>
  <si>
    <t xml:space="preserve">Open Day #2</t>
  </si>
  <si>
    <t xml:space="preserve">1 event lớn toàn hệ thống hoặc từng campus | PR mạnh</t>
  </si>
  <si>
    <t xml:space="preserve">100+ phụ huynh</t>
  </si>
  <si>
    <t xml:space="preserve">21/06</t>
  </si>
  <si>
    <t xml:space="preserve">Creative refresh tháng 6</t>
  </si>
  <si>
    <t xml:space="preserve">Làm mới toàn bộ creative Meta + TikTok sau 4 tuần chạy</t>
  </si>
  <si>
    <t xml:space="preserve">New creative</t>
  </si>
  <si>
    <t xml:space="preserve">10/06</t>
  </si>
  <si>
    <t xml:space="preserve">Mid-month check 53% target</t>
  </si>
  <si>
    <t xml:space="preserve">Nếu &lt;53% cumulative → trigger dự phòng ngân sách</t>
  </si>
  <si>
    <t xml:space="preserve">Go/escalate</t>
  </si>
  <si>
    <t xml:space="preserve">15/06</t>
  </si>
  <si>
    <t xml:space="preserve">Monthly review tháng 6</t>
  </si>
  <si>
    <t xml:space="preserve">Full KPI | Tour quality | Campus gap analysis | Plan tháng 7</t>
  </si>
  <si>
    <t xml:space="preserve">30/06</t>
  </si>
  <si>
    <t xml:space="preserve">THÁNG 7/2026 – CHỐT SALE</t>
  </si>
  <si>
    <t xml:space="preserve">📌 Ngân sách: 2,860,000,000đ | Mục tiêu: 2,400 leads / 720 tours | &lt;73% target → dự phòng</t>
  </si>
  <si>
    <t xml:space="preserve">Dồn budget vào high-intent</t>
  </si>
  <si>
    <t xml:space="preserve">Học bổng, lớp 6, lớp 10, chốt hồ sơ, deadline | Scale mạnh</t>
  </si>
  <si>
    <t xml:space="preserve">CPL stable</t>
  </si>
  <si>
    <t xml:space="preserve">01/07</t>
  </si>
  <si>
    <t xml:space="preserve">Học bổng campaign</t>
  </si>
  <si>
    <t xml:space="preserve">Meta + Google "học bổng lớp 10", "ưu đãi tuyển sinh" | Deadline rõ</t>
  </si>
  <si>
    <t xml:space="preserve">05/07</t>
  </si>
  <si>
    <t xml:space="preserve">Retarget pipeline stuck</t>
  </si>
  <si>
    <t xml:space="preserve">GHL → Opportunity "No response 7d" → Personal follow-up call</t>
  </si>
  <si>
    <t xml:space="preserve">07/07</t>
  </si>
  <si>
    <t xml:space="preserve">Brand defense mạnh</t>
  </si>
  <si>
    <t xml:space="preserve">Brand search impression share ≥95% | Monitor competitor bids</t>
  </si>
  <si>
    <t xml:space="preserve">IS ≥95%</t>
  </si>
  <si>
    <t xml:space="preserve">Webinar #4 (THPT học bổng)</t>
  </si>
  <si>
    <t xml:space="preserve">Chủ đề học bổng, đầu ra, lộ trình | 120+ reg | Chốt ngay sau</t>
  </si>
  <si>
    <t xml:space="preserve">16/07</t>
  </si>
  <si>
    <t xml:space="preserve">7-day follow-up sequence</t>
  </si>
  <si>
    <t xml:space="preserve">Phụ huynh đã tour chưa chốt → 5 điểm chạm trong 7 ngày</t>
  </si>
  <si>
    <t xml:space="preserve">Conversion rate</t>
  </si>
  <si>
    <t xml:space="preserve">Dự phòng ngân sách check</t>
  </si>
  <si>
    <t xml:space="preserve">Nếu &lt;73% target → Giải ngân quỹ dự phòng theo kịch bản</t>
  </si>
  <si>
    <t xml:space="preserve">15/07</t>
  </si>
  <si>
    <t xml:space="preserve">Monthly review tháng 7</t>
  </si>
  <si>
    <t xml:space="preserve">Full KPI | Lost reason analysis | Plan tháng 8 chốt cuối</t>
  </si>
  <si>
    <t xml:space="preserve">31/07</t>
  </si>
  <si>
    <t xml:space="preserve">THÁNG 8/2026 – VÉT CHỈ TIÊU</t>
  </si>
  <si>
    <t xml:space="preserve">📌 Ngân sách: 1,300,000,000đ | Mục tiêu: 1,200 leads / 360 tours | Gần đạt target</t>
  </si>
  <si>
    <t xml:space="preserve">Retarget mạnh database cũ</t>
  </si>
  <si>
    <t xml:space="preserve">Toàn bộ leads chưa enroll → Remarketing 7d + email + Zalo</t>
  </si>
  <si>
    <t xml:space="preserve">01/08</t>
  </si>
  <si>
    <t xml:space="preserve">Landing "số chỗ có hạn"</t>
  </si>
  <si>
    <t xml:space="preserve">Urgency landing page | CTA "Chốt chỗ ngay" | Countdown timer</t>
  </si>
  <si>
    <t xml:space="preserve">CVR boost</t>
  </si>
  <si>
    <t xml:space="preserve">05/08</t>
  </si>
  <si>
    <t xml:space="preserve">Giảm broad awareness</t>
  </si>
  <si>
    <t xml:space="preserve">Tắt cold audience broad | Giữ brand + high-intent + retarget</t>
  </si>
  <si>
    <t xml:space="preserve">Budget efficient</t>
  </si>
  <si>
    <t xml:space="preserve">Gọi lại toàn bộ pending</t>
  </si>
  <si>
    <t xml:space="preserve">GHL filter: tour attended nhưng chưa deposit → Personal call</t>
  </si>
  <si>
    <t xml:space="preserve">Conversion</t>
  </si>
  <si>
    <t xml:space="preserve">03/08</t>
  </si>
  <si>
    <t xml:space="preserve">Cập nhật số chỗ real-time</t>
  </si>
  <si>
    <t xml:space="preserve">Marketing cần biết campus nào còn chỗ → Daily update</t>
  </si>
  <si>
    <t xml:space="preserve">Transparency</t>
  </si>
  <si>
    <t xml:space="preserve">CAC final review từng campus</t>
  </si>
  <si>
    <t xml:space="preserve">Tính CAC thực từ spend + tour + enroll | So với target</t>
  </si>
  <si>
    <t xml:space="preserve">CAC report</t>
  </si>
  <si>
    <t xml:space="preserve">15/08</t>
  </si>
  <si>
    <t xml:space="preserve">Monthly review tháng 8</t>
  </si>
  <si>
    <t xml:space="preserve">Full KPI | Forecast tháng 9 | Late intake plan | Post-mortem prep</t>
  </si>
  <si>
    <t xml:space="preserve">31/08</t>
  </si>
  <si>
    <t xml:space="preserve">THÁNG 9/2026 – LATE INTAKE + KẾT MÙA</t>
  </si>
  <si>
    <t xml:space="preserve">📌 Ngân sách: 520,000,000đ | Mục tiêu: 400 leads / 120 tours | Late intake + chuyển trường</t>
  </si>
  <si>
    <t xml:space="preserve">Chuyển trường campaign</t>
  </si>
  <si>
    <t xml:space="preserve">"Chuyển trường THPT", "còn nhận hồ sơ", "nhập học muộn"</t>
  </si>
  <si>
    <t xml:space="preserve">Late leads</t>
  </si>
  <si>
    <t xml:space="preserve">01/09</t>
  </si>
  <si>
    <t xml:space="preserve">Brand search only Google</t>
  </si>
  <si>
    <t xml:space="preserve">Chỉ giữ brand + late-intent | Cắt generic broad</t>
  </si>
  <si>
    <t xml:space="preserve">CPL efficient</t>
  </si>
  <si>
    <t xml:space="preserve">Reactivation database</t>
  </si>
  <si>
    <t xml:space="preserve">Gọi lại ALL leads từ tháng 4-8 chưa enroll | Personal touch</t>
  </si>
  <si>
    <t xml:space="preserve">05/09</t>
  </si>
  <si>
    <t xml:space="preserve">Late enrollment process</t>
  </si>
  <si>
    <t xml:space="preserve">Quy trình hồ sơ nhanh 48h | Brief staff xử lý gấp</t>
  </si>
  <si>
    <t xml:space="preserve">Process ready</t>
  </si>
  <si>
    <t xml:space="preserve">Post-mortem session</t>
  </si>
  <si>
    <t xml:space="preserve">Full mùa review: Kênh nào thắng? Kênh nào waste? Học gì?</t>
  </si>
  <si>
    <t xml:space="preserve">Learnings doc</t>
  </si>
  <si>
    <t xml:space="preserve">25/09</t>
  </si>
  <si>
    <t xml:space="preserve">Kế hoạch 2027 đề xuất</t>
  </si>
  <si>
    <t xml:space="preserve">Dựa trên data thực → Đề xuất ngân sách, kênh, campus, KPI 2027</t>
  </si>
  <si>
    <t xml:space="preserve">Draft plan</t>
  </si>
  <si>
    <t xml:space="preserve">30/09</t>
  </si>
  <si>
    <t xml:space="preserve">📊 CAMPAIGN TRACKER – THEO DÕI TỪNG CAMPAIGN THEO TUẦN (GOOGLE + META + TIKTOK + ZALO)</t>
  </si>
  <si>
    <t xml:space="preserve">Nhập dữ liệu thực tế mỗi tuần vào cột tương ứng. Cột màu xanh = auto-calculated. Liên kết với A. KPI Weekly Tracker.</t>
  </si>
  <si>
    <t xml:space="preserve">Campaign Name</t>
  </si>
  <si>
    <t xml:space="preserve">Spend (đ)</t>
  </si>
  <si>
    <t xml:space="preserve">CTR</t>
  </si>
  <si>
    <t xml:space="preserve">Q.Leads</t>
  </si>
  <si>
    <t xml:space="preserve">CPL (đ)</t>
  </si>
  <si>
    <t xml:space="preserve">Q.Rate</t>
  </si>
  <si>
    <t xml:space="preserve">Enrolls</t>
  </si>
  <si>
    <t xml:space="preserve">Hệ thống</t>
  </si>
  <si>
    <t xml:space="preserve">☐ Active</t>
  </si>
  <si>
    <t xml:space="preserve">S_MN_GV_Brand</t>
  </si>
  <si>
    <t xml:space="preserve">MN GV</t>
  </si>
  <si>
    <t xml:space="preserve">TH GV</t>
  </si>
  <si>
    <t xml:space="preserve">TH BT</t>
  </si>
  <si>
    <t xml:space="preserve">S_TH_BT_HighIntent</t>
  </si>
  <si>
    <t xml:space="preserve">THCS GV</t>
  </si>
  <si>
    <t xml:space="preserve">S_THCS_GV_Webinar</t>
  </si>
  <si>
    <t xml:space="preserve">THPT GV</t>
  </si>
  <si>
    <t xml:space="preserve">S_THPT_GV_Competitor</t>
  </si>
  <si>
    <t xml:space="preserve">RMKT_HocPhiVisitors</t>
  </si>
  <si>
    <t xml:space="preserve">YT_THCS_THPT_Testi</t>
  </si>
  <si>
    <t xml:space="preserve">G.YouTube</t>
  </si>
  <si>
    <t xml:space="preserve">PMax_Test_THPT</t>
  </si>
  <si>
    <t xml:space="preserve">G.PMax</t>
  </si>
  <si>
    <t xml:space="preserve">MN_NL_Local</t>
  </si>
  <si>
    <t xml:space="preserve">MN NL</t>
  </si>
  <si>
    <t xml:space="preserve">MN_TS_Local</t>
  </si>
  <si>
    <t xml:space="preserve">MN TS</t>
  </si>
  <si>
    <t xml:space="preserve">MN_MX_Local</t>
  </si>
  <si>
    <t xml:space="preserve">MN MX</t>
  </si>
  <si>
    <t xml:space="preserve">THPT_GV_Webinar</t>
  </si>
  <si>
    <t xml:space="preserve">RMKT_Meta_HotAudience</t>
  </si>
  <si>
    <t xml:space="preserve">RMKT_Meta_VideoViews</t>
  </si>
  <si>
    <t xml:space="preserve">MN All</t>
  </si>
  <si>
    <t xml:space="preserve">Spark_Testi_TH</t>
  </si>
  <si>
    <t xml:space="preserve">TH All</t>
  </si>
  <si>
    <t xml:space="preserve">Spark_Testi_THCS</t>
  </si>
  <si>
    <t xml:space="preserve">TT_THPT_LeadGen</t>
  </si>
  <si>
    <t xml:space="preserve">Zalo_THCS_Webinar</t>
  </si>
  <si>
    <t xml:space="preserve">Zalo_THPT_Webinar</t>
  </si>
  <si>
    <t xml:space="preserve">📊 TỔNG CỘNG</t>
  </si>
  <si>
    <t xml:space="preserve">📱 KẾ HOẠCH META ADS CHI TIẾT – 04/2026 → 09/2026 (Facebook + Instagram)</t>
  </si>
  <si>
    <t xml:space="preserve">Tổng ngân sách Meta: 3,230,000,000đ (38% Paid Media) | CPL mục tiêu: 120,000đ | Kênh chủ lực tạo demand + lead</t>
  </si>
  <si>
    <t xml:space="preserve">💰 NGÂN SÁCH META THEO THÁNG (04-09/2026)</t>
  </si>
  <si>
    <t xml:space="preserve">% NS tháng</t>
  </si>
  <si>
    <t xml:space="preserve">Ngân sách Meta</t>
  </si>
  <si>
    <t xml:space="preserve">KPI Lead</t>
  </si>
  <si>
    <t xml:space="preserve">KPI Tour</t>
  </si>
  <si>
    <t xml:space="preserve">Setup + test creative | Prospecting cold</t>
  </si>
  <si>
    <t xml:space="preserve">Prospecting, Lead Gen</t>
  </si>
  <si>
    <t xml:space="preserve">Scale lead | Open Day | Webinar push</t>
  </si>
  <si>
    <t xml:space="preserve">Lookalike + Webinar</t>
  </si>
  <si>
    <t xml:space="preserve">Tour cao điểm | Remarket mạnh</t>
  </si>
  <si>
    <t xml:space="preserve">Retarget + High Intent</t>
  </si>
  <si>
    <t xml:space="preserve">Chốt sale | Học bổng | Pipeline</t>
  </si>
  <si>
    <t xml:space="preserve">Remarketing + Deadline</t>
  </si>
  <si>
    <t xml:space="preserve">Heavy Remarketing</t>
  </si>
  <si>
    <t xml:space="preserve">Late intake | Chuyển trường | Brand</t>
  </si>
  <si>
    <t xml:space="preserve">Brand + Late Intent</t>
  </si>
  <si>
    <t xml:space="preserve">🗂️ CẤU TRÚC CAMPAIGN META ADS – PHÂN THEO CƠ SỞ + MỤC TIÊU</t>
  </si>
  <si>
    <t xml:space="preserve">KPI chính</t>
  </si>
  <si>
    <t xml:space="preserve">Geo 5km MN GV | Age 25-40 | Parenting | LA 1-3%</t>
  </si>
  <si>
    <t xml:space="preserve">Video testi 15-30s + Carousel + Lead form</t>
  </si>
  <si>
    <t xml:space="preserve">CPL &lt;120k, Tour/tháng</t>
  </si>
  <si>
    <t xml:space="preserve">Geo Cần Giuộc-Tây Ninh | Age 25-40 | Local</t>
  </si>
  <si>
    <t xml:space="preserve">Ảnh campus + text local | Lead form VN</t>
  </si>
  <si>
    <t xml:space="preserve">Pipeline MN NL</t>
  </si>
  <si>
    <t xml:space="preserve">CPL &lt;100k</t>
  </si>
  <si>
    <t xml:space="preserve">Geo KDC Thái Sơn | Age 25-40 | Parenting</t>
  </si>
  <si>
    <t xml:space="preserve">Image + text đơn giản | Hotline CTA</t>
  </si>
  <si>
    <t xml:space="preserve">Pipeline MN TS</t>
  </si>
  <si>
    <t xml:space="preserve">Geo Rạch Giá-An Giang | Age 25-40</t>
  </si>
  <si>
    <t xml:space="preserve">Ảnh campus + lead form | Local dialect</t>
  </si>
  <si>
    <t xml:space="preserve">Pipeline MN MX</t>
  </si>
  <si>
    <t xml:space="preserve">CPL &lt;90k</t>
  </si>
  <si>
    <t xml:space="preserve">Geo Gò Vấp | Age 28-42 | Education parent</t>
  </si>
  <si>
    <t xml:space="preserve">Video "Nền tảng lớp 1" + Carousel + Form</t>
  </si>
  <si>
    <t xml:space="preserve">Pipeline TH GV</t>
  </si>
  <si>
    <t xml:space="preserve">CPL &lt;130k</t>
  </si>
  <si>
    <t xml:space="preserve">Geo Bình Tân | Age 28-42 | Parents</t>
  </si>
  <si>
    <t xml:space="preserve">Image + text | School tour CTA</t>
  </si>
  <si>
    <t xml:space="preserve">Pipeline TH BT</t>
  </si>
  <si>
    <t xml:space="preserve">TH_Tinh_Local</t>
  </si>
  <si>
    <t xml:space="preserve">Geo Tây Ninh + An Giang | Age 28-42</t>
  </si>
  <si>
    <t xml:space="preserve">Local image + text | Hotline + form</t>
  </si>
  <si>
    <t xml:space="preserve">Pipeline TH Tỉnh</t>
  </si>
  <si>
    <t xml:space="preserve">Geo GV+5km | Age 32-48 | HS cấp 1 parent</t>
  </si>
  <si>
    <t xml:space="preserve">Video testi "Chuyển cấp" + Lead form</t>
  </si>
  <si>
    <t xml:space="preserve">CPL &lt;160k</t>
  </si>
  <si>
    <t xml:space="preserve">Geo HCM | Age 32-48 | Education</t>
  </si>
  <si>
    <t xml:space="preserve">Video webinar invitation + Carousel benefits</t>
  </si>
  <si>
    <t xml:space="preserve">Pipeline Webinar</t>
  </si>
  <si>
    <t xml:space="preserve">Reg &lt;50k</t>
  </si>
  <si>
    <t xml:space="preserve">Geo GV+HCM | Age 36-52 | Lớp 9 parent</t>
  </si>
  <si>
    <t xml:space="preserve">Video "Lộ trình THPT" + Lead form</t>
  </si>
  <si>
    <t xml:space="preserve">CPL &lt;180k</t>
  </si>
  <si>
    <t xml:space="preserve">Geo HCM+Tỉnh | Age 36-52</t>
  </si>
  <si>
    <t xml:space="preserve">Video webinar invitation "Chọn trường lớp 10"</t>
  </si>
  <si>
    <t xml:space="preserve">Geo HCM | Age 36-52 | Edu, competition</t>
  </si>
  <si>
    <t xml:space="preserve">Image học bổng + USP + deadline</t>
  </si>
  <si>
    <t xml:space="preserve">Pipeline HB</t>
  </si>
  <si>
    <t xml:space="preserve">Website visitors 7d | Form open no submit</t>
  </si>
  <si>
    <t xml:space="preserve">Dynamic creative + urgency CTA</t>
  </si>
  <si>
    <t xml:space="preserve">Follow-up seq</t>
  </si>
  <si>
    <t xml:space="preserve">Video viewers 25%+ | Page engagers 21d</t>
  </si>
  <si>
    <t xml:space="preserve">Testimonial video + tour invitation</t>
  </si>
  <si>
    <t xml:space="preserve">Nurture seq</t>
  </si>
  <si>
    <t xml:space="preserve">Tour booked</t>
  </si>
  <si>
    <t xml:space="preserve">Retarget_60d_Old</t>
  </si>
  <si>
    <t xml:space="preserve">Website visitors 22-60d</t>
  </si>
  <si>
    <t xml:space="preserve">Brand video + campus life</t>
  </si>
  <si>
    <t xml:space="preserve">Reach, Recall</t>
  </si>
  <si>
    <t xml:space="preserve">Broad HCM | Age 25-50 | Parents</t>
  </si>
  <si>
    <t xml:space="preserve">Brand video &lt;15s | USP overlay</t>
  </si>
  <si>
    <t xml:space="preserve">CPM, Recall</t>
  </si>
  <si>
    <t xml:space="preserve">🎯 KPI MỤC TIÊU META ADS THEO THÁNG</t>
  </si>
  <si>
    <t xml:space="preserve">CPL mục tiêu (đ)</t>
  </si>
  <si>
    <t xml:space="preserve">CTR mục tiêu</t>
  </si>
  <si>
    <t xml:space="preserve">1.2%</t>
  </si>
  <si>
    <t xml:space="preserve">1.5%</t>
  </si>
  <si>
    <t xml:space="preserve">1.8%</t>
  </si>
  <si>
    <t xml:space="preserve">CPM mục tiêu (đ)</t>
  </si>
  <si>
    <t xml:space="preserve">Leads/tháng</t>
  </si>
  <si>
    <t xml:space="preserve">40%</t>
  </si>
  <si>
    <t xml:space="preserve">45%</t>
  </si>
  <si>
    <t xml:space="preserve">50%</t>
  </si>
  <si>
    <t xml:space="preserve">48%</t>
  </si>
  <si>
    <t xml:space="preserve">Booked Tour/tháng</t>
  </si>
  <si>
    <t xml:space="preserve">Cost/Tour mục tiêu</t>
  </si>
  <si>
    <t xml:space="preserve">🔍 KẾ HOẠCH GOOGLE ADS CHI TIẾT – 04/2026 → 09/2026 (Search + Display + YouTube + PMax)</t>
  </si>
  <si>
    <t xml:space="preserve">Google Search: 1,530,000,000đ | G.Display/YouTube: 595,000,000đ | Tổng: 2,125,000,000đ | CPL mục tiêu: 180,000đ</t>
  </si>
  <si>
    <t xml:space="preserve">💰 NGÂN SÁCH GOOGLE ADS THEO THÁNG</t>
  </si>
  <si>
    <t xml:space="preserve">Search</t>
  </si>
  <si>
    <t xml:space="preserve">Display/YT</t>
  </si>
  <si>
    <t xml:space="preserve">PMax Test</t>
  </si>
  <si>
    <t xml:space="preserve">Tổng</t>
  </si>
  <si>
    <t xml:space="preserve">26/03-03/2026</t>
  </si>
  <si>
    <t xml:space="preserve">Setup + pilot Brand + GV</t>
  </si>
  <si>
    <t xml:space="preserve">Brand + Generic all campus</t>
  </si>
  <si>
    <t xml:space="preserve">Scale generic + webinar search</t>
  </si>
  <si>
    <t xml:space="preserve">High intent + PMax test</t>
  </si>
  <si>
    <t xml:space="preserve">Chốt + học bổng search</t>
  </si>
  <si>
    <t xml:space="preserve">Remarketing + brand defense</t>
  </si>
  <si>
    <t xml:space="preserve">Late intent + chuyển trường</t>
  </si>
  <si>
    <t xml:space="preserve">🎯 KPI MỤC TIÊU GOOGLE ADS THEO THÁNG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</si>
  <si>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</si>
  <si>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</si>
  <si>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</si>
  <si>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</si>
  <si>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</si>
  <si>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</si>
  <si>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CTR Search mục tiêu</t>
  </si>
  <si>
    <t xml:space="preserve">6%</t>
  </si>
  <si>
    <t xml:space="preserve">8%</t>
  </si>
  <si>
    <t xml:space="preserve">55%</t>
  </si>
  <si>
    <t xml:space="preserve">Landing CVR</t>
  </si>
  <si>
    <t xml:space="preserve">4%</t>
  </si>
  <si>
    <t xml:space="preserve">Leads Google/tháng</t>
  </si>
  <si>
    <t xml:space="preserve">Cost/Booked Tour</t>
  </si>
  <si>
    <t xml:space="preserve">Brand IS mục tiêu</t>
  </si>
  <si>
    <t xml:space="preserve">80%</t>
  </si>
  <si>
    <t xml:space="preserve">85%</t>
  </si>
  <si>
    <t xml:space="preserve">90%</t>
  </si>
  <si>
    <t xml:space="preserve">⚙️ BIRCH + GOHIGHLEVEL – INTEGRATION SETUP + AUTOMATION RULES</t>
  </si>
  <si>
    <t xml:space="preserve">🎛️ BIRCH CONTROL TOWER – GIÁ TRỊ ĐIỀU KHIỂN (Google Sheets single-value cells)</t>
  </si>
  <si>
    <t xml:space="preserve">Cell</t>
  </si>
  <si>
    <t xml:space="preserve">Tên biến</t>
  </si>
  <si>
    <t xml:space="preserve">Ý nghĩa</t>
  </si>
  <si>
    <t xml:space="preserve">Cập nhật khi</t>
  </si>
  <si>
    <t xml:space="preserve">B2</t>
  </si>
  <si>
    <t xml:space="preserve">current_month_budget</t>
  </si>
  <si>
    <t xml:space="preserve">Ngân sách Google Search tháng hiện tại</t>
  </si>
  <si>
    <t xml:space="preserve">B3</t>
  </si>
  <si>
    <t xml:space="preserve">remaining_budget</t>
  </si>
  <si>
    <t xml:space="preserve">Ngân sách còn lại (nhập tay hoặc tính)</t>
  </si>
  <si>
    <t xml:space="preserve">Perf. Marketer</t>
  </si>
  <si>
    <t xml:space="preserve">B4</t>
  </si>
  <si>
    <t xml:space="preserve">account_cpl_target</t>
  </si>
  <si>
    <t xml:space="preserve">CPL mục tiêu toàn account Google</t>
  </si>
  <si>
    <t xml:space="preserve">B5</t>
  </si>
  <si>
    <t xml:space="preserve">cost_per_tour_target</t>
  </si>
  <si>
    <t xml:space="preserve">Cost/Booked Tour mục tiêu</t>
  </si>
  <si>
    <t xml:space="preserve">B6</t>
  </si>
  <si>
    <t xml:space="preserve">cac_target</t>
  </si>
  <si>
    <t xml:space="preserve">CAC mục tiêu trung bình</t>
  </si>
  <si>
    <t xml:space="preserve">B7</t>
  </si>
  <si>
    <t xml:space="preserve">min_qualified_rate</t>
  </si>
  <si>
    <t xml:space="preserve">Qualified rate tối thiểu để không scale</t>
  </si>
  <si>
    <t xml:space="preserve">B8</t>
  </si>
  <si>
    <t xml:space="preserve">min_booked_tour_rate</t>
  </si>
  <si>
    <t xml:space="preserve">Booked tour rate tối thiểu</t>
  </si>
  <si>
    <t xml:space="preserve">B9</t>
  </si>
  <si>
    <t xml:space="preserve">min_showup_rate</t>
  </si>
  <si>
    <t xml:space="preserve">Show-up rate tối thiểu</t>
  </si>
  <si>
    <t xml:space="preserve">B10</t>
  </si>
  <si>
    <t xml:space="preserve">max_daily_scale_pct</t>
  </si>
  <si>
    <t xml:space="preserve">Tối đa tăng ngân sách mỗi ngày (15%)</t>
  </si>
  <si>
    <t xml:space="preserve">B11</t>
  </si>
  <si>
    <t xml:space="preserve">max_daily_reduce_pct</t>
  </si>
  <si>
    <t xml:space="preserve">Tối đa giảm ngân sách mỗi ngày (15%)</t>
  </si>
  <si>
    <t xml:space="preserve">B12</t>
  </si>
  <si>
    <t xml:space="preserve">pmax_test_cap</t>
  </si>
  <si>
    <t xml:space="preserve">Trần ngân sách PMax test</t>
  </si>
  <si>
    <t xml:space="preserve">B13</t>
  </si>
  <si>
    <t xml:space="preserve">brand_is_target</t>
  </si>
  <si>
    <t xml:space="preserve">Brand impression share tối thiểu cần giữ</t>
  </si>
  <si>
    <t xml:space="preserve">🤖 10 AUTOMATION RULES MẪU – BIRCH GOOGLE ADS</t>
  </si>
  <si>
    <t xml:space="preserve">Tên Rule</t>
  </si>
  <si>
    <t xml:space="preserve">Điều kiện (Conditions)</t>
  </si>
  <si>
    <t xml:space="preserve">Hành động (Action)</t>
  </si>
  <si>
    <t xml:space="preserve">Priority</t>
  </si>
  <si>
    <t xml:space="preserve">R01</t>
  </si>
  <si>
    <t xml:space="preserve">ALERT – CPL Quá Cao</t>
  </si>
  <si>
    <t xml:space="preserve">Spend 3 ngày &gt; 500k | CPL &gt; target 120% | Leads &gt; 0</t>
  </si>
  <si>
    <t xml:space="preserve">Gửi cảnh báo Slack + Email ngay | KHÔNG tự thay đổi budget</t>
  </si>
  <si>
    <t xml:space="preserve">Campaign (All Search)</t>
  </si>
  <si>
    <t xml:space="preserve">Very High</t>
  </si>
  <si>
    <t xml:space="preserve">🟢 Active</t>
  </si>
  <si>
    <t xml:space="preserve">R02</t>
  </si>
  <si>
    <t xml:space="preserve">ALERT – Zero Lead Alarm</t>
  </si>
  <si>
    <t xml:space="preserve">Spend 2 ngày &gt; threshold | Leads = 0 | Not paused</t>
  </si>
  <si>
    <t xml:space="preserve">Gửi cảnh báo khẩn | Pause ad group nếu sau 24h không có lead</t>
  </si>
  <si>
    <t xml:space="preserve">Ad Group</t>
  </si>
  <si>
    <t xml:space="preserve">R03</t>
  </si>
  <si>
    <t xml:space="preserve">ALERT – Brand IS Drop</t>
  </si>
  <si>
    <t xml:space="preserve">Brand campaign | Impression Share &lt; 80% | Any day</t>
  </si>
  <si>
    <t xml:space="preserve">Gửi cảnh báo | Increase brand campaign budget +20%</t>
  </si>
  <si>
    <t xml:space="preserve">Campaign (Brand)</t>
  </si>
  <si>
    <t xml:space="preserve">R04</t>
  </si>
  <si>
    <t xml:space="preserve">SCALE – Campaign Thắng</t>
  </si>
  <si>
    <t xml:space="preserve">CPL &lt;= target | Qualified Rate (Sheets) &gt;= 50% | Booked Tour (Sheets) &gt;= 2/tuần | Spend ổn định 5 ngày</t>
  </si>
  <si>
    <t xml:space="preserve">Increase daily budget +15% | Max 1 lần/ngày | Không vượt cap từ Sheets</t>
  </si>
  <si>
    <t xml:space="preserve">Campaign (Search)</t>
  </si>
  <si>
    <t xml:space="preserve">High</t>
  </si>
  <si>
    <t xml:space="preserve">🟡 Review 1st</t>
  </si>
  <si>
    <t xml:space="preserve">R05</t>
  </si>
  <si>
    <t xml:space="preserve">REDUCE – Campaign Yếu</t>
  </si>
  <si>
    <t xml:space="preserve">CPL &gt; target +25% | Spend &gt; min threshold | Qualified Rate &lt; 40%</t>
  </si>
  <si>
    <t xml:space="preserve">Reduce daily budget -15% | Gửi notify | Review landing page</t>
  </si>
  <si>
    <t xml:space="preserve">R06</t>
  </si>
  <si>
    <t xml:space="preserve">PAUSE – Keyword Lãng Phí</t>
  </si>
  <si>
    <t xml:space="preserve">Keyword spend &gt; 300k | Conversions = 0 | CPC &gt; avg +50%</t>
  </si>
  <si>
    <t xml:space="preserve">Pause keyword | Add to review list | Gửi notify</t>
  </si>
  <si>
    <t xml:space="preserve">Medium</t>
  </si>
  <si>
    <t xml:space="preserve">R07</t>
  </si>
  <si>
    <t xml:space="preserve">WEBINAR – Scale Pre-Event</t>
  </si>
  <si>
    <t xml:space="preserve">Webinar campaign | Reg Cost trong target | Event date còn 3-7 ngày</t>
  </si>
  <si>
    <t xml:space="preserve">Increase budget +25% | Priority: THCS/THPT | Run 48h before event</t>
  </si>
  <si>
    <t xml:space="preserve">Campaign (Webinar)</t>
  </si>
  <si>
    <t xml:space="preserve">R08</t>
  </si>
  <si>
    <t xml:space="preserve">PMAX – Test Controlled</t>
  </si>
  <si>
    <t xml:space="preserve">PMax campaign | CPL &gt; Search CPL + 30% | Spend &gt; cap từ Sheets</t>
  </si>
  <si>
    <t xml:space="preserve">Reduce PMax budget | Protect Search budget | Alert team</t>
  </si>
  <si>
    <t xml:space="preserve">Campaign (PMax)</t>
  </si>
  <si>
    <t xml:space="preserve">🔴 Manual only</t>
  </si>
  <si>
    <t xml:space="preserve">R09</t>
  </si>
  <si>
    <t xml:space="preserve">REMARKETING – Activation</t>
  </si>
  <si>
    <t xml:space="preserve">Display/RLSA remarketing | Audience size &gt; 1000 | CTR &lt; 0.5%</t>
  </si>
  <si>
    <t xml:space="preserve">Refresh creative assets | Notify content team | Try new message</t>
  </si>
  <si>
    <t xml:space="preserve">Campaign (Display)</t>
  </si>
  <si>
    <t xml:space="preserve">R10</t>
  </si>
  <si>
    <t xml:space="preserve">BRAND – Always-On Guard</t>
  </si>
  <si>
    <t xml:space="preserve">Brand campaign | Budget remaining &lt; 20% | Day &lt; 25th month</t>
  </si>
  <si>
    <t xml:space="preserve">Increase brand budget từ general pool | Ensure IS ≥ 90%</t>
  </si>
  <si>
    <t xml:space="preserve">🔄 WEBHOOK PAYLOAD – GHL → GOOGLE SHEETS</t>
  </si>
  <si>
    <t xml:space="preserve">Field</t>
  </si>
  <si>
    <t xml:space="preserve">GHL Source</t>
  </si>
  <si>
    <t xml:space="preserve">Sheet Column</t>
  </si>
  <si>
    <t xml:space="preserve">Data Type</t>
  </si>
  <si>
    <t xml:space="preserve">Ví dụ</t>
  </si>
  <si>
    <t xml:space="preserve">timestamp</t>
  </si>
  <si>
    <t xml:space="preserve">Workflow timestamp</t>
  </si>
  <si>
    <t xml:space="preserve">DateTime</t>
  </si>
  <si>
    <t xml:space="preserve">Time-series analysis</t>
  </si>
  <si>
    <t xml:space="preserve">2026-04-15T09:30:00</t>
  </si>
  <si>
    <t xml:space="preserve">contact_id</t>
  </si>
  <si>
    <t xml:space="preserve">Contact ID</t>
  </si>
  <si>
    <t xml:space="preserve">String</t>
  </si>
  <si>
    <t xml:space="preserve">Deduplication</t>
  </si>
  <si>
    <t xml:space="preserve">abc123xyz</t>
  </si>
  <si>
    <t xml:space="preserve">contact_name</t>
  </si>
  <si>
    <t xml:space="preserve">Contact Name</t>
  </si>
  <si>
    <t xml:space="preserve">Reference</t>
  </si>
  <si>
    <t xml:space="preserve">Nguyễn Văn A</t>
  </si>
  <si>
    <t xml:space="preserve">phone</t>
  </si>
  <si>
    <t xml:space="preserve">Contact Phone</t>
  </si>
  <si>
    <t xml:space="preserve">Match with ads click ID</t>
  </si>
  <si>
    <t xml:space="preserve">0901234567</t>
  </si>
  <si>
    <t xml:space="preserve">email</t>
  </si>
  <si>
    <t xml:space="preserve">Contact Email</t>
  </si>
  <si>
    <t xml:space="preserve">Match + exclusion</t>
  </si>
  <si>
    <t xml:space="preserve">a@email.com</t>
  </si>
  <si>
    <t xml:space="preserve">campus</t>
  </si>
  <si>
    <t xml:space="preserve">Custom Field: Campus</t>
  </si>
  <si>
    <t xml:space="preserve">Campus-level reporting</t>
  </si>
  <si>
    <t xml:space="preserve">grade</t>
  </si>
  <si>
    <t xml:space="preserve">Custom Field: Grade</t>
  </si>
  <si>
    <t xml:space="preserve">Grade-level reporting</t>
  </si>
  <si>
    <t xml:space="preserve">source_channel</t>
  </si>
  <si>
    <t xml:space="preserve">Custom Field: Source Channel</t>
  </si>
  <si>
    <t xml:space="preserve">Attribution</t>
  </si>
  <si>
    <t xml:space="preserve">google_search</t>
  </si>
  <si>
    <t xml:space="preserve">campaign_id</t>
  </si>
  <si>
    <t xml:space="preserve">Custom Field: Campaign ID</t>
  </si>
  <si>
    <t xml:space="preserve">Campaign-level quality</t>
  </si>
  <si>
    <t xml:space="preserve">campaign_name</t>
  </si>
  <si>
    <t xml:space="preserve">Custom Field: Campaign Name</t>
  </si>
  <si>
    <t xml:space="preserve">Readable name</t>
  </si>
  <si>
    <t xml:space="preserve">Search MN GV Generic</t>
  </si>
  <si>
    <t xml:space="preserve">keyword_theme</t>
  </si>
  <si>
    <t xml:space="preserve">Custom Field: Keyword Theme</t>
  </si>
  <si>
    <t xml:space="preserve">Keyword quality analysis</t>
  </si>
  <si>
    <t xml:space="preserve">generic</t>
  </si>
  <si>
    <t xml:space="preserve">lead_status</t>
  </si>
  <si>
    <t xml:space="preserve">Pipeline Stage</t>
  </si>
  <si>
    <t xml:space="preserve">Funnel position</t>
  </si>
  <si>
    <t xml:space="preserve">qualified</t>
  </si>
  <si>
    <t xml:space="preserve">qualified_flag</t>
  </si>
  <si>
    <t xml:space="preserve">Custom Field: Qualified</t>
  </si>
  <si>
    <t xml:space="preserve">M</t>
  </si>
  <si>
    <t xml:space="preserve">Boolean</t>
  </si>
  <si>
    <t xml:space="preserve">Birch Qualified Rate calc</t>
  </si>
  <si>
    <t xml:space="preserve">TRUE</t>
  </si>
  <si>
    <t xml:space="preserve">tour_booked</t>
  </si>
  <si>
    <t xml:space="preserve">Custom Field: Tour Date</t>
  </si>
  <si>
    <t xml:space="preserve">N</t>
  </si>
  <si>
    <t xml:space="preserve">Date</t>
  </si>
  <si>
    <t xml:space="preserve">Tour tracking</t>
  </si>
  <si>
    <t xml:space="preserve">2026-04-20</t>
  </si>
  <si>
    <t xml:space="preserve">tour_attended</t>
  </si>
  <si>
    <t xml:space="preserve">Custom Field: Tour Attended</t>
  </si>
  <si>
    <t xml:space="preserve">O</t>
  </si>
  <si>
    <t xml:space="preserve">Show-up rate</t>
  </si>
  <si>
    <t xml:space="preserve">enrolled</t>
  </si>
  <si>
    <t xml:space="preserve">Custom Field: Enrollment</t>
  </si>
  <si>
    <t xml:space="preserve">P</t>
  </si>
  <si>
    <t xml:space="preserve">Final conversion</t>
  </si>
  <si>
    <t xml:space="preserve">FALSE</t>
  </si>
  <si>
    <t xml:space="preserve">utm_source</t>
  </si>
  <si>
    <t xml:space="preserve">Hidden field / UTM</t>
  </si>
  <si>
    <t xml:space="preserve">Q</t>
  </si>
  <si>
    <t xml:space="preserve">GA4 attribution match</t>
  </si>
  <si>
    <t xml:space="preserve">google</t>
  </si>
  <si>
    <t xml:space="preserve">utm_medium</t>
  </si>
  <si>
    <t xml:space="preserve">R</t>
  </si>
  <si>
    <t xml:space="preserve">Channel attribution</t>
  </si>
  <si>
    <t xml:space="preserve">cpc</t>
  </si>
  <si>
    <t xml:space="preserve">utm_campaign</t>
  </si>
  <si>
    <t xml:space="preserve">S</t>
  </si>
  <si>
    <t xml:space="preserve">Campaign attribution</t>
  </si>
  <si>
    <t xml:space="preserve">📊 BIRCH AUTOMATION RULES – CHI TIẾT</t>
  </si>
  <si>
    <t xml:space="preserve">Rule Name</t>
  </si>
  <si>
    <t xml:space="preserve">IF Condition</t>
  </si>
  <si>
    <t xml:space="preserve">AND Condition</t>
  </si>
  <si>
    <t xml:space="preserve">Time Window</t>
  </si>
  <si>
    <t xml:space="preserve">THEN Action</t>
  </si>
  <si>
    <t xml:space="preserve">Alert Channel</t>
  </si>
  <si>
    <t xml:space="preserve">Frequency</t>
  </si>
  <si>
    <t xml:space="preserve">CPL High Alert</t>
  </si>
  <si>
    <t xml:space="preserve">CPL &gt; target × 1.2</t>
  </si>
  <si>
    <t xml:space="preserve">Spend &gt; 500,000/day</t>
  </si>
  <si>
    <t xml:space="preserve">3 days rolling</t>
  </si>
  <si>
    <t xml:space="preserve">Send alert + Tag campaign for review</t>
  </si>
  <si>
    <t xml:space="preserve">Slack + Email</t>
  </si>
  <si>
    <t xml:space="preserve">Daily check</t>
  </si>
  <si>
    <t xml:space="preserve">🔴 High</t>
  </si>
  <si>
    <t xml:space="preserve">Zero Lead Alert</t>
  </si>
  <si>
    <t xml:space="preserve">Leads = 0</t>
  </si>
  <si>
    <t xml:space="preserve">Spend &gt; 500,000</t>
  </si>
  <si>
    <t xml:space="preserve">Send alert + Auto-pause if 5 days</t>
  </si>
  <si>
    <t xml:space="preserve">Scale Winner</t>
  </si>
  <si>
    <t xml:space="preserve">CPL &lt; target × 0.8</t>
  </si>
  <si>
    <t xml:space="preserve">Qualified Rate &gt; 50%</t>
  </si>
  <si>
    <t xml:space="preserve">7 days rolling</t>
  </si>
  <si>
    <t xml:space="preserve">Increase budget +15%</t>
  </si>
  <si>
    <t xml:space="preserve">Email notification</t>
  </si>
  <si>
    <t xml:space="preserve">Weekly</t>
  </si>
  <si>
    <t xml:space="preserve">🟡 Medium</t>
  </si>
  <si>
    <t xml:space="preserve">Pause Loser</t>
  </si>
  <si>
    <t xml:space="preserve">CPL &gt; target × 1.3</t>
  </si>
  <si>
    <t xml:space="preserve">Tour Rate &lt; 10%</t>
  </si>
  <si>
    <t xml:space="preserve">5 days rolling</t>
  </si>
  <si>
    <t xml:space="preserve">Decrease budget -15% → Pause if persists</t>
  </si>
  <si>
    <t xml:space="preserve">KW Waste Pause</t>
  </si>
  <si>
    <t xml:space="preserve">Keyword Spend &gt; 500K</t>
  </si>
  <si>
    <t xml:space="preserve">Conversions = 0</t>
  </si>
  <si>
    <t xml:space="preserve">14 days</t>
  </si>
  <si>
    <t xml:space="preserve">Pause keyword</t>
  </si>
  <si>
    <t xml:space="preserve">Email log</t>
  </si>
  <si>
    <t xml:space="preserve">Brand Always-On</t>
  </si>
  <si>
    <t xml:space="preserve">Brand campaign paused/limited</t>
  </si>
  <si>
    <t xml:space="preserve">Alert + Auto-enable</t>
  </si>
  <si>
    <t xml:space="preserve">Slack immediate</t>
  </si>
  <si>
    <t xml:space="preserve">🔴 Critical</t>
  </si>
  <si>
    <t xml:space="preserve">Budget Pacing</t>
  </si>
  <si>
    <t xml:space="preserve">Monthly spend &gt; 80% by mid-month</t>
  </si>
  <si>
    <t xml:space="preserve">Alert + Suggest reduction</t>
  </si>
  <si>
    <t xml:space="preserve">Email + Slack</t>
  </si>
  <si>
    <t xml:space="preserve">Bi-weekly</t>
  </si>
  <si>
    <t xml:space="preserve">Campus Gap</t>
  </si>
  <si>
    <t xml:space="preserve">Campus X enrollment &lt; 80% monthly target</t>
  </si>
  <si>
    <t xml:space="preserve">Mid-month</t>
  </si>
  <si>
    <t xml:space="preserve">Alert + Suggest budget shift</t>
  </si>
  <si>
    <t xml:space="preserve">Email to management</t>
  </si>
  <si>
    <t xml:space="preserve">Quality Score Drop</t>
  </si>
  <si>
    <t xml:space="preserve">QS drops below 5 on top KWs</t>
  </si>
  <si>
    <t xml:space="preserve">Impression share drops</t>
  </si>
  <si>
    <t xml:space="preserve">7 days</t>
  </si>
  <si>
    <t xml:space="preserve">Alert + Review ad/LP relevance</t>
  </si>
  <si>
    <t xml:space="preserve">Weekend Adjust</t>
  </si>
  <si>
    <t xml:space="preserve">Weekend (Sat-Sun)</t>
  </si>
  <si>
    <t xml:space="preserve">Reduce budget to 70% (lower intent)</t>
  </si>
  <si>
    <t xml:space="preserve">Auto-rule</t>
  </si>
  <si>
    <t xml:space="preserve">Weekly cycle</t>
  </si>
  <si>
    <t xml:space="preserve">🟢 Low</t>
  </si>
  <si>
    <t xml:space="preserve">KẾ HOẠCH WEBINAR CHI TIẾT – TUYỂN SINH VIỆT ANH 2026</t>
  </si>
  <si>
    <t xml:space="preserve">Ngân sách Webinar Ads: 425,000,000đ (5%) | Mục tiêu: 6 webinar chính + 2 bổ sung | Target: 800+ registrations tổng | Kênh quảng bá: Meta + Google + Zalo + Email</t>
  </si>
  <si>
    <t xml:space="preserve">A. LỊCH WEBINAR 7 THÁNG (04-09/2026)</t>
  </si>
  <si>
    <t xml:space="preserve">Tên Webinar</t>
  </si>
  <si>
    <t xml:space="preserve">Ngày dự kiến</t>
  </si>
  <si>
    <t xml:space="preserve">Nền tảng</t>
  </si>
  <si>
    <t xml:space="preserve">Chủ đề chính</t>
  </si>
  <si>
    <t xml:space="preserve">Diễn giả</t>
  </si>
  <si>
    <t xml:space="preserve">Mục tiêu Reg</t>
  </si>
  <si>
    <t xml:space="preserve">Mục tiêu Attend</t>
  </si>
  <si>
    <t xml:space="preserve">Attend Rate</t>
  </si>
  <si>
    <t xml:space="preserve">CTA sau webinar</t>
  </si>
  <si>
    <t xml:space="preserve">Ngân sách Ads</t>
  </si>
  <si>
    <t xml:space="preserve">Kênh quảng bá</t>
  </si>
  <si>
    <t xml:space="preserve">GHL Workflow</t>
  </si>
  <si>
    <t xml:space="preserve">Lộ trình con tôi sau lớp 5</t>
  </si>
  <si>
    <t xml:space="preserve">15/04/2026</t>
  </si>
  <si>
    <t xml:space="preserve">19:30-21:00</t>
  </si>
  <si>
    <t xml:space="preserve">Zoom + Facebook Live</t>
  </si>
  <si>
    <t xml:space="preserve">Chuyển cấp 5→6: Tâm lý, chương trình, tiêu chí chọn trường</t>
  </si>
  <si>
    <t xml:space="preserve">BGH THCS + PH cựu HS</t>
  </si>
  <si>
    <t xml:space="preserve">60%</t>
  </si>
  <si>
    <t xml:space="preserve">Book tour THCS GV</t>
  </si>
  <si>
    <t xml:space="preserve">Meta+Google+Zalo+Email</t>
  </si>
  <si>
    <t xml:space="preserve">Tuyển sinh lớp 10 – Học bổng &amp; Lộ trình ĐH</t>
  </si>
  <si>
    <t xml:space="preserve">22/04/2026</t>
  </si>
  <si>
    <t xml:space="preserve">Lớp 10 tư thục vs công lập, học bổng, đầu ra ĐH</t>
  </si>
  <si>
    <t xml:space="preserve">BGH THPT + Alumni ĐH top</t>
  </si>
  <si>
    <t xml:space="preserve">Thi học bổng lớp 10</t>
  </si>
  <si>
    <t xml:space="preserve">Mầm non song ngữ – Nền tảng vàng 0-6 tuổi</t>
  </si>
  <si>
    <t xml:space="preserve">06/05/2026</t>
  </si>
  <si>
    <t xml:space="preserve">19:30-20:30</t>
  </si>
  <si>
    <t xml:space="preserve">Phát triển ngôn ngữ sớm, tiêu chí chọn MN an toàn</t>
  </si>
  <si>
    <t xml:space="preserve">Chuyên gia GD mầm non + GV MN VA</t>
  </si>
  <si>
    <t xml:space="preserve">65%</t>
  </si>
  <si>
    <t xml:space="preserve">Book tour MN</t>
  </si>
  <si>
    <t xml:space="preserve">Meta+Zalo+TikTok</t>
  </si>
  <si>
    <t xml:space="preserve">Chọn trường tiểu học – Điều PH cần biết</t>
  </si>
  <si>
    <t xml:space="preserve">14/05/2026</t>
  </si>
  <si>
    <t xml:space="preserve">Tiêu chí chọn trường TH, song ngữ, sĩ số, ngoại khóa</t>
  </si>
  <si>
    <t xml:space="preserve">BGH TH + PH hiện tại</t>
  </si>
  <si>
    <t xml:space="preserve">Book tour TH GV/BT</t>
  </si>
  <si>
    <t xml:space="preserve">Meta+Google+Zalo</t>
  </si>
  <si>
    <t xml:space="preserve">THCS – Giai đoạn bản lề quyết định tương lai</t>
  </si>
  <si>
    <t xml:space="preserve">11/06/2026</t>
  </si>
  <si>
    <t xml:space="preserve">Dậy thì &amp; học tập, lộ trình THCS→THPT liên cấp</t>
  </si>
  <si>
    <t xml:space="preserve">GV chủ nhiệm THCS + Tâm lý GD</t>
  </si>
  <si>
    <t xml:space="preserve">Book tour THCS</t>
  </si>
  <si>
    <t xml:space="preserve">Học bổng THPT 2026 – Cơ hội cuối</t>
  </si>
  <si>
    <t xml:space="preserve">16/07/2026</t>
  </si>
  <si>
    <t xml:space="preserve">Deadline học bổng, pathway du học, ĐH top</t>
  </si>
  <si>
    <t xml:space="preserve">BGH + Counselor du học</t>
  </si>
  <si>
    <t xml:space="preserve">Đăng ký thi HB ngay</t>
  </si>
  <si>
    <t xml:space="preserve">Webinar + Scholarship</t>
  </si>
  <si>
    <t xml:space="preserve">Open Day Online – Tour ảo 8 cơ sở</t>
  </si>
  <si>
    <t xml:space="preserve">21/06/2026</t>
  </si>
  <si>
    <t xml:space="preserve">09:00-11:00</t>
  </si>
  <si>
    <t xml:space="preserve">Zoom + YouTube Live</t>
  </si>
  <si>
    <t xml:space="preserve">Virtual tour tất cả campus, Q&amp;A trực tiếp với BGH</t>
  </si>
  <si>
    <t xml:space="preserve">BGH + Campus Manager</t>
  </si>
  <si>
    <t xml:space="preserve">Book tour thực tế</t>
  </si>
  <si>
    <t xml:space="preserve">Meta+YouTube+Zalo</t>
  </si>
  <si>
    <t xml:space="preserve">Late intake – Còn nhận hồ sơ T9</t>
  </si>
  <si>
    <t xml:space="preserve">03/09/2026</t>
  </si>
  <si>
    <t xml:space="preserve">Zoom</t>
  </si>
  <si>
    <t xml:space="preserve">Chuyển trường, nhập học muộn, quy trình nhanh</t>
  </si>
  <si>
    <t xml:space="preserve">BGH + Sales Lead</t>
  </si>
  <si>
    <t xml:space="preserve">Liên hệ tư vấn ngay</t>
  </si>
  <si>
    <t xml:space="preserve">Late intake seq</t>
  </si>
  <si>
    <t xml:space="preserve">B. QUY TRÌNH TỔ CHỨC WEBINAR (CHECKLIST)</t>
  </si>
  <si>
    <t xml:space="preserve">Trước 3 tuần</t>
  </si>
  <si>
    <t xml:space="preserve">T-21 ngày</t>
  </si>
  <si>
    <t xml:space="preserve">Chốt chủ đề + diễn giả</t>
  </si>
  <si>
    <t xml:space="preserve">Xác nhận topic, outline, diễn giả chính + backup</t>
  </si>
  <si>
    <t xml:space="preserve">Email/Meeting</t>
  </si>
  <si>
    <t xml:space="preserve">Tạo Landing Page webinar</t>
  </si>
  <si>
    <t xml:space="preserve">LP riêng trên GHL hoặc website, form: Tên+SĐT+Email+Cấp</t>
  </si>
  <si>
    <t xml:space="preserve">GHL/WordPress</t>
  </si>
  <si>
    <t xml:space="preserve">Trước 2 tuần</t>
  </si>
  <si>
    <t xml:space="preserve">T-14 ngày</t>
  </si>
  <si>
    <t xml:space="preserve">Setup Zoom + test</t>
  </si>
  <si>
    <t xml:space="preserve">Tạo meeting, test link, backup plan nếu Zoom lỗi</t>
  </si>
  <si>
    <t xml:space="preserve">Tech/Admin</t>
  </si>
  <si>
    <t xml:space="preserve">Zoom Pro</t>
  </si>
  <si>
    <t xml:space="preserve">Tạo creative ads webinar</t>
  </si>
  <si>
    <t xml:space="preserve">3-5 creative (image + video teaser 15s) cho Meta + Google</t>
  </si>
  <si>
    <t xml:space="preserve">Canva/Premiere</t>
  </si>
  <si>
    <t xml:space="preserve">Launch ads webinar</t>
  </si>
  <si>
    <t xml:space="preserve">Meta Lead Gen + Google Search "hội thảo" + Zalo broadcast</t>
  </si>
  <si>
    <t xml:space="preserve">Setup email sequence GHL</t>
  </si>
  <si>
    <t xml:space="preserve">Confirm email → Reminder 48h → Reminder 2h → Post-webinar</t>
  </si>
  <si>
    <t xml:space="preserve">Trước 1 tuần</t>
  </si>
  <si>
    <t xml:space="preserve">T-7 ngày</t>
  </si>
  <si>
    <t xml:space="preserve">Kiểm tra registrations</t>
  </si>
  <si>
    <t xml:space="preserve">Check số reg vs target → Tăng budget ads nếu cần</t>
  </si>
  <si>
    <t xml:space="preserve">GHL + Ads Manager</t>
  </si>
  <si>
    <t xml:space="preserve">Chuẩn bị slide + script</t>
  </si>
  <si>
    <t xml:space="preserve">Slide PPT, script cho host, Q&amp;A prep, CTA slide cuối</t>
  </si>
  <si>
    <t xml:space="preserve">Content + BGH</t>
  </si>
  <si>
    <t xml:space="preserve">PowerPoint</t>
  </si>
  <si>
    <t xml:space="preserve">SMS reminder blast</t>
  </si>
  <si>
    <t xml:space="preserve">Gửi SMS nhắc tất cả registrants</t>
  </si>
  <si>
    <t xml:space="preserve">GHL SMS</t>
  </si>
  <si>
    <t xml:space="preserve">Ngày webinar</t>
  </si>
  <si>
    <t xml:space="preserve">T-2h</t>
  </si>
  <si>
    <t xml:space="preserve">Broadcast Zalo OA nhắc nhở + link Zoom</t>
  </si>
  <si>
    <t xml:space="preserve">GHL/Zalo</t>
  </si>
  <si>
    <t xml:space="preserve">T-30 phút</t>
  </si>
  <si>
    <t xml:space="preserve">Tech check cuối</t>
  </si>
  <si>
    <t xml:space="preserve">Test camera, mic, slide share, backup internet</t>
  </si>
  <si>
    <t xml:space="preserve">Trong WB</t>
  </si>
  <si>
    <t xml:space="preserve">Moderate chat + Q&amp;A</t>
  </si>
  <si>
    <t xml:space="preserve">Trả lời chat real-time, ghi nhận câu hỏi, CTA liên tục</t>
  </si>
  <si>
    <t xml:space="preserve">Marketing team</t>
  </si>
  <si>
    <t xml:space="preserve">Zoom Chat</t>
  </si>
  <si>
    <t xml:space="preserve">Cuối WB</t>
  </si>
  <si>
    <t xml:space="preserve">CTA slide + offer</t>
  </si>
  <si>
    <t xml:space="preserve">Hiển thị ưu đãi đặc biệt cho attendees + QR book tour</t>
  </si>
  <si>
    <t xml:space="preserve">Host/BGH</t>
  </si>
  <si>
    <t xml:space="preserve">Zoom + GHL</t>
  </si>
  <si>
    <t xml:space="preserve">Sau 2h</t>
  </si>
  <si>
    <t xml:space="preserve">T+2h</t>
  </si>
  <si>
    <t xml:space="preserve">Email thank you + replay</t>
  </si>
  <si>
    <t xml:space="preserve">Gửi email cảm ơn + link recording + CTA book tour</t>
  </si>
  <si>
    <t xml:space="preserve">GHL Email</t>
  </si>
  <si>
    <t xml:space="preserve">Sau 24h</t>
  </si>
  <si>
    <t xml:space="preserve">T+24h</t>
  </si>
  <si>
    <t xml:space="preserve">Gọi điện follow-up</t>
  </si>
  <si>
    <t xml:space="preserve">Sales gọi tất cả attendees chưa book tour → personal CTA</t>
  </si>
  <si>
    <t xml:space="preserve">GHL + Phone</t>
  </si>
  <si>
    <t xml:space="preserve">Sau 48h</t>
  </si>
  <si>
    <t xml:space="preserve">T+48h</t>
  </si>
  <si>
    <t xml:space="preserve">Gửi recording cho no-shows</t>
  </si>
  <si>
    <t xml:space="preserve">Email/Zalo recording → CTA "Xem ngay + Book tour"</t>
  </si>
  <si>
    <t xml:space="preserve">Sau 1 tuần</t>
  </si>
  <si>
    <t xml:space="preserve">T+7 ngày</t>
  </si>
  <si>
    <t xml:space="preserve">Report webinar</t>
  </si>
  <si>
    <t xml:space="preserve">Reg, attend, attend rate, tours booked, CPR, CPA</t>
  </si>
  <si>
    <t xml:space="preserve">Excel/GHL</t>
  </si>
  <si>
    <t xml:space="preserve">Nurture sequence tiếp</t>
  </si>
  <si>
    <t xml:space="preserve">Attendees chưa tour → SMS Day 7 → Zalo Day 10 → Email Day 14</t>
  </si>
  <si>
    <t xml:space="preserve">C. KPI WEBINAR THEO THÁNG</t>
  </si>
  <si>
    <t xml:space="preserve">Số webinar</t>
  </si>
  <si>
    <t xml:space="preserve">Registrations</t>
  </si>
  <si>
    <t xml:space="preserve">Attend rate</t>
  </si>
  <si>
    <t xml:space="preserve">62%</t>
  </si>
  <si>
    <t xml:space="preserve">Attendees</t>
  </si>
  <si>
    <t xml:space="preserve">Tours booked từ WB</t>
  </si>
  <si>
    <t xml:space="preserve">Cost/Registration</t>
  </si>
  <si>
    <t xml:space="preserve">LỊCH SOCIAL MEDIA CHI TIẾT – THEO KÊNH VÀ ĐỊA ĐIỂM (04-09/2026)</t>
  </si>
  <si>
    <t xml:space="preserve">Mục tiêu: 3-4 bài/ngày trên mỗi nền tảng | Kho sẵn: 2,000 bài | Quay mới: 3-5 video/tháng | Tổng: ~540 bài organic trong 6 tháng</t>
  </si>
  <si>
    <t xml:space="preserve">A. LỊCH ĐĂNG BÀI TUẦN MẪU (Template cho mỗi tuần)</t>
  </si>
  <si>
    <t xml:space="preserve">Thứ</t>
  </si>
  <si>
    <t xml:space="preserve">Facebook Page</t>
  </si>
  <si>
    <t xml:space="preserve">Instagram</t>
  </si>
  <si>
    <t xml:space="preserve">YouTube</t>
  </si>
  <si>
    <t xml:space="preserve">Google Business</t>
  </si>
  <si>
    <t xml:space="preserve">Thời gian đăng</t>
  </si>
  <si>
    <t xml:space="preserve">Loại nội dung</t>
  </si>
  <si>
    <t xml:space="preserve">Cơ sở focus</t>
  </si>
  <si>
    <t xml:space="preserve">Carousel: Chương trình học (MN/TH)</t>
  </si>
  <si>
    <t xml:space="preserve">Reel: "1 ngày tại VA" 30s</t>
  </si>
  <si>
    <t xml:space="preserve">Video testi PH 15-30s</t>
  </si>
  <si>
    <t xml:space="preserve">Broadcast: Tour tuần này</t>
  </si>
  <si>
    <t xml:space="preserve">Post: Ảnh campus + CTA</t>
  </si>
  <si>
    <t xml:space="preserve">7:30 + 11:30 + 19:00</t>
  </si>
  <si>
    <t xml:space="preserve">Educational + Social proof</t>
  </si>
  <si>
    <t xml:space="preserve">Đầu tuần = boost engagement</t>
  </si>
  <si>
    <t xml:space="preserve">Video: Testimonial PH 60s</t>
  </si>
  <si>
    <t xml:space="preserve">Story: Behind-the-scene GV</t>
  </si>
  <si>
    <t xml:space="preserve">Carousel: Top 5 lý do chọn VA</t>
  </si>
  <si>
    <t xml:space="preserve">Article: Tips chọn trường</t>
  </si>
  <si>
    <t xml:space="preserve">7:30 + 12:00 + 20:00</t>
  </si>
  <si>
    <t xml:space="preserve">Trust building</t>
  </si>
  <si>
    <t xml:space="preserve">Bình Tân + Tỉnh</t>
  </si>
  <si>
    <t xml:space="preserve">Zalo article dài, SEO friendly</t>
  </si>
  <si>
    <t xml:space="preserve">Image: Ảnh hoạt động ngoại khóa</t>
  </si>
  <si>
    <t xml:space="preserve">Reel: "GV nói gì về VA" 15s</t>
  </si>
  <si>
    <t xml:space="preserve">Video: Day-in-the-life HS</t>
  </si>
  <si>
    <t xml:space="preserve">Short: Campus tour 60s</t>
  </si>
  <si>
    <t xml:space="preserve">Post: Sự kiện sắp tới</t>
  </si>
  <si>
    <t xml:space="preserve">7:30 + 11:30 + 19:30</t>
  </si>
  <si>
    <t xml:space="preserve">Lifestyle + Campus life</t>
  </si>
  <si>
    <t xml:space="preserve">Hump day = giải trí nhẹ</t>
  </si>
  <si>
    <t xml:space="preserve">Carousel: So sánh (không nêu tên đối thủ)</t>
  </si>
  <si>
    <t xml:space="preserve">Story: Q&amp;A PH thường hỏi</t>
  </si>
  <si>
    <t xml:space="preserve">Video testi HS 15-30s</t>
  </si>
  <si>
    <t xml:space="preserve">Broadcast: Ưu đãi/Webinar</t>
  </si>
  <si>
    <t xml:space="preserve">7:30 + 12:00 + 19:00</t>
  </si>
  <si>
    <t xml:space="preserve">Decision support</t>
  </si>
  <si>
    <t xml:space="preserve">Push ưu đãi cuối tuần</t>
  </si>
  <si>
    <t xml:space="preserve">Video: Highlight tuần (recap)</t>
  </si>
  <si>
    <t xml:space="preserve">Reel: Thành tích HS/GV</t>
  </si>
  <si>
    <t xml:space="preserve">Video: "3 điều PH không ngờ"</t>
  </si>
  <si>
    <t xml:space="preserve">Broadcast: Nhắc tour cuối tuần</t>
  </si>
  <si>
    <t xml:space="preserve">Video: Webinar recap/teaser</t>
  </si>
  <si>
    <t xml:space="preserve">Post: Review mới từ PH</t>
  </si>
  <si>
    <t xml:space="preserve">7:30 + 11:30 + 20:00</t>
  </si>
  <si>
    <t xml:space="preserve">Achievement + Urgency</t>
  </si>
  <si>
    <t xml:space="preserve">Thái Sơn + Mekong</t>
  </si>
  <si>
    <t xml:space="preserve">Friday = ưu đãi weekend</t>
  </si>
  <si>
    <t xml:space="preserve">Live: Tour campus trực tiếp 30 phút</t>
  </si>
  <si>
    <t xml:space="preserve">Carousel: Ảnh tour weekend</t>
  </si>
  <si>
    <t xml:space="preserve">Video: "Mời PH tham quan"</t>
  </si>
  <si>
    <t xml:space="preserve">Cập nhật giờ tour</t>
  </si>
  <si>
    <t xml:space="preserve">9:00 (live) + 14:00</t>
  </si>
  <si>
    <t xml:space="preserve">Experience + FOMO</t>
  </si>
  <si>
    <t xml:space="preserve">Theo lịch tour</t>
  </si>
  <si>
    <t xml:space="preserve">Weekend = PH rảnh xem</t>
  </si>
  <si>
    <t xml:space="preserve">Chủ nhật</t>
  </si>
  <si>
    <t xml:space="preserve">Image: Quote GD + Logo VA</t>
  </si>
  <si>
    <t xml:space="preserve">Story: Fun fact về trường</t>
  </si>
  <si>
    <t xml:space="preserve">Video nhẹ: Ngày của bé tại VA</t>
  </si>
  <si>
    <t xml:space="preserve">9:00 + 19:00</t>
  </si>
  <si>
    <t xml:space="preserve">Brand + Emotional</t>
  </si>
  <si>
    <t xml:space="preserve">Nhẹ nhàng, warm</t>
  </si>
  <si>
    <t xml:space="preserve">B. CHỦ ĐỀ CONTENT THEO THÁNG</t>
  </si>
  <si>
    <t xml:space="preserve">Pillar Content</t>
  </si>
  <si>
    <t xml:space="preserve">Video cần quay</t>
  </si>
  <si>
    <t xml:space="preserve">Ảnh cần chụp</t>
  </si>
  <si>
    <t xml:space="preserve">Blog/Article</t>
  </si>
  <si>
    <t xml:space="preserve">Số bài FB</t>
  </si>
  <si>
    <t xml:space="preserve">Số bài IG</t>
  </si>
  <si>
    <t xml:space="preserve">Số video TikTok</t>
  </si>
  <si>
    <t xml:space="preserve">Số bài Zalo</t>
  </si>
  <si>
    <t xml:space="preserve">Tổng content</t>
  </si>
  <si>
    <t xml:space="preserve">Khám phá VA – Tour mở cửa</t>
  </si>
  <si>
    <t xml:space="preserve">Testimonial PH mùa trước + Campus tour video</t>
  </si>
  <si>
    <t xml:space="preserve">5 video testi + 3 campus tour</t>
  </si>
  <si>
    <t xml:space="preserve">20 ảnh hoạt động mới</t>
  </si>
  <si>
    <t xml:space="preserve">4 blog: Chọn trường, Song ngữ, STEM, An toàn</t>
  </si>
  <si>
    <t xml:space="preserve">Tại sao VA? – So sánh &amp; Chọn lọc</t>
  </si>
  <si>
    <t xml:space="preserve">So sánh chương trình + Open Day recap</t>
  </si>
  <si>
    <t xml:space="preserve">3 video so sánh + 2 Open Day</t>
  </si>
  <si>
    <t xml:space="preserve">15 ảnh Open Day</t>
  </si>
  <si>
    <t xml:space="preserve">4 blog: Sĩ số, Ngoại khóa, GV, Học phí</t>
  </si>
  <si>
    <t xml:space="preserve">Chuyển cấp – Giai đoạn vàng quyết định</t>
  </si>
  <si>
    <t xml:space="preserve">Webinar recap + PH review sau tour</t>
  </si>
  <si>
    <t xml:space="preserve">5 video PH sau tour + 2 webinar clip</t>
  </si>
  <si>
    <t xml:space="preserve">15 ảnh tour</t>
  </si>
  <si>
    <t xml:space="preserve">4 blog: Chuyển cấp 5→6, Lớp 10, Dậy thì, Lộ trình</t>
  </si>
  <si>
    <t xml:space="preserve">Chốt – Học bổng &amp; Ưu đãi cuối</t>
  </si>
  <si>
    <t xml:space="preserve">Học bổng announcement + Deadline countdown</t>
  </si>
  <si>
    <t xml:space="preserve">3 video HS nhận HB + 2 countdown</t>
  </si>
  <si>
    <t xml:space="preserve">10 ảnh ceremony</t>
  </si>
  <si>
    <t xml:space="preserve">2 blog: Học bổng, Đầu ra ĐH</t>
  </si>
  <si>
    <t xml:space="preserve">Cuối mùa – Cơ hội cuối cùng</t>
  </si>
  <si>
    <t xml:space="preserve">Urgency content + Slot còn lại</t>
  </si>
  <si>
    <t xml:space="preserve">2 video "Chỗ có hạn" + 2 PH mới</t>
  </si>
  <si>
    <t xml:space="preserve">10 ảnh chuẩn bị năm học</t>
  </si>
  <si>
    <t xml:space="preserve">2 blog: Late enrollment, Chuyển trường</t>
  </si>
  <si>
    <t xml:space="preserve">Khai giảng – Welcome &amp; Brand</t>
  </si>
  <si>
    <t xml:space="preserve">Khai giảng recap + PH mới share</t>
  </si>
  <si>
    <t xml:space="preserve">3 video khai giảng + 2 PH share</t>
  </si>
  <si>
    <t xml:space="preserve">20 ảnh khai giảng</t>
  </si>
  <si>
    <t xml:space="preserve">2 blog: Năm học mới, Cảm nhận PH</t>
  </si>
  <si>
    <t xml:space="preserve">C. CONTENT THEO CƠ SỞ (Phân bổ bài đăng/tháng)</t>
  </si>
  <si>
    <t xml:space="preserve">FB/tháng</t>
  </si>
  <si>
    <t xml:space="preserve">IG/tháng</t>
  </si>
  <si>
    <t xml:space="preserve">TikTok/tháng</t>
  </si>
  <si>
    <t xml:space="preserve">Zalo/tháng</t>
  </si>
  <si>
    <t xml:space="preserve">GMB/tháng</t>
  </si>
  <si>
    <t xml:space="preserve">Nội dung ưu tiên</t>
  </si>
  <si>
    <t xml:space="preserve">Giọng văn/tone</t>
  </si>
  <si>
    <t xml:space="preserve">Hashtag chính</t>
  </si>
  <si>
    <t xml:space="preserve">An toàn, GV tận tâm, camera, bé vui</t>
  </si>
  <si>
    <t xml:space="preserve">Ấm áp, tin cậy, gần gũi</t>
  </si>
  <si>
    <t xml:space="preserve">#MamNonVietAnh #MamNonGoVap</t>
  </si>
  <si>
    <t xml:space="preserve">Trường trong KDC, bán trú, local trust</t>
  </si>
  <si>
    <t xml:space="preserve">Thân thiện, địa phương</t>
  </si>
  <si>
    <t xml:space="preserve">#MamNonNhanLe #CanGiuoc #TayNinh</t>
  </si>
  <si>
    <t xml:space="preserve">Liên cấp, KDC Thái Sơn, không cần đi xa</t>
  </si>
  <si>
    <t xml:space="preserve">Thân thiện, tiện lợi</t>
  </si>
  <si>
    <t xml:space="preserve">#ThaiSon #TruongTuCanGiuoc</t>
  </si>
  <si>
    <t xml:space="preserve">Chuẩn TP.HCM tại tỉnh, song ngữ</t>
  </si>
  <si>
    <t xml:space="preserve">Tự hào, tiên phong</t>
  </si>
  <si>
    <t xml:space="preserve">#MekongXanh #RachGia #AnGiang</t>
  </si>
  <si>
    <t xml:space="preserve">Song ngữ, sĩ số nhỏ, lộ trình TA</t>
  </si>
  <si>
    <t xml:space="preserve">Chuyên nghiệp, giáo dục</t>
  </si>
  <si>
    <t xml:space="preserve">#TieuHocVietAnh #SongNgu</t>
  </si>
  <si>
    <t xml:space="preserve">Khép kín, an toàn, học phí hợp lý</t>
  </si>
  <si>
    <t xml:space="preserve">Gần gũi, thiết thực</t>
  </si>
  <si>
    <t xml:space="preserve">#TruongVietAnhBinhTan</t>
  </si>
  <si>
    <t xml:space="preserve">Chuyển cấp, GV chủ nhiệm, lộ trình 6→12</t>
  </si>
  <si>
    <t xml:space="preserve">Nghiêm túc, động lực</t>
  </si>
  <si>
    <t xml:space="preserve">#THCSVietAnh #Lop6</t>
  </si>
  <si>
    <t xml:space="preserve">Học bổng, đầu ra ĐH, pathway du học</t>
  </si>
  <si>
    <t xml:space="preserve">Chuyên nghiệp, tự tin</t>
  </si>
  <si>
    <t xml:space="preserve">#THPTVietAnh #HocBong #Lop10</t>
  </si>
  <si>
    <t xml:space="preserve">Giá trị VA, alumni, thành tích</t>
  </si>
  <si>
    <t xml:space="preserve">Tự hào, uy tín</t>
  </si>
  <si>
    <t xml:space="preserve">#TruongVietAnh #HeThongVietAnh</t>
  </si>
  <si>
    <t xml:space="preserve">ANALYTICS, REMARKETING &amp; AUTOMATION TRACKING – TUYỂN SINH 2026</t>
  </si>
  <si>
    <t xml:space="preserve">Tracking toàn bộ hành vi user → Remarketing → Automation tối ưu → Tăng conversion rate</t>
  </si>
  <si>
    <t xml:space="preserve">A. GA4 – SỰ KIỆN &amp; MỤC TIÊU TRACKING</t>
  </si>
  <si>
    <t xml:space="preserve">Event Name</t>
  </si>
  <si>
    <t xml:space="preserve">Parameters</t>
  </si>
  <si>
    <t xml:space="preserve">Remarketing Audience</t>
  </si>
  <si>
    <t xml:space="preserve">page_view</t>
  </si>
  <si>
    <t xml:space="preserve">Tất cả trang</t>
  </si>
  <si>
    <t xml:space="preserve">page_title, page_location, page_referrer</t>
  </si>
  <si>
    <t xml:space="preserve">Baseline traffic</t>
  </si>
  <si>
    <t xml:space="preserve">All Visitors 7d/14d/30d/60d</t>
  </si>
  <si>
    <t xml:space="preserve">GA4 auto-collect</t>
  </si>
  <si>
    <t xml:space="preserve">scroll</t>
  </si>
  <si>
    <t xml:space="preserve">Scroll 90%</t>
  </si>
  <si>
    <t xml:space="preserve">percent_scrolled</t>
  </si>
  <si>
    <t xml:space="preserve">Đo engagement</t>
  </si>
  <si>
    <t xml:space="preserve">Engaged Visitors (scroll 90%)</t>
  </si>
  <si>
    <t xml:space="preserve">Chỉ tính LP dài</t>
  </si>
  <si>
    <t xml:space="preserve">form_submit</t>
  </si>
  <si>
    <t xml:space="preserve">Submit form trên LP</t>
  </si>
  <si>
    <t xml:space="preserve">form_id, campus, grade, source</t>
  </si>
  <si>
    <t xml:space="preserve">Conversion chính</t>
  </si>
  <si>
    <t xml:space="preserve">Form Submitters → Exclude</t>
  </si>
  <si>
    <t xml:space="preserve">Create contact + Pipeline</t>
  </si>
  <si>
    <t xml:space="preserve">GTM trigger</t>
  </si>
  <si>
    <t xml:space="preserve">click_call</t>
  </si>
  <si>
    <t xml:space="preserve">Click tel: link</t>
  </si>
  <si>
    <t xml:space="preserve">phone_number, page</t>
  </si>
  <si>
    <t xml:space="preserve">Call Clickers</t>
  </si>
  <si>
    <t xml:space="preserve">Log call event</t>
  </si>
  <si>
    <t xml:space="preserve">click_zalo</t>
  </si>
  <si>
    <t xml:space="preserve">Click Zalo widget</t>
  </si>
  <si>
    <t xml:space="preserve">zalo_id, page</t>
  </si>
  <si>
    <t xml:space="preserve">Zalo engagement</t>
  </si>
  <si>
    <t xml:space="preserve">Zalo Engagers</t>
  </si>
  <si>
    <t xml:space="preserve">Tag zalo_engaged</t>
  </si>
  <si>
    <t xml:space="preserve">click_cta</t>
  </si>
  <si>
    <t xml:space="preserve">Click CTA buttons</t>
  </si>
  <si>
    <t xml:space="preserve">cta_text, cta_position, page</t>
  </si>
  <si>
    <t xml:space="preserve">CTA optimization</t>
  </si>
  <si>
    <t xml:space="preserve">CTA Clickers no form</t>
  </si>
  <si>
    <t xml:space="preserve">A/B test CTA text</t>
  </si>
  <si>
    <t xml:space="preserve">webinar_register</t>
  </si>
  <si>
    <t xml:space="preserve">Submit webinar form</t>
  </si>
  <si>
    <t xml:space="preserve">webinar_id, webinar_name, grade</t>
  </si>
  <si>
    <t xml:space="preserve">Webinar tracking</t>
  </si>
  <si>
    <t xml:space="preserve">Webinar Registrants</t>
  </si>
  <si>
    <t xml:space="preserve">Add to Webinar pipeline</t>
  </si>
  <si>
    <t xml:space="preserve">scholarship_click</t>
  </si>
  <si>
    <t xml:space="preserve">scholarship_type, grade</t>
  </si>
  <si>
    <t xml:space="preserve">Scholarship interest</t>
  </si>
  <si>
    <t xml:space="preserve">Scholarship Interested</t>
  </si>
  <si>
    <t xml:space="preserve">Tag scholarship_interest</t>
  </si>
  <si>
    <t xml:space="preserve">video_play</t>
  </si>
  <si>
    <t xml:space="preserve">Play testimonial video</t>
  </si>
  <si>
    <t xml:space="preserve">video_title, video_duration, percent</t>
  </si>
  <si>
    <t xml:space="preserve">Video engagement</t>
  </si>
  <si>
    <t xml:space="preserve">Video Viewers 50%+</t>
  </si>
  <si>
    <t xml:space="preserve">Remarketing asset</t>
  </si>
  <si>
    <t xml:space="preserve">fee_page_view</t>
  </si>
  <si>
    <t xml:space="preserve">Xem trang học phí</t>
  </si>
  <si>
    <t xml:space="preserve">grade, campus</t>
  </si>
  <si>
    <t xml:space="preserve">High intent signal</t>
  </si>
  <si>
    <t xml:space="preserve">Fee Page Visitors (HOT)</t>
  </si>
  <si>
    <t xml:space="preserve">Tag hot_lead</t>
  </si>
  <si>
    <t xml:space="preserve">Remarketing ưu tiên #1</t>
  </si>
  <si>
    <t xml:space="preserve">thank_you_page</t>
  </si>
  <si>
    <t xml:space="preserve">Đến trang cảm ơn</t>
  </si>
  <si>
    <t xml:space="preserve">conversion_type, campus</t>
  </si>
  <si>
    <t xml:space="preserve">Conversion confirm</t>
  </si>
  <si>
    <t xml:space="preserve">Converted → Exclude</t>
  </si>
  <si>
    <t xml:space="preserve">Move to next stage</t>
  </si>
  <si>
    <t xml:space="preserve">GTM pageview trigger</t>
  </si>
  <si>
    <t xml:space="preserve">session_start</t>
  </si>
  <si>
    <t xml:space="preserve">Session mới</t>
  </si>
  <si>
    <t xml:space="preserve">session_id, medium, source, campaign</t>
  </si>
  <si>
    <t xml:space="preserve">UTM tracking quan trọng</t>
  </si>
  <si>
    <t xml:space="preserve">first_visit</t>
  </si>
  <si>
    <t xml:space="preserve">Lần đầu ghé thăm</t>
  </si>
  <si>
    <t xml:space="preserve">traffic_type</t>
  </si>
  <si>
    <t xml:space="preserve">New user tracking</t>
  </si>
  <si>
    <t xml:space="preserve">New Visitors</t>
  </si>
  <si>
    <t xml:space="preserve">Cần acquisition report</t>
  </si>
  <si>
    <t xml:space="preserve">B. REMARKETING AUDIENCES – PHÂN LOẠI CHI TIẾT</t>
  </si>
  <si>
    <t xml:space="preserve">Điều kiện</t>
  </si>
  <si>
    <t xml:space="preserve">Creative phù hợp</t>
  </si>
  <si>
    <t xml:space="preserve">Ưu tiên</t>
  </si>
  <si>
    <t xml:space="preserve">Budget %</t>
  </si>
  <si>
    <t xml:space="preserve">HOT – Fee page visitors</t>
  </si>
  <si>
    <t xml:space="preserve">GA4 Custom</t>
  </si>
  <si>
    <t xml:space="preserve">Xem trang học phí chưa submit form</t>
  </si>
  <si>
    <t xml:space="preserve">1-7 ngày</t>
  </si>
  <si>
    <t xml:space="preserve">Meta + Google Display</t>
  </si>
  <si>
    <t xml:space="preserve">Ưu đãi cụ thể + testimonial</t>
  </si>
  <si>
    <t xml:space="preserve">Đăng ký tư vấn học phí</t>
  </si>
  <si>
    <t xml:space="preserve">🔴 Cao nhất</t>
  </si>
  <si>
    <t xml:space="preserve">HOT – Form abandon</t>
  </si>
  <si>
    <t xml:space="preserve">Mở form nhưng không submit</t>
  </si>
  <si>
    <t xml:space="preserve">Hoàn thành đăng ký + incentive</t>
  </si>
  <si>
    <t xml:space="preserve">Hoàn thành đăng ký nhận quà</t>
  </si>
  <si>
    <t xml:space="preserve">WARM – LP visitors</t>
  </si>
  <si>
    <t xml:space="preserve">Xem LP &gt; 30s chưa form</t>
  </si>
  <si>
    <t xml:space="preserve">7-21 ngày</t>
  </si>
  <si>
    <t xml:space="preserve">Meta + Google + TikTok</t>
  </si>
  <si>
    <t xml:space="preserve">Testimonial video + tour invite</t>
  </si>
  <si>
    <t xml:space="preserve">Đặt lịch tour miễn phí</t>
  </si>
  <si>
    <t xml:space="preserve">🟡 Cao</t>
  </si>
  <si>
    <t xml:space="preserve">WARM – Video viewers 50%+</t>
  </si>
  <si>
    <t xml:space="preserve">Meta/TikTok</t>
  </si>
  <si>
    <t xml:space="preserve">Xem video testi &gt;50%</t>
  </si>
  <si>
    <t xml:space="preserve">14-30 ngày</t>
  </si>
  <si>
    <t xml:space="preserve">Meta + TikTok</t>
  </si>
  <si>
    <t xml:space="preserve">CTA trực tiếp + deadline</t>
  </si>
  <si>
    <t xml:space="preserve">Đăng ký ngay, ưu đãi hết hạn</t>
  </si>
  <si>
    <t xml:space="preserve">15%</t>
  </si>
  <si>
    <t xml:space="preserve">WARM – Webinar no-show</t>
  </si>
  <si>
    <t xml:space="preserve">GHL Custom</t>
  </si>
  <si>
    <t xml:space="preserve">Đăng ký WB nhưng không tham dự</t>
  </si>
  <si>
    <t xml:space="preserve">1-14 ngày</t>
  </si>
  <si>
    <t xml:space="preserve">Replay video + tour invite</t>
  </si>
  <si>
    <t xml:space="preserve">Xem lại webinar + Book tour</t>
  </si>
  <si>
    <t xml:space="preserve">🟡 Trung bình</t>
  </si>
  <si>
    <t xml:space="preserve">COOL – All website visitors</t>
  </si>
  <si>
    <t xml:space="preserve">GA4</t>
  </si>
  <si>
    <t xml:space="preserve">Tất cả visitors chưa convert</t>
  </si>
  <si>
    <t xml:space="preserve">21-60 ngày</t>
  </si>
  <si>
    <t xml:space="preserve">Google Display + Meta</t>
  </si>
  <si>
    <t xml:space="preserve">Brand awareness + campus life</t>
  </si>
  <si>
    <t xml:space="preserve">Khám phá trường Việt Anh</t>
  </si>
  <si>
    <t xml:space="preserve">🟢 Thấp</t>
  </si>
  <si>
    <t xml:space="preserve">COOL – Page engagers</t>
  </si>
  <si>
    <t xml:space="preserve">Like/comment/share FB/IG</t>
  </si>
  <si>
    <t xml:space="preserve">30-60 ngày</t>
  </si>
  <si>
    <t xml:space="preserve">Carousel campus + ưu đãi</t>
  </si>
  <si>
    <t xml:space="preserve">Tham quan trường ngay</t>
  </si>
  <si>
    <t xml:space="preserve">EXCLUDE – Enrolled</t>
  </si>
  <si>
    <t xml:space="preserve">GHL Upload</t>
  </si>
  <si>
    <t xml:space="preserve">PH đã nhập học</t>
  </si>
  <si>
    <t xml:space="preserve">Luôn exclude</t>
  </si>
  <si>
    <t xml:space="preserve">Exclude</t>
  </si>
  <si>
    <t xml:space="preserve">EXCLUDE – Converted</t>
  </si>
  <si>
    <t xml:space="preserve">Đã submit form thành công</t>
  </si>
  <si>
    <t xml:space="preserve">Exclude (tạm)</t>
  </si>
  <si>
    <t xml:space="preserve">C. AUTOMATION TỐI ƯU – HOẠT ĐỘNG HÀNG NGÀY/TUẦN</t>
  </si>
  <si>
    <t xml:space="preserve">Hoạt động</t>
  </si>
  <si>
    <t xml:space="preserve">Input data</t>
  </si>
  <si>
    <t xml:space="preserve">Output/KPI</t>
  </si>
  <si>
    <t xml:space="preserve">GA4 Realtime monitoring</t>
  </si>
  <si>
    <t xml:space="preserve">GA4 Realtime</t>
  </si>
  <si>
    <t xml:space="preserve">Active users, events, conversions</t>
  </si>
  <si>
    <t xml:space="preserve">Check anomaly (traffic drop, 0 conversions)</t>
  </si>
  <si>
    <t xml:space="preserve">Alert nếu bất thường</t>
  </si>
  <si>
    <t xml:space="preserve">UTM audit</t>
  </si>
  <si>
    <t xml:space="preserve">GA4 + Sheets</t>
  </si>
  <si>
    <t xml:space="preserve">Campaign URLs</t>
  </si>
  <si>
    <t xml:space="preserve">Verify UTM parameters đúng trên tất cả ads</t>
  </si>
  <si>
    <t xml:space="preserve">UTM clean 100%</t>
  </si>
  <si>
    <t xml:space="preserve">Conversion path analysis</t>
  </si>
  <si>
    <t xml:space="preserve">GA4 Explore</t>
  </si>
  <si>
    <t xml:space="preserve">Multi-channel funnel</t>
  </si>
  <si>
    <t xml:space="preserve">Xem path phổ biến nhất → optimize touchpoints</t>
  </si>
  <si>
    <t xml:space="preserve">Top 5 paths</t>
  </si>
  <si>
    <t xml:space="preserve">Audience refresh</t>
  </si>
  <si>
    <t xml:space="preserve">GA4 audiences</t>
  </si>
  <si>
    <t xml:space="preserve">Update custom audiences, refresh lookalike</t>
  </si>
  <si>
    <t xml:space="preserve">Audiences updated</t>
  </si>
  <si>
    <t xml:space="preserve">Landing page heatmap</t>
  </si>
  <si>
    <t xml:space="preserve">2 tuần/lần</t>
  </si>
  <si>
    <t xml:space="preserve">Hotjar/Clarity</t>
  </si>
  <si>
    <t xml:space="preserve">Click map, scroll map</t>
  </si>
  <si>
    <t xml:space="preserve">Identify drop-off points → A/B test CTA</t>
  </si>
  <si>
    <t xml:space="preserve">CVR improvement</t>
  </si>
  <si>
    <t xml:space="preserve">GHL workflow audit</t>
  </si>
  <si>
    <t xml:space="preserve">Workflow stats</t>
  </si>
  <si>
    <t xml:space="preserve">Check email open rate, SMS delivery, Zalo response</t>
  </si>
  <si>
    <t xml:space="preserve">Workflow optimization</t>
  </si>
  <si>
    <t xml:space="preserve">Birch rule review</t>
  </si>
  <si>
    <t xml:space="preserve">Rule execution log</t>
  </si>
  <si>
    <t xml:space="preserve">Which rules fired? CPL trend? Budget pacing?</t>
  </si>
  <si>
    <t xml:space="preserve">Rules optimized</t>
  </si>
  <si>
    <t xml:space="preserve">Meta Events + TikTok Pixel + GA4 Debug</t>
  </si>
  <si>
    <t xml:space="preserve">Event firing, match quality</t>
  </si>
  <si>
    <t xml:space="preserve">Verify all pixels firing correctly</t>
  </si>
  <si>
    <t xml:space="preserve">Tech/Performance</t>
  </si>
  <si>
    <t xml:space="preserve">Attribution model review</t>
  </si>
  <si>
    <t xml:space="preserve">GA4 Attribution</t>
  </si>
  <si>
    <t xml:space="preserve">Model comparison</t>
  </si>
  <si>
    <t xml:space="preserve">Compare last-click vs data-driven</t>
  </si>
  <si>
    <t xml:space="preserve">Budget reallocation insight</t>
  </si>
  <si>
    <t xml:space="preserve">CRM → Ads sync</t>
  </si>
  <si>
    <t xml:space="preserve">GHL → Google/Meta</t>
  </si>
  <si>
    <t xml:space="preserve">Enrolled list upload</t>
  </si>
  <si>
    <t xml:space="preserve">Upload enrolled → Exclusion | Upload leads → Lookalike</t>
  </si>
  <si>
    <t xml:space="preserve">Audience quality</t>
  </si>
  <si>
    <t xml:space="preserve">CRM + Performance</t>
  </si>
  <si>
    <t xml:space="preserve">Speed &amp; Core Web Vitals</t>
  </si>
  <si>
    <t xml:space="preserve">PageSpeed Insights</t>
  </si>
  <si>
    <t xml:space="preserve">LCP, FID, CLS</t>
  </si>
  <si>
    <t xml:space="preserve">LP load &lt;3s mobile | Fix CWV issues</t>
  </si>
  <si>
    <t xml:space="preserve">Speed score ≥80</t>
  </si>
  <si>
    <t xml:space="preserve">Cross-device tracking verify</t>
  </si>
  <si>
    <t xml:space="preserve">User Explorer</t>
  </si>
  <si>
    <t xml:space="preserve">Verify cross-device journey (mobile ads → desktop form)</t>
  </si>
  <si>
    <t xml:space="preserve">Journey mapping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</si>
</sst>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@"/>
    <numFmt numFmtId="169" formatCode="0.00\x"/>
    <numFmt numFmtId="170" formatCode="#,##0&quot; đ&quot;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6DB4"/>
      <name val="Arial"/>
      <family val="0"/>
      <charset val="1"/>
    </font>
    <font>
      <sz val="10"/>
      <color rgb="FF2C3E5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7F8C8D"/>
      <name val="Arial"/>
      <family val="0"/>
      <charset val="1"/>
    </font>
    <font>
      <u val="single"/>
      <sz val="10"/>
      <color rgb="FF2E6DB4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u val="single"/>
      <sz val="10"/>
      <color rgb="FF2E6DB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2C5F8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1B3A6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9"/>
      <color rgb="FF000000"/>
      <name val="Arial"/>
      <family val="0"/>
      <charset val="1"/>
    </font>
    <font>
      <sz val="12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D7A3A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i val="true"/>
      <sz val="10"/>
      <color rgb="FF2E6DB4"/>
      <name val="Arial"/>
      <family val="0"/>
      <charset val="1"/>
    </font>
    <font>
      <i val="true"/>
      <sz val="10"/>
      <color rgb="FF1D7A3A"/>
      <name val="Arial"/>
      <family val="0"/>
      <charset val="1"/>
    </font>
    <font>
      <i val="true"/>
      <sz val="10"/>
      <color rgb="FFE67E22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i val="true"/>
      <sz val="10"/>
      <color rgb="FF8E44AD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i val="true"/>
      <sz val="10"/>
      <color rgb="FF16A085"/>
      <name val="Arial"/>
      <family val="0"/>
      <charset val="1"/>
    </font>
    <font>
      <b val="true"/>
      <sz val="10"/>
      <color rgb="FF16A08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2E6DB4"/>
      <name val="Arial"/>
      <family val="0"/>
      <charset val="1"/>
    </font>
    <font>
      <sz val="10"/>
      <color rgb="FFE67E22"/>
      <name val="Arial"/>
      <family val="0"/>
      <charset val="1"/>
    </font>
    <font>
      <sz val="9"/>
      <color rgb="FF1D7A3A"/>
      <name val="Arial"/>
      <family val="0"/>
      <charset val="1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2C5F8A"/>
      </patternFill>
    </fill>
    <fill>
      <patternFill patternType="solid">
        <fgColor rgb="FFF2F7FB"/>
        <bgColor rgb="FFF5F5F5"/>
      </patternFill>
    </fill>
    <fill>
      <patternFill patternType="solid">
        <fgColor rgb="FF1B3A6B"/>
        <bgColor rgb="FF2C3E50"/>
      </patternFill>
    </fill>
    <fill>
      <patternFill patternType="solid">
        <fgColor rgb="FFD6E4F7"/>
        <bgColor rgb="FFE0E0E0"/>
      </patternFill>
    </fill>
    <fill>
      <patternFill patternType="solid">
        <fgColor rgb="FF2E6DB4"/>
        <bgColor rgb="FF2E75B6"/>
      </patternFill>
    </fill>
    <fill>
      <patternFill patternType="solid">
        <fgColor rgb="FF2C3E50"/>
        <bgColor rgb="FF1B3A6B"/>
      </patternFill>
    </fill>
    <fill>
      <patternFill patternType="solid">
        <fgColor rgb="FFD6F0E0"/>
        <bgColor rgb="FFD1F2EB"/>
      </patternFill>
    </fill>
    <fill>
      <patternFill patternType="solid">
        <fgColor rgb="FFFFFFFF"/>
        <bgColor rgb="FFFEF9E7"/>
      </patternFill>
    </fill>
    <fill>
      <patternFill patternType="solid">
        <fgColor rgb="FF1D7A3A"/>
        <bgColor rgb="FF2C5F8A"/>
      </patternFill>
    </fill>
    <fill>
      <patternFill patternType="solid">
        <fgColor rgb="FF16A085"/>
        <bgColor rgb="FF0288D1"/>
      </patternFill>
    </fill>
    <fill>
      <patternFill patternType="solid">
        <fgColor rgb="FFD1F2EB"/>
        <bgColor rgb="FFD6F0E0"/>
      </patternFill>
    </fill>
    <fill>
      <patternFill patternType="solid">
        <fgColor rgb="FF8E44AD"/>
        <bgColor rgb="FF9C27B0"/>
      </patternFill>
    </fill>
    <fill>
      <patternFill patternType="solid">
        <fgColor rgb="FFFDEBD0"/>
        <bgColor rgb="FFFFF9C4"/>
      </patternFill>
    </fill>
    <fill>
      <patternFill patternType="solid">
        <fgColor rgb="FFFADBD8"/>
        <bgColor rgb="FFFDEBD0"/>
      </patternFill>
    </fill>
    <fill>
      <patternFill patternType="solid">
        <fgColor rgb="FFE67E22"/>
        <bgColor rgb="FFE8833A"/>
      </patternFill>
    </fill>
    <fill>
      <patternFill patternType="solid">
        <fgColor rgb="FFF2F3F4"/>
        <bgColor rgb="FFF5F5F5"/>
      </patternFill>
    </fill>
    <fill>
      <patternFill patternType="solid">
        <fgColor rgb="FF1B2A4A"/>
        <bgColor rgb="FF1B3A6B"/>
      </patternFill>
    </fill>
    <fill>
      <patternFill patternType="solid">
        <fgColor rgb="FF2C5F8A"/>
        <bgColor rgb="FF1F4E79"/>
      </patternFill>
    </fill>
    <fill>
      <patternFill patternType="solid">
        <fgColor rgb="FFFFF9C4"/>
        <bgColor rgb="FFFDEBD0"/>
      </patternFill>
    </fill>
    <fill>
      <patternFill patternType="solid">
        <fgColor rgb="FFF5F5F5"/>
        <bgColor rgb="FFF2F3F4"/>
      </patternFill>
    </fill>
    <fill>
      <patternFill patternType="solid">
        <fgColor rgb="FFE91E63"/>
        <bgColor rgb="FFC62828"/>
      </patternFill>
    </fill>
    <fill>
      <patternFill patternType="solid">
        <fgColor rgb="FFE0E0E0"/>
        <bgColor rgb="FFD6E4F7"/>
      </patternFill>
    </fill>
    <fill>
      <patternFill patternType="solid">
        <fgColor rgb="FF4CAF50"/>
        <bgColor rgb="FF16A085"/>
      </patternFill>
    </fill>
    <fill>
      <patternFill patternType="solid">
        <fgColor rgb="FFF44336"/>
        <bgColor rgb="FFFF5722"/>
      </patternFill>
    </fill>
    <fill>
      <patternFill patternType="solid">
        <fgColor rgb="FF4285F4"/>
        <bgColor rgb="FF1877F2"/>
      </patternFill>
    </fill>
    <fill>
      <patternFill patternType="solid">
        <fgColor rgb="FFC62828"/>
        <bgColor rgb="FFC0392B"/>
      </patternFill>
    </fill>
    <fill>
      <patternFill patternType="solid">
        <fgColor rgb="FF1877F2"/>
        <bgColor rgb="FF0068FF"/>
      </patternFill>
    </fill>
    <fill>
      <patternFill patternType="solid">
        <fgColor rgb="FF010101"/>
        <bgColor rgb="FF000000"/>
      </patternFill>
    </fill>
    <fill>
      <patternFill patternType="solid">
        <fgColor rgb="FF333333"/>
        <bgColor rgb="FF2C3E50"/>
      </patternFill>
    </fill>
    <fill>
      <patternFill patternType="solid">
        <fgColor rgb="FFFF6B00"/>
        <bgColor rgb="FFFF6F00"/>
      </patternFill>
    </fill>
    <fill>
      <patternFill patternType="solid">
        <fgColor rgb="FF0288D1"/>
        <bgColor rgb="FF1877F2"/>
      </patternFill>
    </fill>
    <fill>
      <patternFill patternType="solid">
        <fgColor rgb="FF9C27B0"/>
        <bgColor rgb="FF8E44AD"/>
      </patternFill>
    </fill>
    <fill>
      <patternFill patternType="solid">
        <fgColor rgb="FF607D8B"/>
        <bgColor rgb="FF7F8C8D"/>
      </patternFill>
    </fill>
    <fill>
      <patternFill patternType="solid">
        <fgColor rgb="FF0068FF"/>
        <bgColor rgb="FF1877F2"/>
      </patternFill>
    </fill>
    <fill>
      <patternFill patternType="solid">
        <fgColor rgb="FFFF5722"/>
        <bgColor rgb="FFF44336"/>
      </patternFill>
    </fill>
    <fill>
      <patternFill patternType="solid">
        <fgColor rgb="FFC0392B"/>
        <bgColor rgb="FFC62828"/>
      </patternFill>
    </fill>
    <fill>
      <patternFill patternType="solid">
        <fgColor rgb="FFFEF9E7"/>
        <bgColor rgb="FFF5F5F5"/>
      </patternFill>
    </fill>
    <fill>
      <patternFill patternType="solid">
        <fgColor rgb="FFF5EEF8"/>
        <bgColor rgb="FFF2F3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2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2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1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1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0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3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EF9E7"/>
      <rgbColor rgb="FFFF5722"/>
      <rgbColor rgb="FF00FFFF"/>
      <rgbColor rgb="FFC62828"/>
      <rgbColor rgb="FF1D7A3A"/>
      <rgbColor rgb="FF010101"/>
      <rgbColor rgb="FF2C5F8A"/>
      <rgbColor rgb="FF800080"/>
      <rgbColor rgb="FF0288D1"/>
      <rgbColor rgb="FFCCCCCC"/>
      <rgbColor rgb="FF7F8C8D"/>
      <rgbColor rgb="FF4285F4"/>
      <rgbColor rgb="FF9C27B0"/>
      <rgbColor rgb="FFFFF9C4"/>
      <rgbColor rgb="FFD1F2EB"/>
      <rgbColor rgb="FF660066"/>
      <rgbColor rgb="FFE8833A"/>
      <rgbColor rgb="FF0068FF"/>
      <rgbColor rgb="FFD6E4F7"/>
      <rgbColor rgb="FF2E6DB4"/>
      <rgbColor rgb="FFFF00FF"/>
      <rgbColor rgb="FFF5F5F5"/>
      <rgbColor rgb="FF00FFFF"/>
      <rgbColor rgb="FF800080"/>
      <rgbColor rgb="FFF44336"/>
      <rgbColor rgb="FF2E75B6"/>
      <rgbColor rgb="FF0000FF"/>
      <rgbColor rgb="FF00BCD4"/>
      <rgbColor rgb="FFF2F7FB"/>
      <rgbColor rgb="FFD6F0E0"/>
      <rgbColor rgb="FFFDEBD0"/>
      <rgbColor rgb="FFE0E0E0"/>
      <rgbColor rgb="FFF5EEF8"/>
      <rgbColor rgb="FFF2F3F4"/>
      <rgbColor rgb="FFFADBD8"/>
      <rgbColor rgb="FF1877F2"/>
      <rgbColor rgb="FF4FC3F7"/>
      <rgbColor rgb="FF99CC00"/>
      <rgbColor rgb="FFFF6F00"/>
      <rgbColor rgb="FFE67E22"/>
      <rgbColor rgb="FFFF6B00"/>
      <rgbColor rgb="FF607D8B"/>
      <rgbColor rgb="FF4CAF50"/>
      <rgbColor rgb="FF1B3A6B"/>
      <rgbColor rgb="FF16A085"/>
      <rgbColor rgb="FF1B2A4A"/>
      <rgbColor rgb="FF2C3E50"/>
      <rgbColor rgb="FFC0392B"/>
      <rgbColor rgb="FF8E44A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F00"/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" min="1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customFormat="false" ht="35.05" hidden="false" customHeight="false" outlineLevel="0" collapsed="false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  <c r="L6" s="4" t="s">
        <v>30</v>
      </c>
      <c r="M6" s="4" t="s">
        <v>31</v>
      </c>
      <c r="N6" s="4" t="s">
        <v>32</v>
      </c>
      <c r="O6" s="4" t="s">
        <v>33</v>
      </c>
      <c r="P6" s="4" t="s">
        <v>34</v>
      </c>
    </row>
    <row r="7" customFormat="false" ht="23.85" hidden="false" customHeight="false" outlineLevel="0" collapsed="false">
      <c r="A7" s="5" t="s">
        <v>19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5" t="s">
        <v>44</v>
      </c>
      <c r="L7" s="5" t="s">
        <v>45</v>
      </c>
      <c r="M7" s="5" t="s">
        <v>46</v>
      </c>
      <c r="N7" s="5" t="s">
        <v>47</v>
      </c>
      <c r="O7" s="5" t="s">
        <v>48</v>
      </c>
      <c r="P7" s="5" t="s">
        <v>49</v>
      </c>
    </row>
    <row r="8" customFormat="false" ht="35.05" hidden="false" customHeight="false" outlineLevel="0" collapsed="false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  <c r="L8" s="4" t="s">
        <v>61</v>
      </c>
      <c r="M8" s="4" t="s">
        <v>62</v>
      </c>
      <c r="N8" s="4" t="s">
        <v>63</v>
      </c>
      <c r="O8" s="4" t="s">
        <v>64</v>
      </c>
      <c r="P8" s="4" t="s">
        <v>65</v>
      </c>
    </row>
    <row r="9" customFormat="false" ht="35.05" hidden="false" customHeight="false" outlineLevel="0" collapsed="false">
      <c r="A9" s="5" t="s">
        <v>50</v>
      </c>
      <c r="B9" s="5" t="s">
        <v>66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73</v>
      </c>
      <c r="J9" s="5" t="s">
        <v>74</v>
      </c>
      <c r="K9" s="5" t="s">
        <v>75</v>
      </c>
      <c r="L9" s="5" t="s">
        <v>76</v>
      </c>
      <c r="M9" s="5" t="s">
        <v>77</v>
      </c>
      <c r="N9" s="5" t="s">
        <v>78</v>
      </c>
      <c r="O9" s="5" t="s">
        <v>79</v>
      </c>
      <c r="P9" s="5" t="s">
        <v>80</v>
      </c>
    </row>
    <row r="10" customFormat="false" ht="35.05" hidden="false" customHeight="false" outlineLevel="0" collapsed="false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85</v>
      </c>
      <c r="F10" s="4" t="s">
        <v>39</v>
      </c>
      <c r="G10" s="4" t="s">
        <v>86</v>
      </c>
      <c r="H10" s="4" t="s">
        <v>87</v>
      </c>
      <c r="I10" s="4" t="s">
        <v>88</v>
      </c>
      <c r="J10" s="4" t="s">
        <v>89</v>
      </c>
      <c r="K10" s="4" t="s">
        <v>90</v>
      </c>
      <c r="L10" s="4" t="s">
        <v>91</v>
      </c>
      <c r="M10" s="4" t="s">
        <v>92</v>
      </c>
      <c r="N10" s="4" t="s">
        <v>93</v>
      </c>
      <c r="O10" s="4" t="s">
        <v>94</v>
      </c>
      <c r="P10" s="4" t="s">
        <v>95</v>
      </c>
    </row>
    <row r="11" customFormat="false" ht="35.05" hidden="false" customHeight="false" outlineLevel="0" collapsed="false">
      <c r="A11" s="5" t="s">
        <v>81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100</v>
      </c>
      <c r="G11" s="5" t="s">
        <v>101</v>
      </c>
      <c r="H11" s="5" t="s">
        <v>102</v>
      </c>
      <c r="I11" s="5" t="s">
        <v>103</v>
      </c>
      <c r="J11" s="5" t="s">
        <v>104</v>
      </c>
      <c r="K11" s="5" t="s">
        <v>105</v>
      </c>
      <c r="L11" s="5" t="s">
        <v>106</v>
      </c>
      <c r="M11" s="5" t="s">
        <v>107</v>
      </c>
      <c r="N11" s="5" t="s">
        <v>108</v>
      </c>
      <c r="O11" s="5" t="s">
        <v>109</v>
      </c>
      <c r="P11" s="5" t="s">
        <v>110</v>
      </c>
    </row>
    <row r="12" customFormat="false" ht="35.05" hidden="false" customHeight="false" outlineLevel="0" collapsed="false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54</v>
      </c>
      <c r="F12" s="4" t="s">
        <v>70</v>
      </c>
      <c r="G12" s="4" t="s">
        <v>115</v>
      </c>
      <c r="H12" s="4" t="s">
        <v>116</v>
      </c>
      <c r="I12" s="4" t="s">
        <v>117</v>
      </c>
      <c r="J12" s="4" t="s">
        <v>118</v>
      </c>
      <c r="K12" s="4" t="s">
        <v>119</v>
      </c>
      <c r="L12" s="4" t="s">
        <v>120</v>
      </c>
      <c r="M12" s="4" t="s">
        <v>121</v>
      </c>
      <c r="N12" s="4" t="s">
        <v>122</v>
      </c>
      <c r="O12" s="4" t="s">
        <v>123</v>
      </c>
      <c r="P12" s="4" t="s">
        <v>124</v>
      </c>
    </row>
    <row r="13" customFormat="false" ht="35.05" hidden="false" customHeight="false" outlineLevel="0" collapsed="false">
      <c r="A13" s="5" t="s">
        <v>111</v>
      </c>
      <c r="B13" s="5" t="s">
        <v>125</v>
      </c>
      <c r="C13" s="5" t="s">
        <v>126</v>
      </c>
      <c r="D13" s="5" t="s">
        <v>127</v>
      </c>
      <c r="E13" s="5" t="s">
        <v>128</v>
      </c>
      <c r="F13" s="5" t="s">
        <v>129</v>
      </c>
      <c r="G13" s="5" t="s">
        <v>130</v>
      </c>
      <c r="H13" s="5" t="s">
        <v>72</v>
      </c>
      <c r="I13" s="5" t="s">
        <v>131</v>
      </c>
      <c r="J13" s="5" t="s">
        <v>132</v>
      </c>
      <c r="K13" s="5" t="s">
        <v>133</v>
      </c>
      <c r="L13" s="5" t="s">
        <v>134</v>
      </c>
      <c r="M13" s="5" t="s">
        <v>135</v>
      </c>
      <c r="N13" s="5" t="s">
        <v>136</v>
      </c>
      <c r="O13" s="5" t="s">
        <v>137</v>
      </c>
      <c r="P13" s="5" t="s">
        <v>138</v>
      </c>
    </row>
    <row r="16" customFormat="false" ht="15" hidden="false" customHeight="false" outlineLevel="0" collapsed="false">
      <c r="A16" s="6" t="s">
        <v>139</v>
      </c>
    </row>
    <row r="17" customFormat="false" ht="26.85" hidden="false" customHeight="false" outlineLevel="0" collapsed="false">
      <c r="A17" s="3" t="s">
        <v>140</v>
      </c>
      <c r="B17" s="3" t="s">
        <v>141</v>
      </c>
      <c r="C17" s="3" t="s">
        <v>142</v>
      </c>
      <c r="D17" s="3" t="s">
        <v>3</v>
      </c>
      <c r="E17" s="3" t="s">
        <v>143</v>
      </c>
      <c r="F17" s="3" t="s">
        <v>144</v>
      </c>
      <c r="G17" s="3" t="s">
        <v>145</v>
      </c>
      <c r="H17" s="3" t="s">
        <v>146</v>
      </c>
      <c r="I17" s="3" t="s">
        <v>147</v>
      </c>
      <c r="J17" s="3" t="s">
        <v>148</v>
      </c>
      <c r="K17" s="3" t="s">
        <v>149</v>
      </c>
      <c r="L17" s="3" t="s">
        <v>150</v>
      </c>
    </row>
    <row r="18" customFormat="false" ht="35.05" hidden="false" customHeight="false" outlineLevel="0" collapsed="false">
      <c r="A18" s="4" t="s">
        <v>151</v>
      </c>
      <c r="B18" s="4" t="s">
        <v>152</v>
      </c>
      <c r="C18" s="4" t="s">
        <v>152</v>
      </c>
      <c r="D18" s="4" t="s">
        <v>153</v>
      </c>
      <c r="E18" s="4" t="s">
        <v>154</v>
      </c>
      <c r="F18" s="4" t="s">
        <v>155</v>
      </c>
      <c r="G18" s="4" t="s">
        <v>156</v>
      </c>
      <c r="H18" s="4" t="s">
        <v>157</v>
      </c>
      <c r="I18" s="4" t="s">
        <v>158</v>
      </c>
      <c r="J18" s="4" t="s">
        <v>159</v>
      </c>
      <c r="K18" s="4" t="s">
        <v>160</v>
      </c>
      <c r="L18" s="4" t="s">
        <v>161</v>
      </c>
    </row>
    <row r="19" customFormat="false" ht="35.05" hidden="false" customHeight="false" outlineLevel="0" collapsed="false">
      <c r="A19" s="5" t="s">
        <v>162</v>
      </c>
      <c r="B19" s="5" t="s">
        <v>163</v>
      </c>
      <c r="C19" s="5" t="s">
        <v>164</v>
      </c>
      <c r="D19" s="5" t="s">
        <v>153</v>
      </c>
      <c r="E19" s="5" t="s">
        <v>165</v>
      </c>
      <c r="F19" s="5" t="s">
        <v>166</v>
      </c>
      <c r="G19" s="5" t="s">
        <v>167</v>
      </c>
      <c r="H19" s="5" t="s">
        <v>168</v>
      </c>
      <c r="I19" s="5" t="s">
        <v>169</v>
      </c>
      <c r="J19" s="5" t="s">
        <v>170</v>
      </c>
      <c r="K19" s="5" t="s">
        <v>171</v>
      </c>
      <c r="L19" s="5" t="s">
        <v>172</v>
      </c>
    </row>
    <row r="20" customFormat="false" ht="23.85" hidden="false" customHeight="false" outlineLevel="0" collapsed="false">
      <c r="A20" s="4" t="s">
        <v>173</v>
      </c>
      <c r="B20" s="4" t="s">
        <v>163</v>
      </c>
      <c r="C20" s="4" t="s">
        <v>164</v>
      </c>
      <c r="D20" s="4" t="s">
        <v>174</v>
      </c>
      <c r="E20" s="4" t="s">
        <v>175</v>
      </c>
      <c r="F20" s="4" t="s">
        <v>176</v>
      </c>
      <c r="G20" s="4" t="s">
        <v>177</v>
      </c>
      <c r="H20" s="4" t="s">
        <v>178</v>
      </c>
      <c r="I20" s="4" t="s">
        <v>179</v>
      </c>
      <c r="J20" s="4" t="s">
        <v>180</v>
      </c>
      <c r="K20" s="4" t="s">
        <v>181</v>
      </c>
      <c r="L20" s="4" t="s">
        <v>182</v>
      </c>
    </row>
    <row r="21" customFormat="false" ht="35.05" hidden="false" customHeight="false" outlineLevel="0" collapsed="false">
      <c r="A21" s="5" t="s">
        <v>183</v>
      </c>
      <c r="B21" s="5" t="s">
        <v>184</v>
      </c>
      <c r="C21" s="5" t="s">
        <v>185</v>
      </c>
      <c r="D21" s="5" t="s">
        <v>174</v>
      </c>
      <c r="E21" s="5" t="s">
        <v>186</v>
      </c>
      <c r="F21" s="5" t="s">
        <v>187</v>
      </c>
      <c r="G21" s="5" t="s">
        <v>188</v>
      </c>
      <c r="H21" s="5" t="s">
        <v>189</v>
      </c>
      <c r="I21" s="5" t="s">
        <v>190</v>
      </c>
      <c r="J21" s="5" t="s">
        <v>191</v>
      </c>
      <c r="K21" s="5" t="s">
        <v>192</v>
      </c>
      <c r="L21" s="5" t="s">
        <v>193</v>
      </c>
    </row>
    <row r="22" customFormat="false" ht="35.05" hidden="false" customHeight="false" outlineLevel="0" collapsed="false">
      <c r="A22" s="4" t="s">
        <v>194</v>
      </c>
      <c r="B22" s="4" t="s">
        <v>152</v>
      </c>
      <c r="C22" s="4" t="s">
        <v>152</v>
      </c>
      <c r="D22" s="4" t="s">
        <v>195</v>
      </c>
      <c r="E22" s="4" t="s">
        <v>196</v>
      </c>
      <c r="F22" s="4" t="s">
        <v>197</v>
      </c>
      <c r="G22" s="4" t="s">
        <v>198</v>
      </c>
      <c r="H22" s="4" t="s">
        <v>199</v>
      </c>
      <c r="I22" s="4" t="s">
        <v>200</v>
      </c>
      <c r="J22" s="4" t="s">
        <v>201</v>
      </c>
      <c r="K22" s="4" t="s">
        <v>202</v>
      </c>
      <c r="L22" s="4" t="s">
        <v>203</v>
      </c>
    </row>
    <row r="23" customFormat="false" ht="35.05" hidden="false" customHeight="false" outlineLevel="0" collapsed="false">
      <c r="A23" s="5" t="s">
        <v>204</v>
      </c>
      <c r="B23" s="5" t="s">
        <v>205</v>
      </c>
      <c r="C23" s="5" t="s">
        <v>205</v>
      </c>
      <c r="D23" s="5" t="s">
        <v>195</v>
      </c>
      <c r="E23" s="5" t="s">
        <v>206</v>
      </c>
      <c r="F23" s="5" t="s">
        <v>207</v>
      </c>
      <c r="G23" s="5" t="s">
        <v>208</v>
      </c>
      <c r="H23" s="5" t="s">
        <v>209</v>
      </c>
      <c r="I23" s="5" t="s">
        <v>210</v>
      </c>
      <c r="J23" s="5" t="s">
        <v>211</v>
      </c>
      <c r="K23" s="5" t="s">
        <v>212</v>
      </c>
      <c r="L23" s="5" t="s">
        <v>213</v>
      </c>
    </row>
    <row r="24" customFormat="false" ht="23.85" hidden="false" customHeight="false" outlineLevel="0" collapsed="false">
      <c r="A24" s="4" t="s">
        <v>214</v>
      </c>
      <c r="B24" s="4" t="s">
        <v>163</v>
      </c>
      <c r="C24" s="4" t="s">
        <v>164</v>
      </c>
      <c r="D24" s="4" t="s">
        <v>195</v>
      </c>
      <c r="E24" s="4" t="s">
        <v>215</v>
      </c>
      <c r="F24" s="4" t="s">
        <v>216</v>
      </c>
      <c r="G24" s="4" t="s">
        <v>217</v>
      </c>
      <c r="H24" s="4" t="s">
        <v>218</v>
      </c>
      <c r="I24" s="4" t="s">
        <v>219</v>
      </c>
      <c r="J24" s="4" t="s">
        <v>220</v>
      </c>
      <c r="K24" s="4" t="s">
        <v>221</v>
      </c>
      <c r="L24" s="4" t="s">
        <v>222</v>
      </c>
    </row>
    <row r="25" customFormat="false" ht="35.05" hidden="false" customHeight="false" outlineLevel="0" collapsed="false">
      <c r="A25" s="5" t="s">
        <v>223</v>
      </c>
      <c r="B25" s="5" t="s">
        <v>184</v>
      </c>
      <c r="C25" s="5" t="s">
        <v>185</v>
      </c>
      <c r="D25" s="5" t="s">
        <v>195</v>
      </c>
      <c r="E25" s="5" t="s">
        <v>224</v>
      </c>
      <c r="F25" s="5" t="s">
        <v>225</v>
      </c>
      <c r="G25" s="5" t="s">
        <v>226</v>
      </c>
      <c r="H25" s="5" t="s">
        <v>227</v>
      </c>
      <c r="I25" s="5" t="s">
        <v>228</v>
      </c>
      <c r="J25" s="5" t="s">
        <v>229</v>
      </c>
      <c r="K25" s="5" t="s">
        <v>230</v>
      </c>
      <c r="L25" s="5" t="s">
        <v>231</v>
      </c>
    </row>
    <row r="26" customFormat="false" ht="23.85" hidden="false" customHeight="false" outlineLevel="0" collapsed="false">
      <c r="A26" s="4" t="s">
        <v>232</v>
      </c>
      <c r="B26" s="4" t="s">
        <v>152</v>
      </c>
      <c r="C26" s="4" t="s">
        <v>152</v>
      </c>
      <c r="D26" s="4" t="s">
        <v>233</v>
      </c>
      <c r="E26" s="4" t="s">
        <v>234</v>
      </c>
      <c r="F26" s="4" t="s">
        <v>235</v>
      </c>
      <c r="G26" s="4" t="s">
        <v>236</v>
      </c>
      <c r="H26" s="4" t="s">
        <v>237</v>
      </c>
      <c r="I26" s="4" t="s">
        <v>238</v>
      </c>
      <c r="J26" s="4" t="s">
        <v>239</v>
      </c>
      <c r="K26" s="4" t="s">
        <v>240</v>
      </c>
      <c r="L26" s="4" t="s">
        <v>241</v>
      </c>
    </row>
    <row r="27" customFormat="false" ht="23.85" hidden="false" customHeight="false" outlineLevel="0" collapsed="false">
      <c r="A27" s="5" t="s">
        <v>242</v>
      </c>
      <c r="B27" s="5" t="s">
        <v>152</v>
      </c>
      <c r="C27" s="5" t="s">
        <v>152</v>
      </c>
      <c r="D27" s="5" t="s">
        <v>243</v>
      </c>
      <c r="E27" s="5" t="s">
        <v>244</v>
      </c>
      <c r="F27" s="5" t="s">
        <v>245</v>
      </c>
      <c r="G27" s="5" t="s">
        <v>246</v>
      </c>
      <c r="H27" s="5" t="s">
        <v>247</v>
      </c>
      <c r="I27" s="5" t="s">
        <v>248</v>
      </c>
      <c r="J27" s="5" t="s">
        <v>239</v>
      </c>
      <c r="K27" s="5" t="s">
        <v>249</v>
      </c>
      <c r="L27" s="5" t="s">
        <v>250</v>
      </c>
    </row>
    <row r="30" customFormat="false" ht="15" hidden="false" customHeight="false" outlineLevel="0" collapsed="false">
      <c r="A30" s="6" t="s">
        <v>251</v>
      </c>
    </row>
    <row r="31" customFormat="false" ht="15" hidden="false" customHeight="false" outlineLevel="0" collapsed="false">
      <c r="A31" s="3" t="s">
        <v>252</v>
      </c>
      <c r="B31" s="3" t="s">
        <v>253</v>
      </c>
      <c r="C31" s="3" t="s">
        <v>254</v>
      </c>
      <c r="D31" s="3" t="s">
        <v>255</v>
      </c>
      <c r="E31" s="3" t="s">
        <v>256</v>
      </c>
      <c r="F31" s="3" t="s">
        <v>257</v>
      </c>
      <c r="G31" s="3" t="s">
        <v>258</v>
      </c>
    </row>
    <row r="32" customFormat="false" ht="35.05" hidden="false" customHeight="false" outlineLevel="0" collapsed="false">
      <c r="A32" s="4" t="s">
        <v>153</v>
      </c>
      <c r="B32" s="4" t="s">
        <v>259</v>
      </c>
      <c r="C32" s="4" t="s">
        <v>260</v>
      </c>
      <c r="D32" s="4" t="s">
        <v>261</v>
      </c>
      <c r="E32" s="4" t="s">
        <v>262</v>
      </c>
      <c r="F32" s="4" t="s">
        <v>263</v>
      </c>
      <c r="G32" s="4" t="s">
        <v>264</v>
      </c>
    </row>
    <row r="33" customFormat="false" ht="35.05" hidden="false" customHeight="false" outlineLevel="0" collapsed="false">
      <c r="A33" s="5" t="s">
        <v>195</v>
      </c>
      <c r="B33" s="5" t="s">
        <v>265</v>
      </c>
      <c r="C33" s="5" t="s">
        <v>266</v>
      </c>
      <c r="D33" s="5" t="s">
        <v>267</v>
      </c>
      <c r="E33" s="5" t="s">
        <v>268</v>
      </c>
      <c r="F33" s="5" t="s">
        <v>269</v>
      </c>
      <c r="G33" s="5" t="s">
        <v>270</v>
      </c>
    </row>
    <row r="34" customFormat="false" ht="35.05" hidden="false" customHeight="false" outlineLevel="0" collapsed="false">
      <c r="A34" s="4" t="s">
        <v>233</v>
      </c>
      <c r="B34" s="4" t="s">
        <v>271</v>
      </c>
      <c r="C34" s="4" t="s">
        <v>272</v>
      </c>
      <c r="D34" s="4" t="s">
        <v>273</v>
      </c>
      <c r="E34" s="4" t="s">
        <v>274</v>
      </c>
      <c r="F34" s="4" t="s">
        <v>275</v>
      </c>
      <c r="G34" s="4" t="s">
        <v>276</v>
      </c>
    </row>
    <row r="35" customFormat="false" ht="35.05" hidden="false" customHeight="false" outlineLevel="0" collapsed="false">
      <c r="A35" s="5" t="s">
        <v>243</v>
      </c>
      <c r="B35" s="5" t="s">
        <v>277</v>
      </c>
      <c r="C35" s="5" t="s">
        <v>278</v>
      </c>
      <c r="D35" s="5" t="s">
        <v>279</v>
      </c>
      <c r="E35" s="5" t="s">
        <v>280</v>
      </c>
      <c r="F35" s="5" t="s">
        <v>281</v>
      </c>
      <c r="G35" s="5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18"/>
    <col collapsed="false" customWidth="true" hidden="false" outlineLevel="0" max="9" min="3" style="2" width="14"/>
    <col collapsed="false" customWidth="true" hidden="false" outlineLevel="0" max="10" min="10" style="2" width="2"/>
  </cols>
  <sheetData>
    <row r="1" customFormat="false" ht="39.75" hidden="false" customHeight="true" outlineLevel="0" collapsed="false">
      <c r="B1" s="7" t="s">
        <v>283</v>
      </c>
      <c r="C1" s="7"/>
      <c r="D1" s="7"/>
      <c r="E1" s="7"/>
      <c r="F1" s="7"/>
      <c r="G1" s="7"/>
      <c r="H1" s="7"/>
      <c r="I1" s="7"/>
    </row>
    <row r="2" customFormat="false" ht="21.75" hidden="false" customHeight="true" outlineLevel="0" collapsed="false">
      <c r="B2" s="8" t="s">
        <v>284</v>
      </c>
      <c r="C2" s="8"/>
      <c r="D2" s="8"/>
      <c r="E2" s="8"/>
      <c r="F2" s="8"/>
      <c r="G2" s="8"/>
      <c r="H2" s="8"/>
      <c r="I2" s="8"/>
    </row>
    <row r="3" customFormat="false" ht="7.5" hidden="false" customHeight="true" outlineLevel="0" collapsed="false">
      <c r="B3" s="9"/>
      <c r="C3" s="9"/>
      <c r="D3" s="9"/>
      <c r="E3" s="9"/>
      <c r="F3" s="9"/>
      <c r="G3" s="9"/>
      <c r="H3" s="9"/>
      <c r="I3" s="9"/>
    </row>
    <row r="4" customFormat="false" ht="24" hidden="false" customHeight="true" outlineLevel="0" collapsed="false">
      <c r="B4" s="10" t="s">
        <v>285</v>
      </c>
      <c r="C4" s="10"/>
      <c r="D4" s="10"/>
      <c r="E4" s="10"/>
      <c r="F4" s="10"/>
      <c r="G4" s="10"/>
      <c r="H4" s="10"/>
      <c r="I4" s="10"/>
    </row>
    <row r="5" customFormat="false" ht="19.5" hidden="false" customHeight="true" outlineLevel="0" collapsed="false">
      <c r="B5" s="11" t="s">
        <v>286</v>
      </c>
      <c r="C5" s="11" t="s">
        <v>287</v>
      </c>
      <c r="D5" s="11" t="s">
        <v>288</v>
      </c>
      <c r="E5" s="11" t="s">
        <v>289</v>
      </c>
      <c r="F5" s="11" t="s">
        <v>290</v>
      </c>
      <c r="G5" s="11" t="s">
        <v>291</v>
      </c>
      <c r="H5" s="11" t="s">
        <v>292</v>
      </c>
      <c r="I5" s="9"/>
    </row>
    <row r="6" customFormat="false" ht="19.5" hidden="false" customHeight="true" outlineLevel="0" collapsed="false">
      <c r="B6" s="12" t="s">
        <v>293</v>
      </c>
      <c r="C6" s="13" t="n">
        <f aca="false">'1. Input'!B5</f>
        <v>1300</v>
      </c>
      <c r="D6" s="14" t="n">
        <v>0</v>
      </c>
      <c r="E6" s="15" t="n">
        <f aca="false">IF(C6&gt;0,D6/C6,0)</f>
        <v>0</v>
      </c>
      <c r="F6" s="16" t="s">
        <v>294</v>
      </c>
      <c r="G6" s="17" t="s">
        <v>295</v>
      </c>
      <c r="H6" s="18" t="s">
        <v>296</v>
      </c>
      <c r="I6" s="19"/>
    </row>
    <row r="7" customFormat="false" ht="19.5" hidden="false" customHeight="true" outlineLevel="0" collapsed="false">
      <c r="B7" s="20" t="s">
        <v>297</v>
      </c>
      <c r="C7" s="21" t="n">
        <f aca="false">'4. Funnel'!D3</f>
        <v>1300</v>
      </c>
      <c r="D7" s="22" t="n">
        <v>0</v>
      </c>
      <c r="E7" s="23" t="n">
        <f aca="false">IF(C7&gt;0,D7/C7,0)</f>
        <v>0</v>
      </c>
      <c r="F7" s="24" t="s">
        <v>294</v>
      </c>
      <c r="G7" s="25" t="s">
        <v>298</v>
      </c>
      <c r="H7" s="26" t="s">
        <v>299</v>
      </c>
      <c r="I7" s="27"/>
    </row>
    <row r="8" customFormat="false" ht="19.5" hidden="false" customHeight="true" outlineLevel="0" collapsed="false">
      <c r="B8" s="12" t="s">
        <v>300</v>
      </c>
      <c r="C8" s="13" t="n">
        <f aca="false">'4. Funnel'!D4</f>
        <v>3715</v>
      </c>
      <c r="D8" s="14" t="n">
        <v>0</v>
      </c>
      <c r="E8" s="15" t="n">
        <f aca="false">IF(C8&gt;0,D8/C8,0)</f>
        <v>0</v>
      </c>
      <c r="F8" s="16" t="s">
        <v>294</v>
      </c>
      <c r="G8" s="17" t="s">
        <v>298</v>
      </c>
      <c r="H8" s="18" t="s">
        <v>299</v>
      </c>
      <c r="I8" s="19"/>
    </row>
    <row r="9" customFormat="false" ht="19.5" hidden="false" customHeight="true" outlineLevel="0" collapsed="false">
      <c r="B9" s="20" t="s">
        <v>301</v>
      </c>
      <c r="C9" s="21" t="n">
        <f aca="false">'2. Paid Media'!C10</f>
        <v>425000000</v>
      </c>
      <c r="D9" s="22" t="n">
        <v>0</v>
      </c>
      <c r="E9" s="23" t="n">
        <f aca="false">IF(C9&gt;0,D9/C9,0)</f>
        <v>0</v>
      </c>
      <c r="F9" s="24" t="s">
        <v>294</v>
      </c>
      <c r="G9" s="25" t="s">
        <v>302</v>
      </c>
      <c r="H9" s="26" t="s">
        <v>303</v>
      </c>
      <c r="I9" s="27"/>
    </row>
    <row r="10" customFormat="false" ht="19.5" hidden="false" customHeight="true" outlineLevel="0" collapsed="false">
      <c r="B10" s="12" t="s">
        <v>304</v>
      </c>
      <c r="C10" s="13" t="n">
        <v>200000</v>
      </c>
      <c r="D10" s="14" t="n">
        <v>0</v>
      </c>
      <c r="E10" s="15" t="n">
        <f aca="false">IF(C10&gt;0,D10/C10,0)</f>
        <v>0</v>
      </c>
      <c r="F10" s="16" t="s">
        <v>294</v>
      </c>
      <c r="G10" s="17" t="s">
        <v>305</v>
      </c>
      <c r="H10" s="18" t="s">
        <v>306</v>
      </c>
      <c r="I10" s="19"/>
    </row>
    <row r="11" customFormat="false" ht="19.5" hidden="false" customHeight="true" outlineLevel="0" collapsed="false">
      <c r="B11" s="20" t="s">
        <v>307</v>
      </c>
      <c r="C11" s="21" t="n">
        <v>0.3</v>
      </c>
      <c r="D11" s="22" t="n">
        <v>0</v>
      </c>
      <c r="E11" s="23" t="n">
        <f aca="false">IF(C11&gt;0,D11/C11,0)</f>
        <v>0</v>
      </c>
      <c r="F11" s="24" t="s">
        <v>294</v>
      </c>
      <c r="G11" s="25" t="s">
        <v>298</v>
      </c>
      <c r="H11" s="26" t="s">
        <v>308</v>
      </c>
      <c r="I11" s="27"/>
    </row>
    <row r="12" customFormat="false" ht="19.5" hidden="false" customHeight="true" outlineLevel="0" collapsed="false">
      <c r="B12" s="12" t="s">
        <v>309</v>
      </c>
      <c r="C12" s="13" t="n">
        <v>0.35</v>
      </c>
      <c r="D12" s="14" t="n">
        <v>0</v>
      </c>
      <c r="E12" s="15" t="n">
        <f aca="false">IF(C12&gt;0,D12/C12,0)</f>
        <v>0</v>
      </c>
      <c r="F12" s="16" t="s">
        <v>294</v>
      </c>
      <c r="G12" s="17" t="s">
        <v>298</v>
      </c>
      <c r="H12" s="18" t="s">
        <v>308</v>
      </c>
      <c r="I12" s="19"/>
    </row>
    <row r="13" customFormat="false" ht="19.5" hidden="false" customHeight="true" outlineLevel="0" collapsed="false">
      <c r="B13" s="20" t="s">
        <v>310</v>
      </c>
      <c r="C13" s="21" t="n">
        <v>0.85</v>
      </c>
      <c r="D13" s="22" t="n">
        <v>0</v>
      </c>
      <c r="E13" s="23" t="n">
        <f aca="false">IF(C13&gt;0,D13/C13,0)</f>
        <v>0</v>
      </c>
      <c r="F13" s="24" t="s">
        <v>294</v>
      </c>
      <c r="G13" s="25" t="s">
        <v>305</v>
      </c>
      <c r="H13" s="26" t="s">
        <v>306</v>
      </c>
      <c r="I13" s="27"/>
    </row>
    <row r="14" customFormat="false" ht="9.75" hidden="false" customHeight="true" outlineLevel="0" collapsed="false">
      <c r="B14" s="9"/>
      <c r="C14" s="9"/>
      <c r="D14" s="9"/>
      <c r="E14" s="9"/>
      <c r="F14" s="9"/>
      <c r="G14" s="9"/>
      <c r="H14" s="9"/>
      <c r="I14" s="9"/>
    </row>
    <row r="15" customFormat="false" ht="24" hidden="false" customHeight="true" outlineLevel="0" collapsed="false">
      <c r="B15" s="28" t="s">
        <v>311</v>
      </c>
      <c r="C15" s="28"/>
      <c r="D15" s="28"/>
      <c r="E15" s="28"/>
      <c r="F15" s="28"/>
      <c r="G15" s="28"/>
      <c r="H15" s="28"/>
      <c r="I15" s="28"/>
    </row>
    <row r="16" customFormat="false" ht="19.5" hidden="false" customHeight="true" outlineLevel="0" collapsed="false">
      <c r="B16" s="29" t="s">
        <v>312</v>
      </c>
      <c r="C16" s="29" t="s">
        <v>313</v>
      </c>
      <c r="D16" s="29" t="s">
        <v>314</v>
      </c>
      <c r="E16" s="29" t="s">
        <v>315</v>
      </c>
      <c r="F16" s="29" t="s">
        <v>316</v>
      </c>
      <c r="G16" s="29" t="s">
        <v>317</v>
      </c>
      <c r="H16" s="29" t="s">
        <v>318</v>
      </c>
      <c r="I16" s="9"/>
    </row>
    <row r="17" customFormat="false" ht="18" hidden="false" customHeight="true" outlineLevel="0" collapsed="false">
      <c r="B17" s="20" t="s">
        <v>319</v>
      </c>
      <c r="C17" s="30" t="n">
        <v>0.38</v>
      </c>
      <c r="D17" s="31" t="n">
        <v>3230000000</v>
      </c>
      <c r="E17" s="32" t="s">
        <v>320</v>
      </c>
      <c r="F17" s="31" t="n">
        <v>120000</v>
      </c>
      <c r="G17" s="33" t="s">
        <v>321</v>
      </c>
      <c r="H17" s="26" t="s">
        <v>322</v>
      </c>
      <c r="I17" s="27"/>
    </row>
    <row r="18" customFormat="false" ht="18" hidden="false" customHeight="true" outlineLevel="0" collapsed="false">
      <c r="B18" s="34" t="s">
        <v>323</v>
      </c>
      <c r="C18" s="35" t="n">
        <v>0.18</v>
      </c>
      <c r="D18" s="36" t="n">
        <v>1530000000</v>
      </c>
      <c r="E18" s="37" t="s">
        <v>324</v>
      </c>
      <c r="F18" s="36" t="n">
        <v>180000</v>
      </c>
      <c r="G18" s="38" t="s">
        <v>325</v>
      </c>
      <c r="H18" s="39" t="s">
        <v>326</v>
      </c>
      <c r="I18" s="40"/>
    </row>
    <row r="19" customFormat="false" ht="18" hidden="false" customHeight="true" outlineLevel="0" collapsed="false">
      <c r="B19" s="20" t="s">
        <v>327</v>
      </c>
      <c r="C19" s="30" t="n">
        <v>0.07</v>
      </c>
      <c r="D19" s="31" t="n">
        <v>595000000</v>
      </c>
      <c r="E19" s="32" t="s">
        <v>328</v>
      </c>
      <c r="F19" s="41" t="s">
        <v>329</v>
      </c>
      <c r="G19" s="33" t="s">
        <v>325</v>
      </c>
      <c r="H19" s="26" t="s">
        <v>330</v>
      </c>
      <c r="I19" s="27"/>
    </row>
    <row r="20" customFormat="false" ht="18" hidden="false" customHeight="true" outlineLevel="0" collapsed="false">
      <c r="B20" s="34" t="s">
        <v>331</v>
      </c>
      <c r="C20" s="35" t="n">
        <v>0.1</v>
      </c>
      <c r="D20" s="36" t="n">
        <v>850000000</v>
      </c>
      <c r="E20" s="37" t="s">
        <v>332</v>
      </c>
      <c r="F20" s="36" t="n">
        <v>90000</v>
      </c>
      <c r="G20" s="38" t="s">
        <v>321</v>
      </c>
      <c r="H20" s="39" t="s">
        <v>333</v>
      </c>
      <c r="I20" s="40"/>
    </row>
    <row r="21" customFormat="false" ht="18" hidden="false" customHeight="true" outlineLevel="0" collapsed="false">
      <c r="B21" s="20" t="s">
        <v>334</v>
      </c>
      <c r="C21" s="30" t="n">
        <v>0.07</v>
      </c>
      <c r="D21" s="31" t="n">
        <v>595000000</v>
      </c>
      <c r="E21" s="32" t="s">
        <v>335</v>
      </c>
      <c r="F21" s="31" t="n">
        <v>80000</v>
      </c>
      <c r="G21" s="33" t="s">
        <v>336</v>
      </c>
      <c r="H21" s="26" t="s">
        <v>337</v>
      </c>
      <c r="I21" s="27"/>
    </row>
    <row r="22" customFormat="false" ht="18" hidden="false" customHeight="true" outlineLevel="0" collapsed="false">
      <c r="B22" s="34" t="s">
        <v>338</v>
      </c>
      <c r="C22" s="35" t="n">
        <v>0.05</v>
      </c>
      <c r="D22" s="36" t="n">
        <v>425000000</v>
      </c>
      <c r="E22" s="37" t="s">
        <v>339</v>
      </c>
      <c r="F22" s="36" t="n">
        <v>50000</v>
      </c>
      <c r="G22" s="38" t="s">
        <v>340</v>
      </c>
      <c r="H22" s="39" t="s">
        <v>326</v>
      </c>
      <c r="I22" s="40"/>
    </row>
    <row r="23" customFormat="false" ht="18" hidden="false" customHeight="true" outlineLevel="0" collapsed="false">
      <c r="B23" s="20" t="s">
        <v>341</v>
      </c>
      <c r="C23" s="30" t="n">
        <v>0.12</v>
      </c>
      <c r="D23" s="31" t="n">
        <v>1020000000</v>
      </c>
      <c r="E23" s="32" t="s">
        <v>342</v>
      </c>
      <c r="F23" s="31" t="n">
        <v>150000</v>
      </c>
      <c r="G23" s="33" t="s">
        <v>325</v>
      </c>
      <c r="H23" s="26" t="s">
        <v>343</v>
      </c>
      <c r="I23" s="27"/>
    </row>
    <row r="24" customFormat="false" ht="18" hidden="false" customHeight="true" outlineLevel="0" collapsed="false">
      <c r="B24" s="34" t="s">
        <v>344</v>
      </c>
      <c r="C24" s="35" t="n">
        <v>0.05</v>
      </c>
      <c r="D24" s="36" t="n">
        <v>425000000</v>
      </c>
      <c r="E24" s="37" t="s">
        <v>345</v>
      </c>
      <c r="F24" s="42" t="s">
        <v>329</v>
      </c>
      <c r="G24" s="38" t="s">
        <v>346</v>
      </c>
      <c r="H24" s="39" t="s">
        <v>347</v>
      </c>
      <c r="I24" s="40"/>
    </row>
    <row r="25" customFormat="false" ht="21.75" hidden="false" customHeight="true" outlineLevel="0" collapsed="false">
      <c r="B25" s="43" t="s">
        <v>348</v>
      </c>
      <c r="C25" s="44" t="n">
        <v>1.02</v>
      </c>
      <c r="D25" s="45" t="n">
        <v>8670000000</v>
      </c>
      <c r="E25" s="46"/>
      <c r="F25" s="46"/>
      <c r="G25" s="46"/>
      <c r="H25" s="46"/>
      <c r="I25" s="46"/>
    </row>
    <row r="26" customFormat="false" ht="9.75" hidden="false" customHeight="true" outlineLevel="0" collapsed="false">
      <c r="B26" s="9"/>
      <c r="C26" s="9"/>
      <c r="D26" s="9"/>
      <c r="E26" s="9"/>
      <c r="F26" s="9"/>
      <c r="G26" s="9"/>
      <c r="H26" s="9"/>
      <c r="I26" s="9"/>
    </row>
    <row r="27" customFormat="false" ht="24" hidden="false" customHeight="true" outlineLevel="0" collapsed="false">
      <c r="B27" s="47" t="s">
        <v>349</v>
      </c>
      <c r="C27" s="47"/>
      <c r="D27" s="47"/>
      <c r="E27" s="47"/>
      <c r="F27" s="47"/>
      <c r="G27" s="47"/>
      <c r="H27" s="47"/>
      <c r="I27" s="47"/>
    </row>
    <row r="28" customFormat="false" ht="19.5" hidden="false" customHeight="true" outlineLevel="0" collapsed="false">
      <c r="B28" s="48" t="s">
        <v>350</v>
      </c>
      <c r="C28" s="48" t="s">
        <v>351</v>
      </c>
      <c r="D28" s="48" t="s">
        <v>352</v>
      </c>
      <c r="E28" s="48" t="s">
        <v>353</v>
      </c>
      <c r="F28" s="48" t="s">
        <v>354</v>
      </c>
      <c r="G28" s="48" t="s">
        <v>355</v>
      </c>
      <c r="H28" s="48" t="s">
        <v>356</v>
      </c>
      <c r="I28" s="48" t="s">
        <v>357</v>
      </c>
    </row>
    <row r="29" customFormat="false" ht="18" hidden="false" customHeight="true" outlineLevel="0" collapsed="false">
      <c r="B29" s="12" t="s">
        <v>151</v>
      </c>
      <c r="C29" s="49" t="s">
        <v>153</v>
      </c>
      <c r="D29" s="50" t="n">
        <v>200</v>
      </c>
      <c r="E29" s="51" t="n">
        <v>0.85</v>
      </c>
      <c r="F29" s="50" t="n">
        <v>405838877</v>
      </c>
      <c r="G29" s="50" t="n">
        <v>192239468</v>
      </c>
      <c r="H29" s="50" t="n">
        <v>106799704</v>
      </c>
      <c r="I29" s="50" t="n">
        <v>74759793</v>
      </c>
    </row>
    <row r="30" customFormat="false" ht="18" hidden="false" customHeight="true" outlineLevel="0" collapsed="false">
      <c r="B30" s="12" t="s">
        <v>162</v>
      </c>
      <c r="C30" s="49" t="s">
        <v>153</v>
      </c>
      <c r="D30" s="50" t="n">
        <v>60</v>
      </c>
      <c r="E30" s="51" t="n">
        <v>0.85</v>
      </c>
      <c r="F30" s="50" t="n">
        <v>121751663</v>
      </c>
      <c r="G30" s="50" t="n">
        <v>57671840</v>
      </c>
      <c r="H30" s="50" t="n">
        <v>32039911</v>
      </c>
      <c r="I30" s="50" t="n">
        <v>22427938</v>
      </c>
    </row>
    <row r="31" customFormat="false" ht="18" hidden="false" customHeight="true" outlineLevel="0" collapsed="false">
      <c r="B31" s="12" t="s">
        <v>173</v>
      </c>
      <c r="C31" s="49" t="s">
        <v>153</v>
      </c>
      <c r="D31" s="50" t="n">
        <v>60</v>
      </c>
      <c r="E31" s="51" t="n">
        <v>0.85</v>
      </c>
      <c r="F31" s="50" t="n">
        <v>121751663</v>
      </c>
      <c r="G31" s="50" t="n">
        <v>57671840</v>
      </c>
      <c r="H31" s="50" t="n">
        <v>32039911</v>
      </c>
      <c r="I31" s="50" t="n">
        <v>22427938</v>
      </c>
    </row>
    <row r="32" customFormat="false" ht="18" hidden="false" customHeight="true" outlineLevel="0" collapsed="false">
      <c r="B32" s="12" t="s">
        <v>183</v>
      </c>
      <c r="C32" s="49" t="s">
        <v>153</v>
      </c>
      <c r="D32" s="50" t="n">
        <v>60</v>
      </c>
      <c r="E32" s="51" t="n">
        <v>0.85</v>
      </c>
      <c r="F32" s="50" t="n">
        <v>121751663</v>
      </c>
      <c r="G32" s="50" t="n">
        <v>57671840</v>
      </c>
      <c r="H32" s="50" t="n">
        <v>32039911</v>
      </c>
      <c r="I32" s="50" t="n">
        <v>22427938</v>
      </c>
    </row>
    <row r="33" customFormat="false" ht="18" hidden="false" customHeight="true" outlineLevel="0" collapsed="false">
      <c r="B33" s="52" t="s">
        <v>194</v>
      </c>
      <c r="C33" s="53" t="s">
        <v>195</v>
      </c>
      <c r="D33" s="54" t="n">
        <v>150</v>
      </c>
      <c r="E33" s="55" t="n">
        <v>1</v>
      </c>
      <c r="F33" s="54" t="n">
        <v>358093126</v>
      </c>
      <c r="G33" s="54" t="n">
        <v>169623060</v>
      </c>
      <c r="H33" s="54" t="n">
        <v>94235033</v>
      </c>
      <c r="I33" s="54" t="n">
        <v>65964523</v>
      </c>
    </row>
    <row r="34" customFormat="false" ht="18" hidden="false" customHeight="true" outlineLevel="0" collapsed="false">
      <c r="B34" s="52" t="s">
        <v>204</v>
      </c>
      <c r="C34" s="53" t="s">
        <v>195</v>
      </c>
      <c r="D34" s="54" t="n">
        <v>150</v>
      </c>
      <c r="E34" s="55" t="n">
        <v>1</v>
      </c>
      <c r="F34" s="54" t="n">
        <v>358093126</v>
      </c>
      <c r="G34" s="54" t="n">
        <v>169623060</v>
      </c>
      <c r="H34" s="54" t="n">
        <v>94235033</v>
      </c>
      <c r="I34" s="54" t="n">
        <v>65964523</v>
      </c>
    </row>
    <row r="35" customFormat="false" ht="18" hidden="false" customHeight="true" outlineLevel="0" collapsed="false">
      <c r="B35" s="52" t="s">
        <v>214</v>
      </c>
      <c r="C35" s="53" t="s">
        <v>195</v>
      </c>
      <c r="D35" s="54" t="n">
        <v>60</v>
      </c>
      <c r="E35" s="55" t="n">
        <v>1</v>
      </c>
      <c r="F35" s="54" t="n">
        <v>143237251</v>
      </c>
      <c r="G35" s="54" t="n">
        <v>67849224</v>
      </c>
      <c r="H35" s="54" t="n">
        <v>37694013</v>
      </c>
      <c r="I35" s="54" t="n">
        <v>26385809</v>
      </c>
    </row>
    <row r="36" customFormat="false" ht="18" hidden="false" customHeight="true" outlineLevel="0" collapsed="false">
      <c r="B36" s="52" t="s">
        <v>223</v>
      </c>
      <c r="C36" s="53" t="s">
        <v>195</v>
      </c>
      <c r="D36" s="54" t="n">
        <v>60</v>
      </c>
      <c r="E36" s="55" t="n">
        <v>1</v>
      </c>
      <c r="F36" s="54" t="n">
        <v>143237251</v>
      </c>
      <c r="G36" s="54" t="n">
        <v>67849224</v>
      </c>
      <c r="H36" s="54" t="n">
        <v>37694013</v>
      </c>
      <c r="I36" s="54" t="n">
        <v>26385809</v>
      </c>
    </row>
    <row r="37" customFormat="false" ht="18" hidden="false" customHeight="true" outlineLevel="0" collapsed="false">
      <c r="B37" s="56" t="s">
        <v>232</v>
      </c>
      <c r="C37" s="57" t="s">
        <v>233</v>
      </c>
      <c r="D37" s="58" t="n">
        <v>200</v>
      </c>
      <c r="E37" s="59" t="n">
        <v>1.2</v>
      </c>
      <c r="F37" s="58" t="n">
        <v>572949002</v>
      </c>
      <c r="G37" s="58" t="n">
        <v>271396896</v>
      </c>
      <c r="H37" s="58" t="n">
        <v>150776053</v>
      </c>
      <c r="I37" s="58" t="n">
        <v>105543237</v>
      </c>
    </row>
    <row r="38" customFormat="false" ht="18" hidden="false" customHeight="true" outlineLevel="0" collapsed="false">
      <c r="B38" s="60" t="s">
        <v>242</v>
      </c>
      <c r="C38" s="61" t="s">
        <v>243</v>
      </c>
      <c r="D38" s="62" t="n">
        <v>200</v>
      </c>
      <c r="E38" s="63" t="n">
        <v>1.35</v>
      </c>
      <c r="F38" s="62" t="n">
        <v>644567627</v>
      </c>
      <c r="G38" s="62" t="n">
        <v>305321508</v>
      </c>
      <c r="H38" s="62" t="n">
        <v>169623060</v>
      </c>
      <c r="I38" s="62" t="n">
        <v>118736142</v>
      </c>
    </row>
    <row r="39" customFormat="false" ht="18" hidden="false" customHeight="true" outlineLevel="0" collapsed="false">
      <c r="B39" s="52" t="s">
        <v>358</v>
      </c>
      <c r="C39" s="53" t="s">
        <v>359</v>
      </c>
      <c r="D39" s="54" t="n">
        <v>100</v>
      </c>
      <c r="E39" s="55" t="n">
        <v>1</v>
      </c>
      <c r="F39" s="54" t="n">
        <v>238728751</v>
      </c>
      <c r="G39" s="54" t="n">
        <v>113082040</v>
      </c>
      <c r="H39" s="54" t="n">
        <v>62823356</v>
      </c>
      <c r="I39" s="54" t="n">
        <v>43976349</v>
      </c>
    </row>
    <row r="40" customFormat="false" ht="9.75" hidden="false" customHeight="true" outlineLevel="0" collapsed="false">
      <c r="B40" s="9"/>
      <c r="C40" s="9"/>
      <c r="D40" s="9"/>
      <c r="E40" s="9"/>
      <c r="F40" s="9"/>
      <c r="G40" s="9"/>
      <c r="H40" s="9"/>
      <c r="I40" s="9"/>
    </row>
    <row r="41" customFormat="false" ht="24" hidden="false" customHeight="true" outlineLevel="0" collapsed="false">
      <c r="B41" s="64" t="s">
        <v>360</v>
      </c>
      <c r="C41" s="64"/>
      <c r="D41" s="64"/>
      <c r="E41" s="64"/>
      <c r="F41" s="64"/>
      <c r="G41" s="64"/>
      <c r="H41" s="64"/>
      <c r="I41" s="64"/>
    </row>
    <row r="42" customFormat="false" ht="15" hidden="false" customHeight="true" outlineLevel="0" collapsed="false">
      <c r="B42" s="65" t="s">
        <v>361</v>
      </c>
      <c r="C42" s="65" t="s">
        <v>362</v>
      </c>
      <c r="D42" s="65" t="s">
        <v>363</v>
      </c>
      <c r="E42" s="65" t="s">
        <v>364</v>
      </c>
      <c r="F42" s="65" t="s">
        <v>365</v>
      </c>
      <c r="G42" s="65" t="s">
        <v>366</v>
      </c>
      <c r="H42" s="65" t="s">
        <v>367</v>
      </c>
      <c r="I42" s="9"/>
    </row>
    <row r="43" customFormat="false" ht="18" hidden="false" customHeight="true" outlineLevel="0" collapsed="false">
      <c r="B43" s="66" t="s">
        <v>368</v>
      </c>
      <c r="C43" s="67" t="s">
        <v>295</v>
      </c>
      <c r="D43" s="68" t="s">
        <v>369</v>
      </c>
      <c r="E43" s="68" t="s">
        <v>370</v>
      </c>
      <c r="F43" s="68" t="s">
        <v>371</v>
      </c>
      <c r="G43" s="68" t="s">
        <v>372</v>
      </c>
      <c r="H43" s="68" t="s">
        <v>373</v>
      </c>
      <c r="I43" s="9"/>
    </row>
    <row r="44" customFormat="false" ht="18" hidden="false" customHeight="true" outlineLevel="0" collapsed="false">
      <c r="B44" s="66" t="s">
        <v>374</v>
      </c>
      <c r="C44" s="67" t="s">
        <v>302</v>
      </c>
      <c r="D44" s="32" t="s">
        <v>375</v>
      </c>
      <c r="E44" s="32" t="s">
        <v>376</v>
      </c>
      <c r="F44" s="32" t="s">
        <v>377</v>
      </c>
      <c r="G44" s="32" t="s">
        <v>378</v>
      </c>
      <c r="H44" s="32" t="s">
        <v>379</v>
      </c>
      <c r="I44" s="9"/>
    </row>
    <row r="45" customFormat="false" ht="18" hidden="false" customHeight="true" outlineLevel="0" collapsed="false">
      <c r="B45" s="66" t="s">
        <v>380</v>
      </c>
      <c r="C45" s="67" t="s">
        <v>381</v>
      </c>
      <c r="D45" s="68" t="s">
        <v>382</v>
      </c>
      <c r="E45" s="68" t="s">
        <v>383</v>
      </c>
      <c r="F45" s="68" t="s">
        <v>372</v>
      </c>
      <c r="G45" s="68" t="s">
        <v>372</v>
      </c>
      <c r="H45" s="68" t="s">
        <v>384</v>
      </c>
      <c r="I45" s="9"/>
    </row>
    <row r="46" customFormat="false" ht="18" hidden="false" customHeight="true" outlineLevel="0" collapsed="false">
      <c r="B46" s="66" t="s">
        <v>385</v>
      </c>
      <c r="C46" s="67" t="s">
        <v>298</v>
      </c>
      <c r="D46" s="32" t="s">
        <v>386</v>
      </c>
      <c r="E46" s="32" t="s">
        <v>383</v>
      </c>
      <c r="F46" s="32" t="s">
        <v>387</v>
      </c>
      <c r="G46" s="32" t="s">
        <v>387</v>
      </c>
      <c r="H46" s="32" t="s">
        <v>388</v>
      </c>
      <c r="I46" s="9"/>
    </row>
    <row r="47" customFormat="false" ht="18" hidden="false" customHeight="true" outlineLevel="0" collapsed="false">
      <c r="B47" s="66" t="s">
        <v>389</v>
      </c>
      <c r="C47" s="67" t="s">
        <v>390</v>
      </c>
      <c r="D47" s="68" t="s">
        <v>391</v>
      </c>
      <c r="E47" s="68" t="s">
        <v>392</v>
      </c>
      <c r="F47" s="68" t="s">
        <v>387</v>
      </c>
      <c r="G47" s="68" t="s">
        <v>387</v>
      </c>
      <c r="H47" s="68" t="s">
        <v>393</v>
      </c>
      <c r="I47" s="9"/>
    </row>
    <row r="48" customFormat="false" ht="18" hidden="false" customHeight="true" outlineLevel="0" collapsed="false">
      <c r="B48" s="66" t="s">
        <v>394</v>
      </c>
      <c r="C48" s="67" t="s">
        <v>395</v>
      </c>
      <c r="D48" s="32" t="s">
        <v>396</v>
      </c>
      <c r="E48" s="32" t="s">
        <v>392</v>
      </c>
      <c r="F48" s="32" t="s">
        <v>387</v>
      </c>
      <c r="G48" s="32" t="s">
        <v>387</v>
      </c>
      <c r="H48" s="32" t="s">
        <v>393</v>
      </c>
      <c r="I48" s="9"/>
    </row>
    <row r="49" customFormat="false" ht="18" hidden="false" customHeight="true" outlineLevel="0" collapsed="false">
      <c r="B49" s="66" t="s">
        <v>397</v>
      </c>
      <c r="C49" s="67" t="s">
        <v>398</v>
      </c>
      <c r="D49" s="68" t="s">
        <v>399</v>
      </c>
      <c r="E49" s="68" t="s">
        <v>400</v>
      </c>
      <c r="F49" s="68" t="s">
        <v>387</v>
      </c>
      <c r="G49" s="68" t="s">
        <v>387</v>
      </c>
      <c r="H49" s="68" t="s">
        <v>393</v>
      </c>
      <c r="I49" s="9"/>
    </row>
    <row r="50" customFormat="false" ht="18" hidden="false" customHeight="true" outlineLevel="0" collapsed="false">
      <c r="B50" s="66" t="s">
        <v>401</v>
      </c>
      <c r="C50" s="67" t="s">
        <v>402</v>
      </c>
      <c r="D50" s="32" t="s">
        <v>403</v>
      </c>
      <c r="E50" s="32" t="s">
        <v>404</v>
      </c>
      <c r="F50" s="32" t="s">
        <v>405</v>
      </c>
      <c r="G50" s="32" t="s">
        <v>406</v>
      </c>
      <c r="H50" s="32" t="s">
        <v>407</v>
      </c>
      <c r="I50" s="9"/>
    </row>
    <row r="51" customFormat="false" ht="18" hidden="false" customHeight="true" outlineLevel="0" collapsed="false">
      <c r="B51" s="66" t="s">
        <v>408</v>
      </c>
      <c r="C51" s="67" t="s">
        <v>409</v>
      </c>
      <c r="D51" s="68" t="s">
        <v>410</v>
      </c>
      <c r="E51" s="68" t="s">
        <v>411</v>
      </c>
      <c r="F51" s="68" t="s">
        <v>405</v>
      </c>
      <c r="G51" s="68" t="s">
        <v>406</v>
      </c>
      <c r="H51" s="68" t="s">
        <v>412</v>
      </c>
      <c r="I51" s="9"/>
    </row>
    <row r="52" customFormat="false" ht="18" hidden="false" customHeight="true" outlineLevel="0" collapsed="false">
      <c r="B52" s="66" t="s">
        <v>413</v>
      </c>
      <c r="C52" s="67" t="s">
        <v>414</v>
      </c>
      <c r="D52" s="32" t="s">
        <v>415</v>
      </c>
      <c r="E52" s="32" t="s">
        <v>416</v>
      </c>
      <c r="F52" s="32" t="s">
        <v>417</v>
      </c>
      <c r="G52" s="32" t="s">
        <v>418</v>
      </c>
      <c r="H52" s="32" t="s">
        <v>419</v>
      </c>
      <c r="I52" s="9"/>
    </row>
    <row r="53" customFormat="false" ht="18" hidden="false" customHeight="true" outlineLevel="0" collapsed="false">
      <c r="B53" s="66" t="s">
        <v>420</v>
      </c>
      <c r="C53" s="67" t="s">
        <v>421</v>
      </c>
      <c r="D53" s="68" t="s">
        <v>422</v>
      </c>
      <c r="E53" s="68" t="s">
        <v>370</v>
      </c>
      <c r="F53" s="68" t="s">
        <v>377</v>
      </c>
      <c r="G53" s="68" t="s">
        <v>378</v>
      </c>
      <c r="H53" s="68" t="s">
        <v>423</v>
      </c>
      <c r="I53" s="9"/>
    </row>
    <row r="54" customFormat="false" ht="18" hidden="false" customHeight="true" outlineLevel="0" collapsed="false">
      <c r="B54" s="66" t="s">
        <v>424</v>
      </c>
      <c r="C54" s="67" t="s">
        <v>425</v>
      </c>
      <c r="D54" s="32" t="s">
        <v>426</v>
      </c>
      <c r="E54" s="32" t="s">
        <v>383</v>
      </c>
      <c r="F54" s="32" t="s">
        <v>405</v>
      </c>
      <c r="G54" s="32" t="s">
        <v>427</v>
      </c>
      <c r="H54" s="32" t="s">
        <v>428</v>
      </c>
      <c r="I54" s="9"/>
    </row>
    <row r="55" customFormat="false" ht="18" hidden="false" customHeight="true" outlineLevel="0" collapsed="false">
      <c r="B55" s="66" t="s">
        <v>429</v>
      </c>
      <c r="C55" s="67" t="s">
        <v>430</v>
      </c>
      <c r="D55" s="68" t="s">
        <v>431</v>
      </c>
      <c r="E55" s="68" t="s">
        <v>432</v>
      </c>
      <c r="F55" s="68" t="s">
        <v>387</v>
      </c>
      <c r="G55" s="68" t="s">
        <v>387</v>
      </c>
      <c r="H55" s="68" t="s">
        <v>433</v>
      </c>
      <c r="I55" s="9"/>
    </row>
    <row r="56" customFormat="false" ht="18" hidden="false" customHeight="true" outlineLevel="0" collapsed="false">
      <c r="B56" s="66" t="s">
        <v>434</v>
      </c>
      <c r="C56" s="67" t="s">
        <v>305</v>
      </c>
      <c r="D56" s="32" t="s">
        <v>435</v>
      </c>
      <c r="E56" s="32" t="s">
        <v>383</v>
      </c>
      <c r="F56" s="32" t="s">
        <v>387</v>
      </c>
      <c r="G56" s="32" t="s">
        <v>387</v>
      </c>
      <c r="H56" s="32" t="s">
        <v>436</v>
      </c>
      <c r="I56" s="9"/>
    </row>
    <row r="57" customFormat="false" ht="18" hidden="false" customHeight="true" outlineLevel="0" collapsed="false">
      <c r="B57" s="66" t="s">
        <v>437</v>
      </c>
      <c r="C57" s="67" t="s">
        <v>438</v>
      </c>
      <c r="D57" s="68" t="s">
        <v>439</v>
      </c>
      <c r="E57" s="68" t="s">
        <v>440</v>
      </c>
      <c r="F57" s="68" t="s">
        <v>387</v>
      </c>
      <c r="G57" s="68" t="s">
        <v>387</v>
      </c>
      <c r="H57" s="68" t="s">
        <v>388</v>
      </c>
      <c r="I57" s="9"/>
    </row>
    <row r="58" customFormat="false" ht="18" hidden="false" customHeight="true" outlineLevel="0" collapsed="false">
      <c r="B58" s="66" t="s">
        <v>441</v>
      </c>
      <c r="C58" s="67" t="s">
        <v>442</v>
      </c>
      <c r="D58" s="32" t="s">
        <v>443</v>
      </c>
      <c r="E58" s="32" t="s">
        <v>416</v>
      </c>
      <c r="F58" s="32" t="s">
        <v>444</v>
      </c>
      <c r="G58" s="32" t="s">
        <v>418</v>
      </c>
      <c r="H58" s="32" t="s">
        <v>445</v>
      </c>
      <c r="I58" s="9"/>
    </row>
    <row r="59" customFormat="false" ht="18" hidden="false" customHeight="true" outlineLevel="0" collapsed="false">
      <c r="B59" s="66" t="s">
        <v>446</v>
      </c>
      <c r="C59" s="67" t="s">
        <v>447</v>
      </c>
      <c r="D59" s="68" t="s">
        <v>448</v>
      </c>
      <c r="E59" s="68" t="s">
        <v>449</v>
      </c>
      <c r="F59" s="68" t="s">
        <v>387</v>
      </c>
      <c r="G59" s="68" t="s">
        <v>387</v>
      </c>
      <c r="H59" s="68" t="s">
        <v>445</v>
      </c>
      <c r="I59" s="9"/>
    </row>
    <row r="60" customFormat="false" ht="18" hidden="false" customHeight="true" outlineLevel="0" collapsed="false">
      <c r="B60" s="66" t="s">
        <v>450</v>
      </c>
      <c r="C60" s="67" t="s">
        <v>451</v>
      </c>
      <c r="D60" s="32" t="s">
        <v>452</v>
      </c>
      <c r="E60" s="32" t="s">
        <v>453</v>
      </c>
      <c r="F60" s="32" t="s">
        <v>378</v>
      </c>
      <c r="G60" s="32" t="s">
        <v>378</v>
      </c>
      <c r="H60" s="32" t="s">
        <v>454</v>
      </c>
      <c r="I60" s="9"/>
    </row>
    <row r="61" customFormat="false" ht="18" hidden="false" customHeight="true" outlineLevel="0" collapsed="false">
      <c r="B61" s="66" t="s">
        <v>455</v>
      </c>
      <c r="C61" s="67" t="s">
        <v>456</v>
      </c>
      <c r="D61" s="68" t="s">
        <v>457</v>
      </c>
      <c r="E61" s="68" t="s">
        <v>416</v>
      </c>
      <c r="F61" s="68" t="s">
        <v>387</v>
      </c>
      <c r="G61" s="68" t="s">
        <v>387</v>
      </c>
      <c r="H61" s="68" t="s">
        <v>393</v>
      </c>
      <c r="I61" s="9"/>
    </row>
    <row r="62" customFormat="false" ht="18" hidden="false" customHeight="true" outlineLevel="0" collapsed="false">
      <c r="B62" s="66" t="s">
        <v>458</v>
      </c>
      <c r="C62" s="67" t="s">
        <v>459</v>
      </c>
      <c r="D62" s="32" t="s">
        <v>460</v>
      </c>
      <c r="E62" s="32" t="s">
        <v>392</v>
      </c>
      <c r="F62" s="32" t="s">
        <v>378</v>
      </c>
      <c r="G62" s="32" t="s">
        <v>378</v>
      </c>
      <c r="H62" s="32" t="s">
        <v>393</v>
      </c>
      <c r="I62" s="9"/>
    </row>
    <row r="63" customFormat="false" ht="18" hidden="false" customHeight="true" outlineLevel="0" collapsed="false">
      <c r="B63" s="66" t="s">
        <v>461</v>
      </c>
      <c r="C63" s="67" t="s">
        <v>462</v>
      </c>
      <c r="D63" s="68" t="s">
        <v>463</v>
      </c>
      <c r="E63" s="68" t="s">
        <v>392</v>
      </c>
      <c r="F63" s="68" t="s">
        <v>378</v>
      </c>
      <c r="G63" s="68" t="s">
        <v>378</v>
      </c>
      <c r="H63" s="68" t="s">
        <v>393</v>
      </c>
      <c r="I63" s="9"/>
    </row>
    <row r="64" customFormat="false" ht="18" hidden="false" customHeight="true" outlineLevel="0" collapsed="false">
      <c r="B64" s="66" t="s">
        <v>464</v>
      </c>
      <c r="C64" s="67" t="s">
        <v>465</v>
      </c>
      <c r="D64" s="32" t="s">
        <v>466</v>
      </c>
      <c r="E64" s="32" t="s">
        <v>467</v>
      </c>
      <c r="F64" s="32" t="s">
        <v>405</v>
      </c>
      <c r="G64" s="32" t="s">
        <v>406</v>
      </c>
      <c r="H64" s="32" t="s">
        <v>468</v>
      </c>
      <c r="I64" s="9"/>
    </row>
    <row r="66" customFormat="false" ht="15" hidden="false" customHeight="false" outlineLevel="0" collapsed="false">
      <c r="B66" s="6" t="s">
        <v>469</v>
      </c>
    </row>
    <row r="67" customFormat="false" ht="46.25" hidden="false" customHeight="false" outlineLevel="0" collapsed="false">
      <c r="A67" s="4"/>
      <c r="B67" s="4" t="s">
        <v>470</v>
      </c>
      <c r="C67" s="4" t="s">
        <v>471</v>
      </c>
      <c r="D67" s="4" t="s">
        <v>472</v>
      </c>
      <c r="E67" s="4" t="s">
        <v>449</v>
      </c>
      <c r="F67" s="4" t="s">
        <v>372</v>
      </c>
      <c r="G67" s="4" t="s">
        <v>406</v>
      </c>
      <c r="H67" s="4" t="s">
        <v>473</v>
      </c>
      <c r="I67" s="4"/>
    </row>
    <row r="68" customFormat="false" ht="35.05" hidden="false" customHeight="false" outlineLevel="0" collapsed="false">
      <c r="A68" s="5"/>
      <c r="B68" s="5" t="s">
        <v>474</v>
      </c>
      <c r="C68" s="5" t="s">
        <v>475</v>
      </c>
      <c r="D68" s="5" t="s">
        <v>476</v>
      </c>
      <c r="E68" s="5" t="s">
        <v>477</v>
      </c>
      <c r="F68" s="5" t="s">
        <v>377</v>
      </c>
      <c r="G68" s="5" t="s">
        <v>378</v>
      </c>
      <c r="H68" s="5" t="s">
        <v>478</v>
      </c>
      <c r="I68" s="5"/>
    </row>
    <row r="69" customFormat="false" ht="35.05" hidden="false" customHeight="false" outlineLevel="0" collapsed="false">
      <c r="A69" s="4"/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4" t="s">
        <v>387</v>
      </c>
      <c r="H69" s="4" t="s">
        <v>484</v>
      </c>
      <c r="I69" s="4"/>
    </row>
    <row r="70" customFormat="false" ht="57.45" hidden="false" customHeight="false" outlineLevel="0" collapsed="false">
      <c r="A70" s="5"/>
      <c r="B70" s="5" t="s">
        <v>485</v>
      </c>
      <c r="C70" s="5" t="s">
        <v>486</v>
      </c>
      <c r="D70" s="5" t="s">
        <v>487</v>
      </c>
      <c r="E70" s="5" t="s">
        <v>488</v>
      </c>
      <c r="F70" s="5" t="s">
        <v>483</v>
      </c>
      <c r="G70" s="5" t="s">
        <v>387</v>
      </c>
      <c r="H70" s="5" t="s">
        <v>489</v>
      </c>
      <c r="I70" s="5"/>
    </row>
    <row r="73" customFormat="false" ht="15" hidden="false" customHeight="false" outlineLevel="0" collapsed="false">
      <c r="B73" s="6" t="s">
        <v>490</v>
      </c>
    </row>
    <row r="74" customFormat="false" ht="15" hidden="false" customHeight="false" outlineLevel="0" collapsed="false">
      <c r="A74" s="3"/>
      <c r="B74" s="3" t="s">
        <v>312</v>
      </c>
      <c r="C74" s="3" t="s">
        <v>491</v>
      </c>
      <c r="D74" s="3" t="s">
        <v>313</v>
      </c>
      <c r="E74" s="3" t="s">
        <v>492</v>
      </c>
      <c r="F74" s="3" t="s">
        <v>493</v>
      </c>
      <c r="G74" s="3" t="s">
        <v>494</v>
      </c>
      <c r="H74" s="3" t="s">
        <v>495</v>
      </c>
      <c r="I74" s="3" t="s">
        <v>496</v>
      </c>
    </row>
    <row r="75" customFormat="false" ht="23.85" hidden="false" customHeight="false" outlineLevel="0" collapsed="false">
      <c r="A75" s="4"/>
      <c r="B75" s="4" t="s">
        <v>497</v>
      </c>
      <c r="C75" s="4" t="n">
        <v>3230000000</v>
      </c>
      <c r="D75" s="4" t="s">
        <v>498</v>
      </c>
      <c r="E75" s="4" t="n">
        <v>120000</v>
      </c>
      <c r="F75" s="4" t="n">
        <v>4250</v>
      </c>
      <c r="G75" s="4" t="n">
        <v>1275</v>
      </c>
      <c r="H75" s="4" t="s">
        <v>499</v>
      </c>
      <c r="I75" s="4" t="s">
        <v>500</v>
      </c>
    </row>
    <row r="76" customFormat="false" ht="23.85" hidden="false" customHeight="false" outlineLevel="0" collapsed="false">
      <c r="A76" s="5"/>
      <c r="B76" s="5" t="s">
        <v>323</v>
      </c>
      <c r="C76" s="5" t="n">
        <v>1530000000</v>
      </c>
      <c r="D76" s="5" t="s">
        <v>501</v>
      </c>
      <c r="E76" s="5" t="n">
        <v>180000</v>
      </c>
      <c r="F76" s="5" t="n">
        <v>2010</v>
      </c>
      <c r="G76" s="5" t="n">
        <v>603</v>
      </c>
      <c r="H76" s="5" t="s">
        <v>502</v>
      </c>
      <c r="I76" s="5" t="s">
        <v>503</v>
      </c>
    </row>
    <row r="77" customFormat="false" ht="23.85" hidden="false" customHeight="false" outlineLevel="0" collapsed="false">
      <c r="A77" s="4"/>
      <c r="B77" s="4" t="s">
        <v>504</v>
      </c>
      <c r="C77" s="4" t="n">
        <v>595000000</v>
      </c>
      <c r="D77" s="4" t="s">
        <v>505</v>
      </c>
      <c r="E77" s="4" t="s">
        <v>428</v>
      </c>
      <c r="F77" s="4" t="s">
        <v>428</v>
      </c>
      <c r="G77" s="4" t="s">
        <v>428</v>
      </c>
      <c r="H77" s="4" t="s">
        <v>390</v>
      </c>
      <c r="I77" s="4" t="s">
        <v>325</v>
      </c>
    </row>
    <row r="78" customFormat="false" ht="23.85" hidden="false" customHeight="false" outlineLevel="0" collapsed="false">
      <c r="A78" s="5"/>
      <c r="B78" s="5" t="s">
        <v>331</v>
      </c>
      <c r="C78" s="5" t="n">
        <v>850000000</v>
      </c>
      <c r="D78" s="5" t="s">
        <v>506</v>
      </c>
      <c r="E78" s="5" t="n">
        <v>90000</v>
      </c>
      <c r="F78" s="5" t="n">
        <v>1420</v>
      </c>
      <c r="G78" s="5" t="n">
        <v>426</v>
      </c>
      <c r="H78" s="5" t="s">
        <v>398</v>
      </c>
      <c r="I78" s="5" t="s">
        <v>507</v>
      </c>
    </row>
    <row r="79" customFormat="false" ht="23.85" hidden="false" customHeight="false" outlineLevel="0" collapsed="false">
      <c r="A79" s="4"/>
      <c r="B79" s="4" t="s">
        <v>508</v>
      </c>
      <c r="C79" s="4" t="n">
        <v>595000000</v>
      </c>
      <c r="D79" s="4" t="s">
        <v>505</v>
      </c>
      <c r="E79" s="4" t="n">
        <v>80000</v>
      </c>
      <c r="F79" s="4" t="n">
        <v>1120</v>
      </c>
      <c r="G79" s="4" t="n">
        <v>336</v>
      </c>
      <c r="H79" s="4" t="s">
        <v>430</v>
      </c>
      <c r="I79" s="4" t="s">
        <v>509</v>
      </c>
    </row>
    <row r="80" customFormat="false" ht="23.85" hidden="false" customHeight="false" outlineLevel="0" collapsed="false">
      <c r="A80" s="5"/>
      <c r="B80" s="5" t="s">
        <v>338</v>
      </c>
      <c r="C80" s="5" t="n">
        <v>425000000</v>
      </c>
      <c r="D80" s="5" t="s">
        <v>510</v>
      </c>
      <c r="E80" s="5" t="n">
        <v>50000</v>
      </c>
      <c r="F80" s="5" t="n">
        <v>1060</v>
      </c>
      <c r="G80" s="5" t="n">
        <v>256</v>
      </c>
      <c r="H80" s="5" t="s">
        <v>475</v>
      </c>
      <c r="I80" s="5" t="s">
        <v>340</v>
      </c>
    </row>
    <row r="81" customFormat="false" ht="23.85" hidden="false" customHeight="false" outlineLevel="0" collapsed="false">
      <c r="A81" s="4"/>
      <c r="B81" s="4" t="s">
        <v>511</v>
      </c>
      <c r="C81" s="4" t="n">
        <v>1020000000</v>
      </c>
      <c r="D81" s="4" t="s">
        <v>343</v>
      </c>
      <c r="E81" s="4" t="n">
        <v>150000</v>
      </c>
      <c r="F81" s="4" t="s">
        <v>428</v>
      </c>
      <c r="G81" s="4" t="s">
        <v>428</v>
      </c>
      <c r="H81" s="4" t="s">
        <v>486</v>
      </c>
      <c r="I81" s="4" t="s">
        <v>512</v>
      </c>
    </row>
    <row r="82" customFormat="false" ht="15" hidden="false" customHeight="false" outlineLevel="0" collapsed="false">
      <c r="A82" s="5"/>
      <c r="B82" s="5" t="s">
        <v>513</v>
      </c>
      <c r="C82" s="5" t="n">
        <v>425000000</v>
      </c>
      <c r="D82" s="5" t="s">
        <v>510</v>
      </c>
      <c r="E82" s="5" t="s">
        <v>428</v>
      </c>
      <c r="F82" s="5" t="s">
        <v>428</v>
      </c>
      <c r="G82" s="5" t="s">
        <v>428</v>
      </c>
      <c r="H82" s="5" t="s">
        <v>425</v>
      </c>
      <c r="I82" s="5" t="s">
        <v>346</v>
      </c>
    </row>
  </sheetData>
  <mergeCells count="6">
    <mergeCell ref="B1:I1"/>
    <mergeCell ref="B2:I2"/>
    <mergeCell ref="B4:I4"/>
    <mergeCell ref="B15:I15"/>
    <mergeCell ref="B27:I27"/>
    <mergeCell ref="B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33A"/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42"/>
    <col collapsed="false" customWidth="true" hidden="false" outlineLevel="0" max="2" min="2" style="2" width="22"/>
    <col collapsed="false" customWidth="true" hidden="false" outlineLevel="0" max="3" min="3" style="2" width="10"/>
    <col collapsed="false" customWidth="true" hidden="false" outlineLevel="0" max="4" min="4" style="2" width="35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7" min="7" style="0" width="15"/>
  </cols>
  <sheetData>
    <row r="1" customFormat="false" ht="15" hidden="false" customHeight="true" outlineLevel="0" collapsed="false">
      <c r="A1" s="69" t="s">
        <v>514</v>
      </c>
      <c r="B1" s="69"/>
      <c r="C1" s="69"/>
      <c r="D1" s="69"/>
    </row>
    <row r="2" customFormat="false" ht="15" hidden="false" customHeight="true" outlineLevel="0" collapsed="false">
      <c r="A2" s="70" t="s">
        <v>515</v>
      </c>
      <c r="B2" s="70"/>
      <c r="C2" s="70"/>
      <c r="D2" s="70"/>
    </row>
    <row r="3" customFormat="false" ht="15" hidden="false" customHeight="true" outlineLevel="0" collapsed="false">
      <c r="A3" s="71" t="s">
        <v>516</v>
      </c>
      <c r="B3" s="71" t="s">
        <v>517</v>
      </c>
      <c r="C3" s="71" t="s">
        <v>518</v>
      </c>
      <c r="D3" s="71" t="s">
        <v>318</v>
      </c>
    </row>
    <row r="4" customFormat="false" ht="15" hidden="false" customHeight="true" outlineLevel="0" collapsed="false">
      <c r="A4" s="72" t="s">
        <v>519</v>
      </c>
      <c r="B4" s="73" t="n">
        <v>13000000000</v>
      </c>
      <c r="C4" s="72" t="s">
        <v>520</v>
      </c>
      <c r="D4" s="72" t="s">
        <v>521</v>
      </c>
    </row>
    <row r="5" customFormat="false" ht="15" hidden="false" customHeight="true" outlineLevel="0" collapsed="false">
      <c r="A5" s="74" t="s">
        <v>522</v>
      </c>
      <c r="B5" s="75" t="n">
        <v>1300</v>
      </c>
      <c r="C5" s="74" t="s">
        <v>523</v>
      </c>
      <c r="D5" s="74" t="s">
        <v>524</v>
      </c>
    </row>
    <row r="6" customFormat="false" ht="15" hidden="false" customHeight="true" outlineLevel="0" collapsed="false">
      <c r="A6" s="72" t="s">
        <v>525</v>
      </c>
      <c r="B6" s="76" t="n">
        <v>0.2</v>
      </c>
      <c r="C6" s="72" t="s">
        <v>526</v>
      </c>
      <c r="D6" s="72" t="s">
        <v>527</v>
      </c>
    </row>
    <row r="7" customFormat="false" ht="15" hidden="false" customHeight="true" outlineLevel="0" collapsed="false">
      <c r="A7" s="74" t="s">
        <v>528</v>
      </c>
      <c r="B7" s="77" t="n">
        <v>0.3</v>
      </c>
      <c r="C7" s="74" t="s">
        <v>526</v>
      </c>
      <c r="D7" s="74" t="s">
        <v>529</v>
      </c>
    </row>
    <row r="8" customFormat="false" ht="15" hidden="false" customHeight="true" outlineLevel="0" collapsed="false">
      <c r="A8" s="72" t="s">
        <v>530</v>
      </c>
      <c r="B8" s="76" t="n">
        <v>0.35</v>
      </c>
      <c r="C8" s="72" t="s">
        <v>526</v>
      </c>
      <c r="D8" s="72" t="s">
        <v>531</v>
      </c>
    </row>
    <row r="9" customFormat="false" ht="15" hidden="false" customHeight="true" outlineLevel="0" collapsed="false">
      <c r="A9" s="74" t="s">
        <v>532</v>
      </c>
      <c r="B9" s="78" t="n">
        <v>200000000</v>
      </c>
      <c r="C9" s="74" t="s">
        <v>520</v>
      </c>
      <c r="D9" s="74" t="s">
        <v>533</v>
      </c>
    </row>
    <row r="10" customFormat="false" ht="15" hidden="false" customHeight="true" outlineLevel="0" collapsed="false">
      <c r="A10" s="72" t="s">
        <v>534</v>
      </c>
      <c r="B10" s="73" t="n">
        <v>800000000</v>
      </c>
      <c r="C10" s="72" t="s">
        <v>520</v>
      </c>
      <c r="D10" s="72" t="s">
        <v>535</v>
      </c>
    </row>
    <row r="11" customFormat="false" ht="15" hidden="false" customHeight="true" outlineLevel="0" collapsed="false">
      <c r="A11" s="74" t="s">
        <v>536</v>
      </c>
      <c r="B11" s="78" t="n">
        <v>800000000</v>
      </c>
      <c r="C11" s="74" t="s">
        <v>520</v>
      </c>
      <c r="D11" s="74" t="s">
        <v>537</v>
      </c>
    </row>
    <row r="12" customFormat="false" ht="15" hidden="false" customHeight="true" outlineLevel="0" collapsed="false">
      <c r="A12" s="72" t="s">
        <v>538</v>
      </c>
      <c r="B12" s="73" t="n">
        <v>700000000</v>
      </c>
      <c r="C12" s="72" t="s">
        <v>520</v>
      </c>
      <c r="D12" s="72" t="s">
        <v>539</v>
      </c>
    </row>
    <row r="13" customFormat="false" ht="15" hidden="false" customHeight="true" outlineLevel="0" collapsed="false">
      <c r="A13" s="74" t="s">
        <v>540</v>
      </c>
      <c r="B13" s="78" t="n">
        <v>450000000</v>
      </c>
      <c r="C13" s="74" t="s">
        <v>520</v>
      </c>
      <c r="D13" s="74" t="s">
        <v>541</v>
      </c>
    </row>
    <row r="14" customFormat="false" ht="15" hidden="false" customHeight="true" outlineLevel="0" collapsed="false">
      <c r="A14" s="72" t="s">
        <v>542</v>
      </c>
      <c r="B14" s="73" t="n">
        <v>1000000000</v>
      </c>
      <c r="C14" s="72" t="s">
        <v>520</v>
      </c>
      <c r="D14" s="72" t="s">
        <v>543</v>
      </c>
    </row>
    <row r="15" customFormat="false" ht="15" hidden="false" customHeight="true" outlineLevel="0" collapsed="false">
      <c r="A15" s="74" t="s">
        <v>544</v>
      </c>
      <c r="B15" s="78" t="n">
        <v>8500000000</v>
      </c>
      <c r="C15" s="74" t="s">
        <v>520</v>
      </c>
      <c r="D15" s="74" t="s">
        <v>545</v>
      </c>
    </row>
    <row r="16" customFormat="false" ht="15" hidden="false" customHeight="true" outlineLevel="0" collapsed="false">
      <c r="A16" s="72" t="s">
        <v>546</v>
      </c>
      <c r="B16" s="73" t="n">
        <v>550000000</v>
      </c>
      <c r="C16" s="72" t="s">
        <v>520</v>
      </c>
      <c r="D16" s="72" t="s">
        <v>547</v>
      </c>
    </row>
    <row r="18" customFormat="false" ht="15" hidden="false" customHeight="true" outlineLevel="0" collapsed="false">
      <c r="A18" s="79" t="s">
        <v>548</v>
      </c>
      <c r="B18" s="80" t="n">
        <f aca="false">SUM(B9:B16)</f>
        <v>13000000000</v>
      </c>
    </row>
    <row r="19" customFormat="false" ht="15" hidden="false" customHeight="true" outlineLevel="0" collapsed="false">
      <c r="A19" s="79" t="s">
        <v>549</v>
      </c>
      <c r="B19" s="80" t="n">
        <f aca="false">B4-B18</f>
        <v>0</v>
      </c>
    </row>
    <row r="20" customFormat="false" ht="15" hidden="false" customHeight="true" outlineLevel="0" collapsed="false">
      <c r="A20" s="79" t="s">
        <v>290</v>
      </c>
      <c r="B20" s="2" t="str">
        <f aca="false">IF(ABS(B19)&lt;1000,"✅ Khớp 13 tỷ","❌ LỆCH")</f>
        <v>✅ Khớp 13 tỷ</v>
      </c>
    </row>
    <row r="22" customFormat="false" ht="15" hidden="false" customHeight="false" outlineLevel="0" collapsed="false">
      <c r="A22" s="6" t="s">
        <v>550</v>
      </c>
    </row>
    <row r="23" customFormat="false" ht="15" hidden="false" customHeight="false" outlineLevel="0" collapsed="false">
      <c r="A23" s="4" t="s">
        <v>551</v>
      </c>
      <c r="B23" s="4" t="n">
        <v>6</v>
      </c>
      <c r="C23" s="4" t="s">
        <v>552</v>
      </c>
      <c r="D23" s="4" t="s">
        <v>553</v>
      </c>
    </row>
    <row r="24" customFormat="false" ht="15" hidden="false" customHeight="false" outlineLevel="0" collapsed="false">
      <c r="A24" s="5" t="s">
        <v>554</v>
      </c>
      <c r="B24" s="5" t="n">
        <v>4</v>
      </c>
      <c r="C24" s="5" t="s">
        <v>555</v>
      </c>
      <c r="D24" s="5" t="s">
        <v>556</v>
      </c>
    </row>
    <row r="25" customFormat="false" ht="23.85" hidden="false" customHeight="false" outlineLevel="0" collapsed="false">
      <c r="A25" s="4" t="s">
        <v>557</v>
      </c>
      <c r="B25" s="4" t="n">
        <v>8</v>
      </c>
      <c r="C25" s="4" t="s">
        <v>558</v>
      </c>
      <c r="D25" s="4" t="s">
        <v>559</v>
      </c>
    </row>
    <row r="26" customFormat="false" ht="15" hidden="false" customHeight="false" outlineLevel="0" collapsed="false">
      <c r="A26" s="5" t="s">
        <v>560</v>
      </c>
      <c r="B26" s="5" t="n">
        <v>4</v>
      </c>
      <c r="C26" s="5" t="s">
        <v>561</v>
      </c>
      <c r="D26" s="5" t="s">
        <v>556</v>
      </c>
    </row>
    <row r="27" customFormat="false" ht="15" hidden="false" customHeight="false" outlineLevel="0" collapsed="false">
      <c r="A27" s="4" t="s">
        <v>562</v>
      </c>
      <c r="B27" s="4" t="n">
        <v>7</v>
      </c>
      <c r="C27" s="4" t="s">
        <v>563</v>
      </c>
      <c r="D27" s="4" t="s">
        <v>564</v>
      </c>
    </row>
    <row r="28" customFormat="false" ht="15" hidden="false" customHeight="false" outlineLevel="0" collapsed="false">
      <c r="A28" s="5" t="s">
        <v>565</v>
      </c>
      <c r="B28" s="5" t="n">
        <v>28</v>
      </c>
      <c r="C28" s="5" t="s">
        <v>566</v>
      </c>
      <c r="D28" s="5" t="s">
        <v>567</v>
      </c>
    </row>
    <row r="29" customFormat="false" ht="23.85" hidden="false" customHeight="false" outlineLevel="0" collapsed="false">
      <c r="A29" s="4" t="s">
        <v>568</v>
      </c>
      <c r="B29" s="4" t="n">
        <v>5</v>
      </c>
      <c r="C29" s="4" t="s">
        <v>569</v>
      </c>
      <c r="D29" s="4" t="s">
        <v>570</v>
      </c>
    </row>
    <row r="30" customFormat="false" ht="23.85" hidden="false" customHeight="false" outlineLevel="0" collapsed="false">
      <c r="A30" s="5" t="s">
        <v>571</v>
      </c>
      <c r="B30" s="5" t="n">
        <v>6</v>
      </c>
      <c r="C30" s="5" t="s">
        <v>569</v>
      </c>
      <c r="D30" s="5" t="s">
        <v>572</v>
      </c>
    </row>
    <row r="31" customFormat="false" ht="15" hidden="false" customHeight="false" outlineLevel="0" collapsed="false">
      <c r="A31" s="4" t="s">
        <v>573</v>
      </c>
      <c r="B31" s="4" t="n">
        <v>2000</v>
      </c>
      <c r="C31" s="4" t="s">
        <v>574</v>
      </c>
      <c r="D31" s="4" t="s">
        <v>575</v>
      </c>
    </row>
    <row r="32" customFormat="false" ht="15" hidden="false" customHeight="false" outlineLevel="0" collapsed="false">
      <c r="A32" s="5" t="s">
        <v>576</v>
      </c>
      <c r="B32" s="5" t="n">
        <v>100</v>
      </c>
      <c r="C32" s="5" t="s">
        <v>577</v>
      </c>
      <c r="D32" s="5" t="s">
        <v>578</v>
      </c>
    </row>
    <row r="33" customFormat="false" ht="15" hidden="false" customHeight="false" outlineLevel="0" collapsed="false">
      <c r="A33" s="4" t="s">
        <v>579</v>
      </c>
      <c r="B33" s="4" t="n">
        <v>8</v>
      </c>
      <c r="C33" s="4" t="s">
        <v>580</v>
      </c>
      <c r="D33" s="4" t="s">
        <v>581</v>
      </c>
    </row>
    <row r="34" customFormat="false" ht="15" hidden="false" customHeight="false" outlineLevel="0" collapsed="false">
      <c r="A34" s="5" t="s">
        <v>582</v>
      </c>
      <c r="B34" s="5" t="n">
        <v>2</v>
      </c>
      <c r="C34" s="5" t="s">
        <v>583</v>
      </c>
      <c r="D34" s="5" t="s">
        <v>584</v>
      </c>
    </row>
    <row r="35" customFormat="false" ht="15" hidden="false" customHeight="false" outlineLevel="0" collapsed="false">
      <c r="A35" s="4" t="s">
        <v>585</v>
      </c>
      <c r="B35" s="4" t="n">
        <v>5</v>
      </c>
      <c r="C35" s="4" t="s">
        <v>586</v>
      </c>
      <c r="D35" s="4" t="s">
        <v>587</v>
      </c>
    </row>
    <row r="36" customFormat="false" ht="15" hidden="false" customHeight="false" outlineLevel="0" collapsed="false">
      <c r="A36" s="5" t="s">
        <v>588</v>
      </c>
      <c r="B36" s="5" t="s">
        <v>589</v>
      </c>
      <c r="C36" s="5" t="s">
        <v>526</v>
      </c>
      <c r="D36" s="5" t="s">
        <v>590</v>
      </c>
    </row>
    <row r="37" customFormat="false" ht="15" hidden="false" customHeight="false" outlineLevel="0" collapsed="false">
      <c r="A37" s="4" t="s">
        <v>591</v>
      </c>
      <c r="B37" s="4" t="s">
        <v>592</v>
      </c>
      <c r="C37" s="4" t="s">
        <v>526</v>
      </c>
      <c r="D37" s="4" t="s">
        <v>593</v>
      </c>
    </row>
    <row r="38" customFormat="false" ht="15" hidden="false" customHeight="false" outlineLevel="0" collapsed="false">
      <c r="A38" s="5" t="s">
        <v>594</v>
      </c>
      <c r="B38" s="5" t="s">
        <v>595</v>
      </c>
      <c r="C38" s="5" t="s">
        <v>526</v>
      </c>
      <c r="D38" s="5" t="s">
        <v>596</v>
      </c>
    </row>
    <row r="40" customFormat="false" ht="15" hidden="false" customHeight="false" outlineLevel="0" collapsed="false">
      <c r="A40" s="6" t="s">
        <v>597</v>
      </c>
    </row>
    <row r="41" customFormat="false" ht="15" hidden="false" customHeight="false" outlineLevel="0" collapsed="false">
      <c r="A41" s="3" t="s">
        <v>598</v>
      </c>
      <c r="B41" s="3" t="s">
        <v>599</v>
      </c>
      <c r="C41" s="3" t="s">
        <v>351</v>
      </c>
      <c r="D41" s="3" t="s">
        <v>600</v>
      </c>
      <c r="E41" s="3" t="s">
        <v>601</v>
      </c>
      <c r="F41" s="3" t="s">
        <v>602</v>
      </c>
      <c r="G41" s="3" t="s">
        <v>603</v>
      </c>
    </row>
    <row r="42" customFormat="false" ht="15" hidden="false" customHeight="false" outlineLevel="0" collapsed="false">
      <c r="A42" s="4" t="n">
        <v>1</v>
      </c>
      <c r="B42" s="4" t="s">
        <v>151</v>
      </c>
      <c r="C42" s="4" t="s">
        <v>153</v>
      </c>
      <c r="D42" s="4" t="s">
        <v>604</v>
      </c>
      <c r="E42" s="4" t="s">
        <v>152</v>
      </c>
      <c r="F42" s="4" t="s">
        <v>605</v>
      </c>
      <c r="G42" s="4" t="s">
        <v>606</v>
      </c>
    </row>
    <row r="43" customFormat="false" ht="15" hidden="false" customHeight="false" outlineLevel="0" collapsed="false">
      <c r="A43" s="5" t="n">
        <v>2</v>
      </c>
      <c r="B43" s="5" t="s">
        <v>162</v>
      </c>
      <c r="C43" s="5" t="s">
        <v>153</v>
      </c>
      <c r="D43" s="5" t="s">
        <v>607</v>
      </c>
      <c r="E43" s="5" t="s">
        <v>608</v>
      </c>
      <c r="F43" s="5" t="s">
        <v>609</v>
      </c>
      <c r="G43" s="5" t="s">
        <v>606</v>
      </c>
    </row>
    <row r="44" customFormat="false" ht="15" hidden="false" customHeight="false" outlineLevel="0" collapsed="false">
      <c r="A44" s="4" t="n">
        <v>3</v>
      </c>
      <c r="B44" s="4" t="s">
        <v>610</v>
      </c>
      <c r="C44" s="4" t="s">
        <v>174</v>
      </c>
      <c r="D44" s="4" t="s">
        <v>611</v>
      </c>
      <c r="E44" s="4" t="s">
        <v>608</v>
      </c>
      <c r="F44" s="4" t="s">
        <v>609</v>
      </c>
      <c r="G44" s="4" t="s">
        <v>606</v>
      </c>
    </row>
    <row r="45" customFormat="false" ht="15" hidden="false" customHeight="false" outlineLevel="0" collapsed="false">
      <c r="A45" s="5" t="n">
        <v>4</v>
      </c>
      <c r="B45" s="5" t="s">
        <v>612</v>
      </c>
      <c r="C45" s="5" t="s">
        <v>174</v>
      </c>
      <c r="D45" s="5" t="s">
        <v>613</v>
      </c>
      <c r="E45" s="5" t="s">
        <v>614</v>
      </c>
      <c r="F45" s="5" t="s">
        <v>615</v>
      </c>
      <c r="G45" s="5" t="s">
        <v>606</v>
      </c>
    </row>
    <row r="46" customFormat="false" ht="15" hidden="false" customHeight="false" outlineLevel="0" collapsed="false">
      <c r="A46" s="4" t="n">
        <v>5</v>
      </c>
      <c r="B46" s="4" t="s">
        <v>194</v>
      </c>
      <c r="C46" s="4" t="s">
        <v>195</v>
      </c>
      <c r="D46" s="4" t="s">
        <v>616</v>
      </c>
      <c r="E46" s="4" t="s">
        <v>152</v>
      </c>
      <c r="F46" s="4" t="s">
        <v>605</v>
      </c>
      <c r="G46" s="4" t="s">
        <v>606</v>
      </c>
    </row>
    <row r="47" customFormat="false" ht="15" hidden="false" customHeight="false" outlineLevel="0" collapsed="false">
      <c r="A47" s="5" t="n">
        <v>6</v>
      </c>
      <c r="B47" s="5" t="s">
        <v>204</v>
      </c>
      <c r="C47" s="5" t="s">
        <v>195</v>
      </c>
      <c r="D47" s="5" t="s">
        <v>617</v>
      </c>
      <c r="E47" s="5" t="s">
        <v>205</v>
      </c>
      <c r="F47" s="5" t="s">
        <v>618</v>
      </c>
      <c r="G47" s="5" t="s">
        <v>606</v>
      </c>
    </row>
    <row r="48" customFormat="false" ht="15" hidden="false" customHeight="false" outlineLevel="0" collapsed="false">
      <c r="A48" s="4" t="n">
        <v>7</v>
      </c>
      <c r="B48" s="4" t="s">
        <v>232</v>
      </c>
      <c r="C48" s="4" t="s">
        <v>233</v>
      </c>
      <c r="D48" s="4" t="s">
        <v>616</v>
      </c>
      <c r="E48" s="4" t="s">
        <v>152</v>
      </c>
      <c r="F48" s="4" t="s">
        <v>605</v>
      </c>
      <c r="G48" s="4" t="s">
        <v>619</v>
      </c>
    </row>
    <row r="49" customFormat="false" ht="15" hidden="false" customHeight="false" outlineLevel="0" collapsed="false">
      <c r="A49" s="5" t="n">
        <v>8</v>
      </c>
      <c r="B49" s="5" t="s">
        <v>242</v>
      </c>
      <c r="C49" s="5" t="s">
        <v>243</v>
      </c>
      <c r="D49" s="5" t="s">
        <v>616</v>
      </c>
      <c r="E49" s="5" t="s">
        <v>152</v>
      </c>
      <c r="F49" s="5" t="s">
        <v>605</v>
      </c>
      <c r="G49" s="5" t="s">
        <v>619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2" width="24"/>
    <col collapsed="false" customWidth="true" hidden="false" outlineLevel="0" max="8" min="8" style="2" width="30"/>
  </cols>
  <sheetData>
    <row r="1" customFormat="false" ht="15" hidden="false" customHeight="true" outlineLevel="0" collapsed="false">
      <c r="A1" s="81" t="s">
        <v>620</v>
      </c>
      <c r="B1" s="81"/>
      <c r="C1" s="81"/>
      <c r="D1" s="81"/>
      <c r="E1" s="81"/>
      <c r="F1" s="81"/>
      <c r="G1" s="81"/>
      <c r="H1" s="81"/>
    </row>
    <row r="2" customFormat="false" ht="15" hidden="false" customHeight="true" outlineLevel="0" collapsed="false">
      <c r="A2" s="82" t="s">
        <v>312</v>
      </c>
      <c r="B2" s="82" t="s">
        <v>313</v>
      </c>
      <c r="C2" s="82" t="s">
        <v>314</v>
      </c>
      <c r="D2" s="82" t="s">
        <v>315</v>
      </c>
      <c r="E2" s="82" t="s">
        <v>621</v>
      </c>
      <c r="F2" s="82" t="s">
        <v>622</v>
      </c>
      <c r="G2" s="82" t="s">
        <v>623</v>
      </c>
      <c r="H2" s="82" t="s">
        <v>318</v>
      </c>
    </row>
    <row r="3" customFormat="false" ht="15" hidden="false" customHeight="true" outlineLevel="0" collapsed="false">
      <c r="A3" s="72" t="s">
        <v>319</v>
      </c>
      <c r="B3" s="76" t="n">
        <v>0.38</v>
      </c>
      <c r="C3" s="83" t="n">
        <f aca="false">B3*'1. Input'!B15</f>
        <v>3230000000</v>
      </c>
      <c r="D3" s="72" t="s">
        <v>320</v>
      </c>
      <c r="E3" s="72" t="s">
        <v>624</v>
      </c>
      <c r="F3" s="83" t="n">
        <v>120000</v>
      </c>
      <c r="G3" s="72" t="s">
        <v>321</v>
      </c>
      <c r="H3" s="72" t="s">
        <v>322</v>
      </c>
    </row>
    <row r="4" customFormat="false" ht="15" hidden="false" customHeight="true" outlineLevel="0" collapsed="false">
      <c r="A4" s="74" t="s">
        <v>625</v>
      </c>
      <c r="B4" s="77" t="n">
        <v>0.18</v>
      </c>
      <c r="C4" s="78" t="n">
        <f aca="false">B4*'1. Input'!B15</f>
        <v>1530000000</v>
      </c>
      <c r="D4" s="74" t="s">
        <v>324</v>
      </c>
      <c r="E4" s="74" t="s">
        <v>626</v>
      </c>
      <c r="F4" s="78" t="n">
        <v>180000</v>
      </c>
      <c r="G4" s="74" t="s">
        <v>325</v>
      </c>
      <c r="H4" s="74" t="s">
        <v>627</v>
      </c>
    </row>
    <row r="5" customFormat="false" ht="15" hidden="false" customHeight="true" outlineLevel="0" collapsed="false">
      <c r="A5" s="72" t="s">
        <v>327</v>
      </c>
      <c r="B5" s="76" t="n">
        <v>0.07</v>
      </c>
      <c r="C5" s="83" t="n">
        <f aca="false">B5*'1. Input'!B15</f>
        <v>595000000</v>
      </c>
      <c r="D5" s="72" t="s">
        <v>328</v>
      </c>
      <c r="E5" s="72" t="s">
        <v>628</v>
      </c>
      <c r="F5" s="72"/>
      <c r="G5" s="72" t="s">
        <v>325</v>
      </c>
      <c r="H5" s="72" t="s">
        <v>629</v>
      </c>
    </row>
    <row r="6" customFormat="false" ht="15" hidden="false" customHeight="true" outlineLevel="0" collapsed="false">
      <c r="A6" s="74" t="s">
        <v>331</v>
      </c>
      <c r="B6" s="77" t="n">
        <v>0.1</v>
      </c>
      <c r="C6" s="78" t="n">
        <f aca="false">B6*'1. Input'!B15</f>
        <v>850000000</v>
      </c>
      <c r="D6" s="74" t="s">
        <v>332</v>
      </c>
      <c r="E6" s="74" t="s">
        <v>630</v>
      </c>
      <c r="F6" s="78" t="n">
        <v>90000</v>
      </c>
      <c r="G6" s="74" t="s">
        <v>321</v>
      </c>
      <c r="H6" s="74" t="s">
        <v>631</v>
      </c>
    </row>
    <row r="7" customFormat="false" ht="15" hidden="false" customHeight="true" outlineLevel="0" collapsed="false">
      <c r="A7" s="72" t="s">
        <v>334</v>
      </c>
      <c r="B7" s="76" t="n">
        <v>0.07</v>
      </c>
      <c r="C7" s="83" t="n">
        <f aca="false">B7*'1. Input'!B15</f>
        <v>595000000</v>
      </c>
      <c r="D7" s="72" t="s">
        <v>335</v>
      </c>
      <c r="E7" s="72" t="s">
        <v>632</v>
      </c>
      <c r="F7" s="83" t="n">
        <v>80000</v>
      </c>
      <c r="G7" s="72" t="s">
        <v>633</v>
      </c>
      <c r="H7" s="72" t="s">
        <v>634</v>
      </c>
    </row>
    <row r="8" customFormat="false" ht="15" hidden="false" customHeight="true" outlineLevel="0" collapsed="false">
      <c r="A8" s="74" t="s">
        <v>635</v>
      </c>
      <c r="B8" s="77" t="n">
        <v>0.05</v>
      </c>
      <c r="C8" s="78" t="n">
        <f aca="false">B8*'1. Input'!B15</f>
        <v>425000000</v>
      </c>
      <c r="D8" s="74" t="s">
        <v>339</v>
      </c>
      <c r="E8" s="74" t="s">
        <v>636</v>
      </c>
      <c r="F8" s="78" t="n">
        <v>50000</v>
      </c>
      <c r="G8" s="74" t="s">
        <v>340</v>
      </c>
      <c r="H8" s="74" t="s">
        <v>637</v>
      </c>
    </row>
    <row r="9" customFormat="false" ht="15" hidden="false" customHeight="true" outlineLevel="0" collapsed="false">
      <c r="A9" s="72" t="s">
        <v>341</v>
      </c>
      <c r="B9" s="76" t="n">
        <v>0.12</v>
      </c>
      <c r="C9" s="83" t="n">
        <f aca="false">B9*'1. Input'!B15</f>
        <v>1020000000</v>
      </c>
      <c r="D9" s="72" t="s">
        <v>342</v>
      </c>
      <c r="E9" s="72" t="s">
        <v>638</v>
      </c>
      <c r="F9" s="83" t="n">
        <v>150000</v>
      </c>
      <c r="G9" s="72" t="s">
        <v>325</v>
      </c>
      <c r="H9" s="72" t="s">
        <v>639</v>
      </c>
    </row>
    <row r="10" customFormat="false" ht="15" hidden="false" customHeight="true" outlineLevel="0" collapsed="false">
      <c r="A10" s="74" t="s">
        <v>640</v>
      </c>
      <c r="B10" s="77" t="n">
        <v>0.05</v>
      </c>
      <c r="C10" s="78" t="n">
        <f aca="false">B10*'1. Input'!B15</f>
        <v>425000000</v>
      </c>
      <c r="D10" s="74" t="s">
        <v>345</v>
      </c>
      <c r="E10" s="74" t="s">
        <v>641</v>
      </c>
      <c r="F10" s="74"/>
      <c r="G10" s="74" t="s">
        <v>346</v>
      </c>
      <c r="H10" s="74" t="s">
        <v>347</v>
      </c>
    </row>
    <row r="11" customFormat="false" ht="15" hidden="false" customHeight="true" outlineLevel="0" collapsed="false">
      <c r="A11" s="84" t="s">
        <v>642</v>
      </c>
      <c r="B11" s="85" t="n">
        <f aca="false">SUM(B3:B10)</f>
        <v>1.02</v>
      </c>
      <c r="C11" s="86" t="n">
        <f aca="false">SUM(C3:C10)</f>
        <v>8670000000</v>
      </c>
      <c r="D11" s="84"/>
      <c r="E11" s="84"/>
      <c r="F11" s="84"/>
      <c r="G11" s="84"/>
      <c r="H11" s="84"/>
    </row>
    <row r="13" customFormat="false" ht="15" hidden="false" customHeight="false" outlineLevel="0" collapsed="false">
      <c r="A13" s="6" t="s">
        <v>643</v>
      </c>
    </row>
    <row r="14" customFormat="false" ht="15" hidden="false" customHeight="false" outlineLevel="0" collapsed="false">
      <c r="A14" s="3" t="s">
        <v>312</v>
      </c>
      <c r="B14" s="3" t="s">
        <v>644</v>
      </c>
      <c r="C14" s="3" t="s">
        <v>645</v>
      </c>
      <c r="D14" s="3" t="s">
        <v>646</v>
      </c>
      <c r="E14" s="3" t="s">
        <v>647</v>
      </c>
      <c r="F14" s="3" t="s">
        <v>648</v>
      </c>
      <c r="G14" s="3" t="s">
        <v>649</v>
      </c>
      <c r="H14" s="3" t="s">
        <v>650</v>
      </c>
    </row>
    <row r="15" customFormat="false" ht="15" hidden="false" customHeight="false" outlineLevel="0" collapsed="false">
      <c r="A15" s="4" t="s">
        <v>651</v>
      </c>
      <c r="B15" s="4" t="n">
        <f aca="false">0.12*C3</f>
        <v>387600000</v>
      </c>
      <c r="C15" s="4" t="n">
        <f aca="false">0.24*C3</f>
        <v>775200000</v>
      </c>
      <c r="D15" s="4" t="n">
        <f aca="false">0.28*C3</f>
        <v>904400000</v>
      </c>
      <c r="E15" s="4" t="n">
        <f aca="false">0.24*C3</f>
        <v>775200000</v>
      </c>
      <c r="F15" s="4" t="n">
        <f aca="false">0.08*C3</f>
        <v>258400000</v>
      </c>
      <c r="G15" s="4" t="n">
        <f aca="false">0.02*C3</f>
        <v>64600000</v>
      </c>
      <c r="H15" s="4" t="n">
        <f aca="false">SUM(B15:G15)</f>
        <v>3165400000</v>
      </c>
    </row>
    <row r="16" customFormat="false" ht="15" hidden="false" customHeight="false" outlineLevel="0" collapsed="false">
      <c r="A16" s="5" t="s">
        <v>323</v>
      </c>
      <c r="B16" s="5" t="n">
        <f aca="false">0.12*C4</f>
        <v>183600000</v>
      </c>
      <c r="C16" s="5" t="n">
        <f aca="false">0.24*C4</f>
        <v>367200000</v>
      </c>
      <c r="D16" s="5" t="n">
        <f aca="false">0.28*C4</f>
        <v>428400000</v>
      </c>
      <c r="E16" s="5" t="n">
        <f aca="false">0.24*C4</f>
        <v>367200000</v>
      </c>
      <c r="F16" s="5" t="n">
        <f aca="false">0.08*C4</f>
        <v>122400000</v>
      </c>
      <c r="G16" s="5" t="n">
        <f aca="false">0.02*C4</f>
        <v>30600000</v>
      </c>
      <c r="H16" s="5" t="n">
        <f aca="false">SUM(B16:G16)</f>
        <v>1499400000</v>
      </c>
    </row>
    <row r="17" customFormat="false" ht="15" hidden="false" customHeight="false" outlineLevel="0" collapsed="false">
      <c r="A17" s="4" t="s">
        <v>504</v>
      </c>
      <c r="B17" s="4" t="n">
        <f aca="false">0.12*C5</f>
        <v>71400000</v>
      </c>
      <c r="C17" s="4" t="n">
        <f aca="false">0.24*C5</f>
        <v>142800000</v>
      </c>
      <c r="D17" s="4" t="n">
        <f aca="false">0.28*C5</f>
        <v>166600000</v>
      </c>
      <c r="E17" s="4" t="n">
        <f aca="false">0.24*C5</f>
        <v>142800000</v>
      </c>
      <c r="F17" s="4" t="n">
        <f aca="false">0.08*C5</f>
        <v>47600000</v>
      </c>
      <c r="G17" s="4" t="n">
        <f aca="false">0.02*C5</f>
        <v>11900000</v>
      </c>
      <c r="H17" s="4" t="n">
        <f aca="false">SUM(B17:G17)</f>
        <v>583100000</v>
      </c>
    </row>
    <row r="18" customFormat="false" ht="15" hidden="false" customHeight="false" outlineLevel="0" collapsed="false">
      <c r="A18" s="5" t="s">
        <v>331</v>
      </c>
      <c r="B18" s="5" t="n">
        <f aca="false">0.12*C6</f>
        <v>102000000</v>
      </c>
      <c r="C18" s="5" t="n">
        <f aca="false">0.24*C6</f>
        <v>204000000</v>
      </c>
      <c r="D18" s="5" t="n">
        <f aca="false">0.28*C6</f>
        <v>238000000</v>
      </c>
      <c r="E18" s="5" t="n">
        <f aca="false">0.24*C6</f>
        <v>204000000</v>
      </c>
      <c r="F18" s="5" t="n">
        <f aca="false">0.08*C6</f>
        <v>68000000</v>
      </c>
      <c r="G18" s="5" t="n">
        <f aca="false">0.02*C6</f>
        <v>17000000</v>
      </c>
      <c r="H18" s="5" t="n">
        <f aca="false">SUM(B18:G18)</f>
        <v>833000000</v>
      </c>
    </row>
    <row r="19" customFormat="false" ht="15" hidden="false" customHeight="false" outlineLevel="0" collapsed="false">
      <c r="A19" s="4" t="s">
        <v>508</v>
      </c>
      <c r="B19" s="4" t="n">
        <f aca="false">0.12*C7</f>
        <v>71400000</v>
      </c>
      <c r="C19" s="4" t="n">
        <f aca="false">0.24*C7</f>
        <v>142800000</v>
      </c>
      <c r="D19" s="4" t="n">
        <f aca="false">0.28*C7</f>
        <v>166600000</v>
      </c>
      <c r="E19" s="4" t="n">
        <f aca="false">0.24*C7</f>
        <v>142800000</v>
      </c>
      <c r="F19" s="4" t="n">
        <f aca="false">0.08*C7</f>
        <v>47600000</v>
      </c>
      <c r="G19" s="4" t="n">
        <f aca="false">0.02*C7</f>
        <v>11900000</v>
      </c>
      <c r="H19" s="4" t="n">
        <f aca="false">SUM(B19:G19)</f>
        <v>583100000</v>
      </c>
    </row>
    <row r="20" customFormat="false" ht="15" hidden="false" customHeight="false" outlineLevel="0" collapsed="false">
      <c r="A20" s="5" t="s">
        <v>338</v>
      </c>
      <c r="B20" s="5" t="n">
        <f aca="false">0.12*C8</f>
        <v>51000000</v>
      </c>
      <c r="C20" s="5" t="n">
        <f aca="false">0.24*C8</f>
        <v>102000000</v>
      </c>
      <c r="D20" s="5" t="n">
        <f aca="false">0.28*C8</f>
        <v>119000000</v>
      </c>
      <c r="E20" s="5" t="n">
        <f aca="false">0.24*C8</f>
        <v>102000000</v>
      </c>
      <c r="F20" s="5" t="n">
        <f aca="false">0.08*C8</f>
        <v>34000000</v>
      </c>
      <c r="G20" s="5" t="n">
        <f aca="false">0.02*C8</f>
        <v>8500000</v>
      </c>
      <c r="H20" s="5" t="n">
        <f aca="false">SUM(B20:G20)</f>
        <v>416500000</v>
      </c>
    </row>
    <row r="21" customFormat="false" ht="15" hidden="false" customHeight="false" outlineLevel="0" collapsed="false">
      <c r="A21" s="4" t="s">
        <v>511</v>
      </c>
      <c r="B21" s="4" t="n">
        <f aca="false">0.12*C9</f>
        <v>122400000</v>
      </c>
      <c r="C21" s="4" t="n">
        <f aca="false">0.24*C9</f>
        <v>244800000</v>
      </c>
      <c r="D21" s="4" t="n">
        <f aca="false">0.28*C9</f>
        <v>285600000</v>
      </c>
      <c r="E21" s="4" t="n">
        <f aca="false">0.24*C9</f>
        <v>244800000</v>
      </c>
      <c r="F21" s="4" t="n">
        <f aca="false">0.08*C9</f>
        <v>81600000</v>
      </c>
      <c r="G21" s="4" t="n">
        <f aca="false">0.02*C9</f>
        <v>20400000</v>
      </c>
      <c r="H21" s="4" t="n">
        <f aca="false">SUM(B21:G21)</f>
        <v>999600000</v>
      </c>
    </row>
    <row r="22" customFormat="false" ht="15" hidden="false" customHeight="false" outlineLevel="0" collapsed="false">
      <c r="A22" s="5" t="s">
        <v>513</v>
      </c>
      <c r="B22" s="5" t="n">
        <f aca="false">0.12*C10</f>
        <v>51000000</v>
      </c>
      <c r="C22" s="5" t="n">
        <f aca="false">0.24*C10</f>
        <v>102000000</v>
      </c>
      <c r="D22" s="5" t="n">
        <f aca="false">0.28*C10</f>
        <v>119000000</v>
      </c>
      <c r="E22" s="5" t="n">
        <f aca="false">0.24*C10</f>
        <v>102000000</v>
      </c>
      <c r="F22" s="5" t="n">
        <f aca="false">0.08*C10</f>
        <v>34000000</v>
      </c>
      <c r="G22" s="5" t="n">
        <f aca="false">0.02*C10</f>
        <v>8500000</v>
      </c>
      <c r="H22" s="5" t="n">
        <f aca="false">SUM(B22:G22)</f>
        <v>416500000</v>
      </c>
    </row>
    <row r="24" customFormat="false" ht="15" hidden="false" customHeight="false" outlineLevel="0" collapsed="false">
      <c r="A24" s="6" t="s">
        <v>652</v>
      </c>
    </row>
    <row r="25" customFormat="false" ht="15" hidden="false" customHeight="false" outlineLevel="0" collapsed="false">
      <c r="A25" s="3" t="s">
        <v>312</v>
      </c>
      <c r="B25" s="3" t="s">
        <v>653</v>
      </c>
      <c r="C25" s="3" t="s">
        <v>654</v>
      </c>
      <c r="D25" s="3" t="s">
        <v>655</v>
      </c>
      <c r="E25" s="3" t="s">
        <v>656</v>
      </c>
      <c r="F25" s="3" t="s">
        <v>657</v>
      </c>
      <c r="G25" s="3" t="s">
        <v>658</v>
      </c>
    </row>
    <row r="26" customFormat="false" ht="23.85" hidden="false" customHeight="false" outlineLevel="0" collapsed="false">
      <c r="A26" s="4" t="s">
        <v>497</v>
      </c>
      <c r="B26" s="4" t="s">
        <v>659</v>
      </c>
      <c r="C26" s="4" t="s">
        <v>660</v>
      </c>
      <c r="D26" s="4" t="s">
        <v>661</v>
      </c>
      <c r="E26" s="4" t="s">
        <v>662</v>
      </c>
      <c r="F26" s="4" t="s">
        <v>663</v>
      </c>
      <c r="G26" s="4" t="s">
        <v>664</v>
      </c>
    </row>
    <row r="27" customFormat="false" ht="23.85" hidden="false" customHeight="false" outlineLevel="0" collapsed="false">
      <c r="A27" s="5" t="s">
        <v>323</v>
      </c>
      <c r="B27" s="5" t="s">
        <v>665</v>
      </c>
      <c r="C27" s="5" t="s">
        <v>666</v>
      </c>
      <c r="D27" s="5" t="s">
        <v>667</v>
      </c>
      <c r="E27" s="5" t="s">
        <v>668</v>
      </c>
      <c r="F27" s="5" t="s">
        <v>669</v>
      </c>
      <c r="G27" s="5" t="s">
        <v>670</v>
      </c>
    </row>
    <row r="28" customFormat="false" ht="23.85" hidden="false" customHeight="false" outlineLevel="0" collapsed="false">
      <c r="A28" s="4" t="s">
        <v>504</v>
      </c>
      <c r="B28" s="4" t="s">
        <v>671</v>
      </c>
      <c r="C28" s="4" t="s">
        <v>672</v>
      </c>
      <c r="D28" s="4" t="s">
        <v>673</v>
      </c>
      <c r="E28" s="4" t="s">
        <v>674</v>
      </c>
      <c r="F28" s="4" t="s">
        <v>675</v>
      </c>
      <c r="G28" s="4" t="s">
        <v>670</v>
      </c>
    </row>
    <row r="29" customFormat="false" ht="23.85" hidden="false" customHeight="false" outlineLevel="0" collapsed="false">
      <c r="A29" s="5" t="s">
        <v>331</v>
      </c>
      <c r="B29" s="5" t="s">
        <v>676</v>
      </c>
      <c r="C29" s="5" t="s">
        <v>677</v>
      </c>
      <c r="D29" s="5" t="s">
        <v>678</v>
      </c>
      <c r="E29" s="5" t="s">
        <v>679</v>
      </c>
      <c r="F29" s="5" t="s">
        <v>680</v>
      </c>
      <c r="G29" s="5" t="s">
        <v>681</v>
      </c>
    </row>
    <row r="30" customFormat="false" ht="23.85" hidden="false" customHeight="false" outlineLevel="0" collapsed="false">
      <c r="A30" s="4" t="s">
        <v>508</v>
      </c>
      <c r="B30" s="4" t="s">
        <v>682</v>
      </c>
      <c r="C30" s="4" t="s">
        <v>666</v>
      </c>
      <c r="D30" s="4" t="s">
        <v>683</v>
      </c>
      <c r="E30" s="4" t="s">
        <v>684</v>
      </c>
      <c r="F30" s="4" t="s">
        <v>685</v>
      </c>
      <c r="G30" s="4" t="s">
        <v>686</v>
      </c>
    </row>
    <row r="31" customFormat="false" ht="23.85" hidden="false" customHeight="false" outlineLevel="0" collapsed="false">
      <c r="A31" s="5" t="s">
        <v>338</v>
      </c>
      <c r="B31" s="5" t="s">
        <v>687</v>
      </c>
      <c r="C31" s="5" t="s">
        <v>666</v>
      </c>
      <c r="D31" s="5" t="s">
        <v>688</v>
      </c>
      <c r="E31" s="5" t="s">
        <v>689</v>
      </c>
      <c r="F31" s="5" t="s">
        <v>690</v>
      </c>
      <c r="G31" s="5" t="s">
        <v>691</v>
      </c>
    </row>
    <row r="32" customFormat="false" ht="23.85" hidden="false" customHeight="false" outlineLevel="0" collapsed="false">
      <c r="A32" s="4" t="s">
        <v>511</v>
      </c>
      <c r="B32" s="4" t="s">
        <v>692</v>
      </c>
      <c r="C32" s="4" t="s">
        <v>693</v>
      </c>
      <c r="D32" s="4" t="s">
        <v>694</v>
      </c>
      <c r="E32" s="4" t="s">
        <v>695</v>
      </c>
      <c r="F32" s="4" t="s">
        <v>696</v>
      </c>
      <c r="G32" s="4" t="s">
        <v>697</v>
      </c>
    </row>
    <row r="33" customFormat="false" ht="23.85" hidden="false" customHeight="false" outlineLevel="0" collapsed="false">
      <c r="A33" s="5" t="s">
        <v>513</v>
      </c>
      <c r="B33" s="5" t="s">
        <v>698</v>
      </c>
      <c r="C33" s="5" t="s">
        <v>699</v>
      </c>
      <c r="D33" s="5" t="s">
        <v>700</v>
      </c>
      <c r="E33" s="5" t="s">
        <v>701</v>
      </c>
      <c r="F33" s="5" t="s">
        <v>702</v>
      </c>
      <c r="G33" s="5" t="s">
        <v>703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14"/>
    <col collapsed="false" customWidth="true" hidden="false" outlineLevel="0" max="2" min="2" style="2" width="20"/>
    <col collapsed="false" customWidth="true" hidden="false" outlineLevel="0" max="3" min="3" style="2" width="40"/>
    <col collapsed="false" customWidth="true" hidden="false" outlineLevel="0" max="18" min="4" style="2" width="14"/>
  </cols>
  <sheetData>
    <row r="1" customFormat="false" ht="15" hidden="false" customHeight="true" outlineLevel="0" collapsed="false">
      <c r="A1" s="87" t="s">
        <v>704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customFormat="false" ht="15" hidden="false" customHeight="true" outlineLevel="0" collapsed="false">
      <c r="A2" s="88" t="s">
        <v>351</v>
      </c>
      <c r="B2" s="88" t="s">
        <v>140</v>
      </c>
      <c r="C2" s="88" t="s">
        <v>705</v>
      </c>
      <c r="D2" s="88" t="s">
        <v>523</v>
      </c>
      <c r="E2" s="88" t="s">
        <v>353</v>
      </c>
      <c r="F2" s="88" t="s">
        <v>706</v>
      </c>
      <c r="G2" s="88" t="s">
        <v>526</v>
      </c>
      <c r="H2" s="88" t="s">
        <v>707</v>
      </c>
      <c r="I2" s="88" t="s">
        <v>708</v>
      </c>
      <c r="J2" s="88" t="s">
        <v>709</v>
      </c>
      <c r="K2" s="88" t="s">
        <v>710</v>
      </c>
      <c r="L2" s="88" t="s">
        <v>711</v>
      </c>
      <c r="M2" s="88" t="s">
        <v>712</v>
      </c>
      <c r="N2" s="88" t="s">
        <v>713</v>
      </c>
      <c r="O2" s="88" t="s">
        <v>714</v>
      </c>
      <c r="P2" s="88" t="s">
        <v>715</v>
      </c>
      <c r="Q2" s="88" t="s">
        <v>716</v>
      </c>
      <c r="R2" s="88" t="s">
        <v>717</v>
      </c>
    </row>
    <row r="3" customFormat="false" ht="15" hidden="false" customHeight="true" outlineLevel="0" collapsed="false">
      <c r="A3" s="72" t="s">
        <v>153</v>
      </c>
      <c r="B3" s="72" t="s">
        <v>151</v>
      </c>
      <c r="C3" s="72" t="s">
        <v>718</v>
      </c>
      <c r="D3" s="89" t="n">
        <v>200</v>
      </c>
      <c r="E3" s="90" t="n">
        <v>0.85</v>
      </c>
      <c r="F3" s="91" t="n">
        <f aca="false">D3*E3</f>
        <v>170</v>
      </c>
      <c r="G3" s="90" t="n">
        <f aca="false">F3/F$14</f>
        <v>0.125646711012565</v>
      </c>
      <c r="H3" s="83" t="n">
        <f aca="false">G3*'1. Input'!B4</f>
        <v>1633407243.16334</v>
      </c>
      <c r="I3" s="83" t="n">
        <f aca="false">G3*'1. Input'!B15</f>
        <v>1067997043.6068</v>
      </c>
      <c r="J3" s="83" t="n">
        <f aca="false">G3*'1. Input'!B10</f>
        <v>100517368.810052</v>
      </c>
      <c r="K3" s="83" t="n">
        <f aca="false">I3*'2. Paid Media'!B3</f>
        <v>405838876.570584</v>
      </c>
      <c r="L3" s="83" t="n">
        <f aca="false">I3*'2. Paid Media'!B4</f>
        <v>192239467.849224</v>
      </c>
      <c r="M3" s="83" t="n">
        <f aca="false">I3*'2. Paid Media'!B5</f>
        <v>74759793.052476</v>
      </c>
      <c r="N3" s="83" t="n">
        <f aca="false">I3*'2. Paid Media'!B6</f>
        <v>106799704.36068</v>
      </c>
      <c r="O3" s="83" t="n">
        <f aca="false">I3*'2. Paid Media'!B7</f>
        <v>74759793.052476</v>
      </c>
      <c r="P3" s="83" t="n">
        <f aca="false">I3*'2. Paid Media'!B8</f>
        <v>53399852.18034</v>
      </c>
      <c r="Q3" s="83" t="n">
        <f aca="false">I3*'2. Paid Media'!B9</f>
        <v>128159645.232816</v>
      </c>
      <c r="R3" s="83" t="n">
        <f aca="false">I3*'2. Paid Media'!B10</f>
        <v>53399852.18034</v>
      </c>
    </row>
    <row r="4" customFormat="false" ht="15" hidden="false" customHeight="true" outlineLevel="0" collapsed="false">
      <c r="A4" s="74" t="s">
        <v>153</v>
      </c>
      <c r="B4" s="74" t="s">
        <v>162</v>
      </c>
      <c r="C4" s="74" t="s">
        <v>719</v>
      </c>
      <c r="D4" s="75" t="n">
        <v>60</v>
      </c>
      <c r="E4" s="77" t="n">
        <v>0.85</v>
      </c>
      <c r="F4" s="75" t="n">
        <f aca="false">D4*E4</f>
        <v>51</v>
      </c>
      <c r="G4" s="77" t="n">
        <f aca="false">F4/F$14</f>
        <v>0.0376940133037694</v>
      </c>
      <c r="H4" s="78" t="n">
        <f aca="false">G4*'1. Input'!B4</f>
        <v>490022172.949002</v>
      </c>
      <c r="I4" s="78" t="n">
        <f aca="false">G4*'1. Input'!B15</f>
        <v>320399113.08204</v>
      </c>
      <c r="J4" s="78" t="n">
        <f aca="false">G4*'1. Input'!B10</f>
        <v>30155210.6430155</v>
      </c>
      <c r="K4" s="78" t="n">
        <f aca="false">I4*'2. Paid Media'!B3</f>
        <v>121751662.971175</v>
      </c>
      <c r="L4" s="78" t="n">
        <f aca="false">I4*'2. Paid Media'!B4</f>
        <v>57671840.3547672</v>
      </c>
      <c r="M4" s="78" t="n">
        <f aca="false">I4*'2. Paid Media'!B5</f>
        <v>22427937.9157428</v>
      </c>
      <c r="N4" s="78" t="n">
        <f aca="false">I4*'2. Paid Media'!B6</f>
        <v>32039911.308204</v>
      </c>
      <c r="O4" s="78" t="n">
        <f aca="false">I4*'2. Paid Media'!B7</f>
        <v>22427937.9157428</v>
      </c>
      <c r="P4" s="78" t="n">
        <f aca="false">I4*'2. Paid Media'!B8</f>
        <v>16019955.654102</v>
      </c>
      <c r="Q4" s="78" t="n">
        <f aca="false">I4*'2. Paid Media'!B9</f>
        <v>38447893.5698448</v>
      </c>
      <c r="R4" s="78" t="n">
        <f aca="false">I4*'2. Paid Media'!B10</f>
        <v>16019955.654102</v>
      </c>
    </row>
    <row r="5" customFormat="false" ht="15" hidden="false" customHeight="true" outlineLevel="0" collapsed="false">
      <c r="A5" s="72" t="s">
        <v>153</v>
      </c>
      <c r="B5" s="72" t="s">
        <v>173</v>
      </c>
      <c r="C5" s="72" t="s">
        <v>720</v>
      </c>
      <c r="D5" s="89" t="n">
        <v>60</v>
      </c>
      <c r="E5" s="90" t="n">
        <v>0.85</v>
      </c>
      <c r="F5" s="91" t="n">
        <f aca="false">D5*E5</f>
        <v>51</v>
      </c>
      <c r="G5" s="90" t="n">
        <f aca="false">F5/F$14</f>
        <v>0.0376940133037694</v>
      </c>
      <c r="H5" s="83" t="n">
        <f aca="false">G5*'1. Input'!B4</f>
        <v>490022172.949002</v>
      </c>
      <c r="I5" s="83" t="n">
        <f aca="false">G5*'1. Input'!B15</f>
        <v>320399113.08204</v>
      </c>
      <c r="J5" s="83" t="n">
        <f aca="false">G5*'1. Input'!B10</f>
        <v>30155210.6430155</v>
      </c>
      <c r="K5" s="83" t="n">
        <f aca="false">I5*'2. Paid Media'!B3</f>
        <v>121751662.971175</v>
      </c>
      <c r="L5" s="83" t="n">
        <f aca="false">I5*'2. Paid Media'!B4</f>
        <v>57671840.3547672</v>
      </c>
      <c r="M5" s="83" t="n">
        <f aca="false">I5*'2. Paid Media'!B5</f>
        <v>22427937.9157428</v>
      </c>
      <c r="N5" s="83" t="n">
        <f aca="false">I5*'2. Paid Media'!B6</f>
        <v>32039911.308204</v>
      </c>
      <c r="O5" s="83" t="n">
        <f aca="false">I5*'2. Paid Media'!B7</f>
        <v>22427937.9157428</v>
      </c>
      <c r="P5" s="83" t="n">
        <f aca="false">I5*'2. Paid Media'!B8</f>
        <v>16019955.654102</v>
      </c>
      <c r="Q5" s="83" t="n">
        <f aca="false">I5*'2. Paid Media'!B9</f>
        <v>38447893.5698448</v>
      </c>
      <c r="R5" s="83" t="n">
        <f aca="false">I5*'2. Paid Media'!B10</f>
        <v>16019955.654102</v>
      </c>
    </row>
    <row r="6" customFormat="false" ht="15" hidden="false" customHeight="true" outlineLevel="0" collapsed="false">
      <c r="A6" s="74" t="s">
        <v>153</v>
      </c>
      <c r="B6" s="74" t="s">
        <v>183</v>
      </c>
      <c r="C6" s="74" t="s">
        <v>721</v>
      </c>
      <c r="D6" s="75" t="n">
        <v>60</v>
      </c>
      <c r="E6" s="77" t="n">
        <v>0.85</v>
      </c>
      <c r="F6" s="75" t="n">
        <f aca="false">D6*E6</f>
        <v>51</v>
      </c>
      <c r="G6" s="77" t="n">
        <f aca="false">F6/F$14</f>
        <v>0.0376940133037694</v>
      </c>
      <c r="H6" s="78" t="n">
        <f aca="false">G6*'1. Input'!B4</f>
        <v>490022172.949002</v>
      </c>
      <c r="I6" s="78" t="n">
        <f aca="false">G6*'1. Input'!B15</f>
        <v>320399113.08204</v>
      </c>
      <c r="J6" s="78" t="n">
        <f aca="false">G6*'1. Input'!B10</f>
        <v>30155210.6430155</v>
      </c>
      <c r="K6" s="78" t="n">
        <f aca="false">I6*'2. Paid Media'!B3</f>
        <v>121751662.971175</v>
      </c>
      <c r="L6" s="78" t="n">
        <f aca="false">I6*'2. Paid Media'!B4</f>
        <v>57671840.3547672</v>
      </c>
      <c r="M6" s="78" t="n">
        <f aca="false">I6*'2. Paid Media'!B5</f>
        <v>22427937.9157428</v>
      </c>
      <c r="N6" s="78" t="n">
        <f aca="false">I6*'2. Paid Media'!B6</f>
        <v>32039911.308204</v>
      </c>
      <c r="O6" s="78" t="n">
        <f aca="false">I6*'2. Paid Media'!B7</f>
        <v>22427937.9157428</v>
      </c>
      <c r="P6" s="78" t="n">
        <f aca="false">I6*'2. Paid Media'!B8</f>
        <v>16019955.654102</v>
      </c>
      <c r="Q6" s="78" t="n">
        <f aca="false">I6*'2. Paid Media'!B9</f>
        <v>38447893.5698448</v>
      </c>
      <c r="R6" s="78" t="n">
        <f aca="false">I6*'2. Paid Media'!B10</f>
        <v>16019955.654102</v>
      </c>
    </row>
    <row r="7" customFormat="false" ht="15" hidden="false" customHeight="true" outlineLevel="0" collapsed="false">
      <c r="A7" s="72" t="s">
        <v>195</v>
      </c>
      <c r="B7" s="72" t="s">
        <v>194</v>
      </c>
      <c r="C7" s="72" t="s">
        <v>722</v>
      </c>
      <c r="D7" s="89" t="n">
        <v>150</v>
      </c>
      <c r="E7" s="90" t="n">
        <v>1</v>
      </c>
      <c r="F7" s="91" t="n">
        <f aca="false">D7*E7</f>
        <v>150</v>
      </c>
      <c r="G7" s="90" t="n">
        <f aca="false">F7/F$14</f>
        <v>0.110864745011086</v>
      </c>
      <c r="H7" s="83" t="n">
        <f aca="false">G7*'1. Input'!B4</f>
        <v>1441241685.14412</v>
      </c>
      <c r="I7" s="83" t="n">
        <f aca="false">G7*'1. Input'!B15</f>
        <v>942350332.594235</v>
      </c>
      <c r="J7" s="83" t="n">
        <f aca="false">G7*'1. Input'!B10</f>
        <v>88691796.0088692</v>
      </c>
      <c r="K7" s="83" t="n">
        <f aca="false">I7*'2. Paid Media'!B3</f>
        <v>358093126.385809</v>
      </c>
      <c r="L7" s="83" t="n">
        <f aca="false">I7*'2. Paid Media'!B4</f>
        <v>169623059.866962</v>
      </c>
      <c r="M7" s="83" t="n">
        <f aca="false">I7*'2. Paid Media'!B5</f>
        <v>65964523.2815965</v>
      </c>
      <c r="N7" s="83" t="n">
        <f aca="false">I7*'2. Paid Media'!B6</f>
        <v>94235033.2594235</v>
      </c>
      <c r="O7" s="83" t="n">
        <f aca="false">I7*'2. Paid Media'!B7</f>
        <v>65964523.2815965</v>
      </c>
      <c r="P7" s="83" t="n">
        <f aca="false">I7*'2. Paid Media'!B8</f>
        <v>47117516.6297118</v>
      </c>
      <c r="Q7" s="83" t="n">
        <f aca="false">I7*'2. Paid Media'!B9</f>
        <v>113082039.911308</v>
      </c>
      <c r="R7" s="83" t="n">
        <f aca="false">I7*'2. Paid Media'!B10</f>
        <v>47117516.6297118</v>
      </c>
    </row>
    <row r="8" customFormat="false" ht="15" hidden="false" customHeight="true" outlineLevel="0" collapsed="false">
      <c r="A8" s="74" t="s">
        <v>195</v>
      </c>
      <c r="B8" s="74" t="s">
        <v>204</v>
      </c>
      <c r="C8" s="74" t="s">
        <v>723</v>
      </c>
      <c r="D8" s="75" t="n">
        <v>150</v>
      </c>
      <c r="E8" s="77" t="n">
        <v>1</v>
      </c>
      <c r="F8" s="75" t="n">
        <f aca="false">D8*E8</f>
        <v>150</v>
      </c>
      <c r="G8" s="77" t="n">
        <f aca="false">F8/F$14</f>
        <v>0.110864745011086</v>
      </c>
      <c r="H8" s="78" t="n">
        <f aca="false">G8*'1. Input'!B4</f>
        <v>1441241685.14412</v>
      </c>
      <c r="I8" s="78" t="n">
        <f aca="false">G8*'1. Input'!B15</f>
        <v>942350332.594235</v>
      </c>
      <c r="J8" s="78" t="n">
        <f aca="false">G8*'1. Input'!B10</f>
        <v>88691796.0088692</v>
      </c>
      <c r="K8" s="78" t="n">
        <f aca="false">I8*'2. Paid Media'!B3</f>
        <v>358093126.385809</v>
      </c>
      <c r="L8" s="78" t="n">
        <f aca="false">I8*'2. Paid Media'!B4</f>
        <v>169623059.866962</v>
      </c>
      <c r="M8" s="78" t="n">
        <f aca="false">I8*'2. Paid Media'!B5</f>
        <v>65964523.2815965</v>
      </c>
      <c r="N8" s="78" t="n">
        <f aca="false">I8*'2. Paid Media'!B6</f>
        <v>94235033.2594235</v>
      </c>
      <c r="O8" s="78" t="n">
        <f aca="false">I8*'2. Paid Media'!B7</f>
        <v>65964523.2815965</v>
      </c>
      <c r="P8" s="78" t="n">
        <f aca="false">I8*'2. Paid Media'!B8</f>
        <v>47117516.6297118</v>
      </c>
      <c r="Q8" s="78" t="n">
        <f aca="false">I8*'2. Paid Media'!B9</f>
        <v>113082039.911308</v>
      </c>
      <c r="R8" s="78" t="n">
        <f aca="false">I8*'2. Paid Media'!B10</f>
        <v>47117516.6297118</v>
      </c>
    </row>
    <row r="9" customFormat="false" ht="15" hidden="false" customHeight="true" outlineLevel="0" collapsed="false">
      <c r="A9" s="72" t="s">
        <v>195</v>
      </c>
      <c r="B9" s="72" t="s">
        <v>214</v>
      </c>
      <c r="C9" s="72" t="s">
        <v>720</v>
      </c>
      <c r="D9" s="89" t="n">
        <v>60</v>
      </c>
      <c r="E9" s="90" t="n">
        <v>1</v>
      </c>
      <c r="F9" s="91" t="n">
        <f aca="false">D9*E9</f>
        <v>60</v>
      </c>
      <c r="G9" s="90" t="n">
        <f aca="false">F9/F$14</f>
        <v>0.0443458980044346</v>
      </c>
      <c r="H9" s="83" t="n">
        <f aca="false">G9*'1. Input'!B4</f>
        <v>576496674.05765</v>
      </c>
      <c r="I9" s="83" t="n">
        <f aca="false">G9*'1. Input'!B15</f>
        <v>376940133.037694</v>
      </c>
      <c r="J9" s="83" t="n">
        <f aca="false">G9*'1. Input'!B10</f>
        <v>35476718.4035477</v>
      </c>
      <c r="K9" s="83" t="n">
        <f aca="false">I9*'2. Paid Media'!B3</f>
        <v>143237250.554324</v>
      </c>
      <c r="L9" s="83" t="n">
        <f aca="false">I9*'2. Paid Media'!B4</f>
        <v>67849223.9467849</v>
      </c>
      <c r="M9" s="83" t="n">
        <f aca="false">I9*'2. Paid Media'!B5</f>
        <v>26385809.3126386</v>
      </c>
      <c r="N9" s="83" t="n">
        <f aca="false">I9*'2. Paid Media'!B6</f>
        <v>37694013.3037694</v>
      </c>
      <c r="O9" s="83" t="n">
        <f aca="false">I9*'2. Paid Media'!B7</f>
        <v>26385809.3126386</v>
      </c>
      <c r="P9" s="83" t="n">
        <f aca="false">I9*'2. Paid Media'!B8</f>
        <v>18847006.6518847</v>
      </c>
      <c r="Q9" s="83" t="n">
        <f aca="false">I9*'2. Paid Media'!B9</f>
        <v>45232815.9645233</v>
      </c>
      <c r="R9" s="83" t="n">
        <f aca="false">I9*'2. Paid Media'!B10</f>
        <v>18847006.6518847</v>
      </c>
    </row>
    <row r="10" customFormat="false" ht="15" hidden="false" customHeight="true" outlineLevel="0" collapsed="false">
      <c r="A10" s="74" t="s">
        <v>195</v>
      </c>
      <c r="B10" s="74" t="s">
        <v>223</v>
      </c>
      <c r="C10" s="74" t="s">
        <v>721</v>
      </c>
      <c r="D10" s="75" t="n">
        <v>60</v>
      </c>
      <c r="E10" s="77" t="n">
        <v>1</v>
      </c>
      <c r="F10" s="75" t="n">
        <f aca="false">D10*E10</f>
        <v>60</v>
      </c>
      <c r="G10" s="77" t="n">
        <f aca="false">F10/F$14</f>
        <v>0.0443458980044346</v>
      </c>
      <c r="H10" s="78" t="n">
        <f aca="false">G10*'1. Input'!B4</f>
        <v>576496674.05765</v>
      </c>
      <c r="I10" s="78" t="n">
        <f aca="false">G10*'1. Input'!B15</f>
        <v>376940133.037694</v>
      </c>
      <c r="J10" s="78" t="n">
        <f aca="false">G10*'1. Input'!B10</f>
        <v>35476718.4035477</v>
      </c>
      <c r="K10" s="78" t="n">
        <f aca="false">I10*'2. Paid Media'!B3</f>
        <v>143237250.554324</v>
      </c>
      <c r="L10" s="78" t="n">
        <f aca="false">I10*'2. Paid Media'!B4</f>
        <v>67849223.9467849</v>
      </c>
      <c r="M10" s="78" t="n">
        <f aca="false">I10*'2. Paid Media'!B5</f>
        <v>26385809.3126386</v>
      </c>
      <c r="N10" s="78" t="n">
        <f aca="false">I10*'2. Paid Media'!B6</f>
        <v>37694013.3037694</v>
      </c>
      <c r="O10" s="78" t="n">
        <f aca="false">I10*'2. Paid Media'!B7</f>
        <v>26385809.3126386</v>
      </c>
      <c r="P10" s="78" t="n">
        <f aca="false">I10*'2. Paid Media'!B8</f>
        <v>18847006.6518847</v>
      </c>
      <c r="Q10" s="78" t="n">
        <f aca="false">I10*'2. Paid Media'!B9</f>
        <v>45232815.9645233</v>
      </c>
      <c r="R10" s="78" t="n">
        <f aca="false">I10*'2. Paid Media'!B10</f>
        <v>18847006.6518847</v>
      </c>
    </row>
    <row r="11" customFormat="false" ht="15" hidden="false" customHeight="true" outlineLevel="0" collapsed="false">
      <c r="A11" s="72" t="s">
        <v>233</v>
      </c>
      <c r="B11" s="72" t="s">
        <v>232</v>
      </c>
      <c r="C11" s="72" t="s">
        <v>722</v>
      </c>
      <c r="D11" s="89" t="n">
        <v>200</v>
      </c>
      <c r="E11" s="90" t="n">
        <v>1.2</v>
      </c>
      <c r="F11" s="91" t="n">
        <f aca="false">D11*E11</f>
        <v>240</v>
      </c>
      <c r="G11" s="90" t="n">
        <f aca="false">F11/F$14</f>
        <v>0.177383592017738</v>
      </c>
      <c r="H11" s="83" t="n">
        <f aca="false">G11*'1. Input'!B4</f>
        <v>2305986696.2306</v>
      </c>
      <c r="I11" s="83" t="n">
        <f aca="false">G11*'1. Input'!B15</f>
        <v>1507760532.15078</v>
      </c>
      <c r="J11" s="83" t="n">
        <f aca="false">G11*'1. Input'!B10</f>
        <v>141906873.614191</v>
      </c>
      <c r="K11" s="83" t="n">
        <f aca="false">I11*'2. Paid Media'!B3</f>
        <v>572949002.217295</v>
      </c>
      <c r="L11" s="83" t="n">
        <f aca="false">I11*'2. Paid Media'!B4</f>
        <v>271396895.78714</v>
      </c>
      <c r="M11" s="83" t="n">
        <f aca="false">I11*'2. Paid Media'!B5</f>
        <v>105543237.250554</v>
      </c>
      <c r="N11" s="83" t="n">
        <f aca="false">I11*'2. Paid Media'!B6</f>
        <v>150776053.215078</v>
      </c>
      <c r="O11" s="83" t="n">
        <f aca="false">I11*'2. Paid Media'!B7</f>
        <v>105543237.250554</v>
      </c>
      <c r="P11" s="83" t="n">
        <f aca="false">I11*'2. Paid Media'!B8</f>
        <v>75388026.6075388</v>
      </c>
      <c r="Q11" s="83" t="n">
        <f aca="false">I11*'2. Paid Media'!B9</f>
        <v>180931263.858093</v>
      </c>
      <c r="R11" s="83" t="n">
        <f aca="false">I11*'2. Paid Media'!B10</f>
        <v>75388026.6075388</v>
      </c>
    </row>
    <row r="12" customFormat="false" ht="15" hidden="false" customHeight="true" outlineLevel="0" collapsed="false">
      <c r="A12" s="74" t="s">
        <v>243</v>
      </c>
      <c r="B12" s="74" t="s">
        <v>242</v>
      </c>
      <c r="C12" s="74" t="s">
        <v>722</v>
      </c>
      <c r="D12" s="75" t="n">
        <v>200</v>
      </c>
      <c r="E12" s="77" t="n">
        <v>1.35</v>
      </c>
      <c r="F12" s="75" t="n">
        <f aca="false">D12*E12</f>
        <v>270</v>
      </c>
      <c r="G12" s="77" t="n">
        <f aca="false">F12/F$14</f>
        <v>0.199556541019956</v>
      </c>
      <c r="H12" s="78" t="n">
        <f aca="false">G12*'1. Input'!B4</f>
        <v>2594235033.25942</v>
      </c>
      <c r="I12" s="78" t="n">
        <f aca="false">G12*'1. Input'!B15</f>
        <v>1696230598.66962</v>
      </c>
      <c r="J12" s="78" t="n">
        <f aca="false">G12*'1. Input'!B10</f>
        <v>159645232.815965</v>
      </c>
      <c r="K12" s="78" t="n">
        <f aca="false">I12*'2. Paid Media'!B3</f>
        <v>644567627.494457</v>
      </c>
      <c r="L12" s="78" t="n">
        <f aca="false">I12*'2. Paid Media'!B4</f>
        <v>305321507.760532</v>
      </c>
      <c r="M12" s="78" t="n">
        <f aca="false">I12*'2. Paid Media'!B5</f>
        <v>118736141.906874</v>
      </c>
      <c r="N12" s="78" t="n">
        <f aca="false">I12*'2. Paid Media'!B6</f>
        <v>169623059.866962</v>
      </c>
      <c r="O12" s="78" t="n">
        <f aca="false">I12*'2. Paid Media'!B7</f>
        <v>118736141.906874</v>
      </c>
      <c r="P12" s="78" t="n">
        <f aca="false">I12*'2. Paid Media'!B8</f>
        <v>84811529.9334812</v>
      </c>
      <c r="Q12" s="78" t="n">
        <f aca="false">I12*'2. Paid Media'!B9</f>
        <v>203547671.840355</v>
      </c>
      <c r="R12" s="78" t="n">
        <f aca="false">I12*'2. Paid Media'!B10</f>
        <v>84811529.9334812</v>
      </c>
    </row>
    <row r="13" customFormat="false" ht="15" hidden="false" customHeight="true" outlineLevel="0" collapsed="false">
      <c r="A13" s="72" t="s">
        <v>724</v>
      </c>
      <c r="B13" s="72" t="s">
        <v>358</v>
      </c>
      <c r="C13" s="72" t="s">
        <v>725</v>
      </c>
      <c r="D13" s="89" t="n">
        <v>100</v>
      </c>
      <c r="E13" s="90" t="n">
        <v>1</v>
      </c>
      <c r="F13" s="91" t="n">
        <f aca="false">D13*E13</f>
        <v>100</v>
      </c>
      <c r="G13" s="90" t="n">
        <f aca="false">F13/F$14</f>
        <v>0.073909830007391</v>
      </c>
      <c r="H13" s="83" t="n">
        <f aca="false">G13*'1. Input'!B4</f>
        <v>960827790.096083</v>
      </c>
      <c r="I13" s="83" t="n">
        <f aca="false">G13*'1. Input'!B15</f>
        <v>628233555.062823</v>
      </c>
      <c r="J13" s="83" t="n">
        <f aca="false">G13*'1. Input'!B10</f>
        <v>59127864.0059128</v>
      </c>
      <c r="K13" s="83" t="n">
        <f aca="false">I13*'2. Paid Media'!B3</f>
        <v>238728750.923873</v>
      </c>
      <c r="L13" s="83" t="n">
        <f aca="false">I13*'2. Paid Media'!B4</f>
        <v>113082039.911308</v>
      </c>
      <c r="M13" s="83" t="n">
        <f aca="false">I13*'2. Paid Media'!B5</f>
        <v>43976348.8543976</v>
      </c>
      <c r="N13" s="83" t="n">
        <f aca="false">I13*'2. Paid Media'!B6</f>
        <v>62823355.5062823</v>
      </c>
      <c r="O13" s="83" t="n">
        <f aca="false">I13*'2. Paid Media'!B7</f>
        <v>43976348.8543976</v>
      </c>
      <c r="P13" s="83" t="n">
        <f aca="false">I13*'2. Paid Media'!B8</f>
        <v>31411677.7531412</v>
      </c>
      <c r="Q13" s="83" t="n">
        <f aca="false">I13*'2. Paid Media'!B9</f>
        <v>75388026.6075388</v>
      </c>
      <c r="R13" s="83" t="n">
        <f aca="false">I13*'2. Paid Media'!B10</f>
        <v>31411677.7531412</v>
      </c>
    </row>
    <row r="14" customFormat="false" ht="15" hidden="false" customHeight="true" outlineLevel="0" collapsed="false">
      <c r="A14" s="84" t="s">
        <v>642</v>
      </c>
      <c r="B14" s="84"/>
      <c r="C14" s="84"/>
      <c r="D14" s="92" t="n">
        <f aca="false">SUM(D3:D13)</f>
        <v>1300</v>
      </c>
      <c r="E14" s="84"/>
      <c r="F14" s="84" t="n">
        <f aca="false">SUM(F3:F13)</f>
        <v>1353</v>
      </c>
      <c r="G14" s="85" t="n">
        <f aca="false">SUM(G3:G13)</f>
        <v>1</v>
      </c>
      <c r="H14" s="86" t="n">
        <f aca="false">SUM(H3:H13)</f>
        <v>13000000000</v>
      </c>
      <c r="I14" s="86" t="n">
        <f aca="false">SUM(I3:I13)</f>
        <v>8500000000</v>
      </c>
      <c r="J14" s="86" t="n">
        <f aca="false">SUM(J3:J13)</f>
        <v>800000000</v>
      </c>
      <c r="K14" s="86" t="n">
        <f aca="false">SUM(K3:K13)</f>
        <v>3230000000</v>
      </c>
      <c r="L14" s="86" t="n">
        <f aca="false">SUM(L3:L13)</f>
        <v>1530000000</v>
      </c>
      <c r="M14" s="86" t="n">
        <f aca="false">SUM(M3:M13)</f>
        <v>595000000</v>
      </c>
      <c r="N14" s="86" t="n">
        <f aca="false">SUM(N3:N13)</f>
        <v>850000000</v>
      </c>
      <c r="O14" s="86" t="n">
        <f aca="false">SUM(O3:O13)</f>
        <v>595000000</v>
      </c>
      <c r="P14" s="86" t="n">
        <f aca="false">SUM(P3:P13)</f>
        <v>425000000</v>
      </c>
      <c r="Q14" s="86" t="n">
        <f aca="false">SUM(Q3:Q13)</f>
        <v>1020000000</v>
      </c>
      <c r="R14" s="86" t="n">
        <f aca="false">SUM(R3:R13)</f>
        <v>425000000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2" width="20"/>
    <col collapsed="false" customWidth="true" hidden="false" outlineLevel="0" max="11" min="7" style="0" width="20"/>
  </cols>
  <sheetData>
    <row r="1" customFormat="false" ht="15" hidden="false" customHeight="true" outlineLevel="0" collapsed="false">
      <c r="A1" s="93" t="s">
        <v>726</v>
      </c>
      <c r="B1" s="93"/>
      <c r="C1" s="93"/>
      <c r="D1" s="93"/>
      <c r="E1" s="93"/>
      <c r="F1" s="93"/>
    </row>
    <row r="2" customFormat="false" ht="15" hidden="false" customHeight="true" outlineLevel="0" collapsed="false">
      <c r="A2" s="94" t="s">
        <v>727</v>
      </c>
      <c r="B2" s="94" t="s">
        <v>728</v>
      </c>
      <c r="C2" s="94" t="s">
        <v>729</v>
      </c>
      <c r="D2" s="94" t="s">
        <v>730</v>
      </c>
      <c r="E2" s="94" t="s">
        <v>731</v>
      </c>
      <c r="F2" s="94" t="s">
        <v>318</v>
      </c>
    </row>
    <row r="3" customFormat="false" ht="15" hidden="false" customHeight="true" outlineLevel="0" collapsed="false">
      <c r="A3" s="72" t="s">
        <v>732</v>
      </c>
      <c r="B3" s="72"/>
      <c r="C3" s="72"/>
      <c r="D3" s="91" t="n">
        <f aca="false">'1. Input'!B5</f>
        <v>1300</v>
      </c>
      <c r="E3" s="83" t="n">
        <f aca="false">ROUND('1. Input'!B4/D3,0)</f>
        <v>10000000</v>
      </c>
      <c r="F3" s="72" t="s">
        <v>733</v>
      </c>
    </row>
    <row r="4" customFormat="false" ht="15" hidden="false" customHeight="true" outlineLevel="0" collapsed="false">
      <c r="A4" s="74" t="s">
        <v>734</v>
      </c>
      <c r="B4" s="77" t="n">
        <f aca="false">'1. Input'!B8</f>
        <v>0.35</v>
      </c>
      <c r="C4" s="74"/>
      <c r="D4" s="75" t="n">
        <f aca="false">ROUNDUP(D3/B4,0)</f>
        <v>3715</v>
      </c>
      <c r="E4" s="78" t="n">
        <f aca="false">ROUND('1. Input'!B4/D4,0)</f>
        <v>3499327</v>
      </c>
      <c r="F4" s="74"/>
    </row>
    <row r="5" customFormat="false" ht="15" hidden="false" customHeight="true" outlineLevel="0" collapsed="false">
      <c r="A5" s="72" t="s">
        <v>735</v>
      </c>
      <c r="B5" s="90" t="n">
        <f aca="false">'1. Input'!B7</f>
        <v>0.3</v>
      </c>
      <c r="C5" s="72"/>
      <c r="D5" s="91" t="n">
        <f aca="false">ROUNDUP(D4/B5,0)</f>
        <v>12384</v>
      </c>
      <c r="E5" s="83" t="n">
        <f aca="false">ROUND('1. Input'!B4/D5,0)</f>
        <v>1049742</v>
      </c>
      <c r="F5" s="72"/>
    </row>
    <row r="6" customFormat="false" ht="15" hidden="false" customHeight="true" outlineLevel="0" collapsed="false">
      <c r="A6" s="74" t="s">
        <v>736</v>
      </c>
      <c r="B6" s="77" t="n">
        <f aca="false">'1. Input'!B6</f>
        <v>0.2</v>
      </c>
      <c r="C6" s="74"/>
      <c r="D6" s="75" t="n">
        <f aca="false">ROUNDUP(D5/B6,0)</f>
        <v>61920</v>
      </c>
      <c r="E6" s="78" t="n">
        <f aca="false">ROUND('1. Input'!B4/D6,0)</f>
        <v>209948</v>
      </c>
      <c r="F6" s="74"/>
    </row>
    <row r="8" customFormat="false" ht="15" hidden="false" customHeight="false" outlineLevel="0" collapsed="false">
      <c r="A8" s="6" t="s">
        <v>737</v>
      </c>
    </row>
    <row r="9" customFormat="false" ht="15" hidden="false" customHeight="false" outlineLevel="0" collapsed="false">
      <c r="A9" s="3" t="s">
        <v>351</v>
      </c>
      <c r="B9" s="3" t="s">
        <v>736</v>
      </c>
      <c r="C9" s="3" t="s">
        <v>738</v>
      </c>
      <c r="D9" s="3" t="s">
        <v>735</v>
      </c>
      <c r="E9" s="3" t="s">
        <v>739</v>
      </c>
      <c r="F9" s="3" t="s">
        <v>740</v>
      </c>
      <c r="G9" s="3" t="s">
        <v>741</v>
      </c>
      <c r="H9" s="3" t="s">
        <v>742</v>
      </c>
      <c r="I9" s="3" t="s">
        <v>622</v>
      </c>
      <c r="J9" s="3" t="s">
        <v>743</v>
      </c>
      <c r="K9" s="3" t="s">
        <v>353</v>
      </c>
      <c r="L9" s="3" t="s">
        <v>318</v>
      </c>
    </row>
    <row r="10" customFormat="false" ht="46.25" hidden="false" customHeight="false" outlineLevel="0" collapsed="false">
      <c r="A10" s="4" t="s">
        <v>744</v>
      </c>
      <c r="B10" s="4" t="n">
        <v>9524</v>
      </c>
      <c r="C10" s="4" t="s">
        <v>745</v>
      </c>
      <c r="D10" s="4" t="n">
        <v>1905</v>
      </c>
      <c r="E10" s="4" t="s">
        <v>746</v>
      </c>
      <c r="F10" s="4" t="n">
        <v>610</v>
      </c>
      <c r="G10" s="4" t="s">
        <v>747</v>
      </c>
      <c r="H10" s="4" t="n">
        <v>380</v>
      </c>
      <c r="I10" s="4" t="n">
        <v>100000</v>
      </c>
      <c r="J10" s="4" t="n">
        <v>500000</v>
      </c>
      <c r="K10" s="4" t="n">
        <v>8500000</v>
      </c>
      <c r="L10" s="4" t="s">
        <v>748</v>
      </c>
    </row>
    <row r="11" customFormat="false" ht="46.25" hidden="false" customHeight="false" outlineLevel="0" collapsed="false">
      <c r="A11" s="5" t="s">
        <v>749</v>
      </c>
      <c r="B11" s="5" t="n">
        <v>10000</v>
      </c>
      <c r="C11" s="5" t="s">
        <v>745</v>
      </c>
      <c r="D11" s="5" t="n">
        <v>2000</v>
      </c>
      <c r="E11" s="5" t="s">
        <v>750</v>
      </c>
      <c r="F11" s="5" t="n">
        <v>600</v>
      </c>
      <c r="G11" s="5" t="s">
        <v>751</v>
      </c>
      <c r="H11" s="5" t="n">
        <v>420</v>
      </c>
      <c r="I11" s="5" t="n">
        <v>120000</v>
      </c>
      <c r="J11" s="5" t="n">
        <v>700000</v>
      </c>
      <c r="K11" s="5" t="n">
        <v>10000000</v>
      </c>
      <c r="L11" s="5" t="s">
        <v>752</v>
      </c>
    </row>
    <row r="12" customFormat="false" ht="46.25" hidden="false" customHeight="false" outlineLevel="0" collapsed="false">
      <c r="A12" s="4" t="s">
        <v>753</v>
      </c>
      <c r="B12" s="4" t="n">
        <v>4762</v>
      </c>
      <c r="C12" s="4" t="s">
        <v>745</v>
      </c>
      <c r="D12" s="4" t="n">
        <v>952</v>
      </c>
      <c r="E12" s="4" t="s">
        <v>754</v>
      </c>
      <c r="F12" s="4" t="n">
        <v>267</v>
      </c>
      <c r="G12" s="4" t="s">
        <v>755</v>
      </c>
      <c r="H12" s="4" t="n">
        <v>200</v>
      </c>
      <c r="I12" s="4" t="n">
        <v>160000</v>
      </c>
      <c r="J12" s="4" t="n">
        <v>1500000</v>
      </c>
      <c r="K12" s="4" t="n">
        <v>12000000</v>
      </c>
      <c r="L12" s="4" t="s">
        <v>756</v>
      </c>
    </row>
    <row r="13" customFormat="false" ht="35.05" hidden="false" customHeight="false" outlineLevel="0" collapsed="false">
      <c r="A13" s="5" t="s">
        <v>757</v>
      </c>
      <c r="B13" s="5" t="n">
        <v>3810</v>
      </c>
      <c r="C13" s="5" t="s">
        <v>745</v>
      </c>
      <c r="D13" s="5" t="n">
        <v>762</v>
      </c>
      <c r="E13" s="5" t="s">
        <v>758</v>
      </c>
      <c r="F13" s="5" t="n">
        <v>198</v>
      </c>
      <c r="G13" s="5" t="s">
        <v>750</v>
      </c>
      <c r="H13" s="5" t="n">
        <v>200</v>
      </c>
      <c r="I13" s="5" t="n">
        <v>180000</v>
      </c>
      <c r="J13" s="5" t="n">
        <v>2000000</v>
      </c>
      <c r="K13" s="5" t="n">
        <v>13500000</v>
      </c>
      <c r="L13" s="5" t="s">
        <v>759</v>
      </c>
    </row>
    <row r="14" customFormat="false" ht="57.45" hidden="false" customHeight="false" outlineLevel="0" collapsed="false">
      <c r="A14" s="4" t="s">
        <v>760</v>
      </c>
      <c r="B14" s="4" t="n">
        <v>2381</v>
      </c>
      <c r="C14" s="4" t="s">
        <v>745</v>
      </c>
      <c r="D14" s="4" t="n">
        <v>476</v>
      </c>
      <c r="E14" s="4" t="s">
        <v>761</v>
      </c>
      <c r="F14" s="4" t="n">
        <v>119</v>
      </c>
      <c r="G14" s="4" t="s">
        <v>754</v>
      </c>
      <c r="H14" s="4" t="n">
        <v>100</v>
      </c>
      <c r="I14" s="4" t="n">
        <v>200000</v>
      </c>
      <c r="J14" s="4" t="s">
        <v>428</v>
      </c>
      <c r="K14" s="4" t="s">
        <v>428</v>
      </c>
      <c r="L14" s="4" t="s">
        <v>762</v>
      </c>
    </row>
    <row r="17" customFormat="false" ht="15" hidden="false" customHeight="false" outlineLevel="0" collapsed="false">
      <c r="A17" s="6" t="s">
        <v>763</v>
      </c>
    </row>
    <row r="18" customFormat="false" ht="15" hidden="false" customHeight="false" outlineLevel="0" collapsed="false">
      <c r="A18" s="3" t="s">
        <v>350</v>
      </c>
      <c r="B18" s="3" t="s">
        <v>351</v>
      </c>
      <c r="C18" s="3" t="s">
        <v>764</v>
      </c>
      <c r="D18" s="3" t="s">
        <v>765</v>
      </c>
      <c r="E18" s="3" t="s">
        <v>766</v>
      </c>
      <c r="F18" s="3" t="s">
        <v>767</v>
      </c>
      <c r="G18" s="3" t="s">
        <v>768</v>
      </c>
      <c r="H18" s="3" t="s">
        <v>769</v>
      </c>
      <c r="I18" s="3" t="s">
        <v>770</v>
      </c>
      <c r="J18" s="3" t="s">
        <v>771</v>
      </c>
      <c r="K18" s="3" t="s">
        <v>318</v>
      </c>
    </row>
    <row r="19" customFormat="false" ht="15" hidden="false" customHeight="false" outlineLevel="0" collapsed="false">
      <c r="A19" s="4" t="s">
        <v>151</v>
      </c>
      <c r="B19" s="4" t="s">
        <v>153</v>
      </c>
      <c r="C19" s="4" t="s">
        <v>772</v>
      </c>
      <c r="D19" s="4" t="n">
        <v>200</v>
      </c>
      <c r="E19" s="4" t="n">
        <v>1905</v>
      </c>
      <c r="F19" s="4" t="n">
        <v>610</v>
      </c>
      <c r="G19" s="4" t="s">
        <v>746</v>
      </c>
      <c r="H19" s="4" t="s">
        <v>747</v>
      </c>
      <c r="I19" s="4" t="s">
        <v>773</v>
      </c>
      <c r="J19" s="4" t="s">
        <v>774</v>
      </c>
      <c r="K19" s="4" t="s">
        <v>775</v>
      </c>
    </row>
    <row r="20" customFormat="false" ht="35.05" hidden="false" customHeight="false" outlineLevel="0" collapsed="false">
      <c r="A20" s="5" t="s">
        <v>162</v>
      </c>
      <c r="B20" s="5" t="s">
        <v>153</v>
      </c>
      <c r="C20" s="5" t="s">
        <v>776</v>
      </c>
      <c r="D20" s="5" t="n">
        <v>60</v>
      </c>
      <c r="E20" s="5" t="n">
        <v>572</v>
      </c>
      <c r="F20" s="5" t="n">
        <v>183</v>
      </c>
      <c r="G20" s="5" t="s">
        <v>746</v>
      </c>
      <c r="H20" s="5" t="s">
        <v>747</v>
      </c>
      <c r="I20" s="5" t="s">
        <v>777</v>
      </c>
      <c r="J20" s="5" t="s">
        <v>778</v>
      </c>
      <c r="K20" s="5" t="s">
        <v>779</v>
      </c>
    </row>
    <row r="21" customFormat="false" ht="35.05" hidden="false" customHeight="false" outlineLevel="0" collapsed="false">
      <c r="A21" s="4" t="s">
        <v>173</v>
      </c>
      <c r="B21" s="4" t="s">
        <v>153</v>
      </c>
      <c r="C21" s="4" t="s">
        <v>776</v>
      </c>
      <c r="D21" s="4" t="n">
        <v>60</v>
      </c>
      <c r="E21" s="4" t="n">
        <v>572</v>
      </c>
      <c r="F21" s="4" t="n">
        <v>183</v>
      </c>
      <c r="G21" s="4" t="s">
        <v>746</v>
      </c>
      <c r="H21" s="4" t="s">
        <v>747</v>
      </c>
      <c r="I21" s="4" t="s">
        <v>777</v>
      </c>
      <c r="J21" s="4" t="s">
        <v>778</v>
      </c>
      <c r="K21" s="4" t="s">
        <v>780</v>
      </c>
    </row>
    <row r="22" customFormat="false" ht="35.05" hidden="false" customHeight="false" outlineLevel="0" collapsed="false">
      <c r="A22" s="5" t="s">
        <v>183</v>
      </c>
      <c r="B22" s="5" t="s">
        <v>153</v>
      </c>
      <c r="C22" s="5" t="s">
        <v>781</v>
      </c>
      <c r="D22" s="5" t="n">
        <v>60</v>
      </c>
      <c r="E22" s="5" t="n">
        <v>572</v>
      </c>
      <c r="F22" s="5" t="n">
        <v>183</v>
      </c>
      <c r="G22" s="5" t="s">
        <v>746</v>
      </c>
      <c r="H22" s="5" t="s">
        <v>747</v>
      </c>
      <c r="I22" s="5" t="s">
        <v>782</v>
      </c>
      <c r="J22" s="5" t="s">
        <v>783</v>
      </c>
      <c r="K22" s="5" t="s">
        <v>784</v>
      </c>
    </row>
    <row r="23" customFormat="false" ht="23.85" hidden="false" customHeight="false" outlineLevel="0" collapsed="false">
      <c r="A23" s="4" t="s">
        <v>194</v>
      </c>
      <c r="B23" s="4" t="s">
        <v>195</v>
      </c>
      <c r="C23" s="4" t="s">
        <v>772</v>
      </c>
      <c r="D23" s="4" t="n">
        <v>150</v>
      </c>
      <c r="E23" s="4" t="n">
        <v>1429</v>
      </c>
      <c r="F23" s="4" t="n">
        <v>429</v>
      </c>
      <c r="G23" s="4" t="s">
        <v>750</v>
      </c>
      <c r="H23" s="4" t="s">
        <v>751</v>
      </c>
      <c r="I23" s="4" t="s">
        <v>785</v>
      </c>
      <c r="J23" s="4" t="s">
        <v>774</v>
      </c>
      <c r="K23" s="4" t="s">
        <v>786</v>
      </c>
    </row>
    <row r="24" customFormat="false" ht="15" hidden="false" customHeight="false" outlineLevel="0" collapsed="false">
      <c r="A24" s="5" t="s">
        <v>204</v>
      </c>
      <c r="B24" s="5" t="s">
        <v>195</v>
      </c>
      <c r="C24" s="5" t="s">
        <v>787</v>
      </c>
      <c r="D24" s="5" t="n">
        <v>150</v>
      </c>
      <c r="E24" s="5" t="n">
        <v>1429</v>
      </c>
      <c r="F24" s="5" t="n">
        <v>429</v>
      </c>
      <c r="G24" s="5" t="s">
        <v>750</v>
      </c>
      <c r="H24" s="5" t="s">
        <v>751</v>
      </c>
      <c r="I24" s="5" t="s">
        <v>773</v>
      </c>
      <c r="J24" s="5" t="s">
        <v>788</v>
      </c>
      <c r="K24" s="5" t="s">
        <v>789</v>
      </c>
    </row>
    <row r="25" customFormat="false" ht="35.05" hidden="false" customHeight="false" outlineLevel="0" collapsed="false">
      <c r="A25" s="4" t="s">
        <v>214</v>
      </c>
      <c r="B25" s="4" t="s">
        <v>195</v>
      </c>
      <c r="C25" s="4" t="s">
        <v>776</v>
      </c>
      <c r="D25" s="4" t="n">
        <v>60</v>
      </c>
      <c r="E25" s="4" t="n">
        <v>572</v>
      </c>
      <c r="F25" s="4" t="n">
        <v>171</v>
      </c>
      <c r="G25" s="4" t="s">
        <v>750</v>
      </c>
      <c r="H25" s="4" t="s">
        <v>751</v>
      </c>
      <c r="I25" s="4" t="s">
        <v>790</v>
      </c>
      <c r="J25" s="4" t="s">
        <v>778</v>
      </c>
      <c r="K25" s="4" t="s">
        <v>791</v>
      </c>
    </row>
    <row r="26" customFormat="false" ht="35.05" hidden="false" customHeight="false" outlineLevel="0" collapsed="false">
      <c r="A26" s="5" t="s">
        <v>223</v>
      </c>
      <c r="B26" s="5" t="s">
        <v>195</v>
      </c>
      <c r="C26" s="5" t="s">
        <v>781</v>
      </c>
      <c r="D26" s="5" t="n">
        <v>60</v>
      </c>
      <c r="E26" s="5" t="n">
        <v>572</v>
      </c>
      <c r="F26" s="5" t="n">
        <v>171</v>
      </c>
      <c r="G26" s="5" t="s">
        <v>750</v>
      </c>
      <c r="H26" s="5" t="s">
        <v>751</v>
      </c>
      <c r="I26" s="5" t="s">
        <v>782</v>
      </c>
      <c r="J26" s="5" t="s">
        <v>783</v>
      </c>
      <c r="K26" s="5" t="s">
        <v>792</v>
      </c>
    </row>
    <row r="27" customFormat="false" ht="23.85" hidden="false" customHeight="false" outlineLevel="0" collapsed="false">
      <c r="A27" s="4" t="s">
        <v>232</v>
      </c>
      <c r="B27" s="4" t="s">
        <v>233</v>
      </c>
      <c r="C27" s="4" t="s">
        <v>772</v>
      </c>
      <c r="D27" s="4" t="n">
        <v>200</v>
      </c>
      <c r="E27" s="4" t="n">
        <v>2858</v>
      </c>
      <c r="F27" s="4" t="n">
        <v>800</v>
      </c>
      <c r="G27" s="4" t="s">
        <v>754</v>
      </c>
      <c r="H27" s="4" t="s">
        <v>755</v>
      </c>
      <c r="I27" s="4" t="s">
        <v>793</v>
      </c>
      <c r="J27" s="4" t="s">
        <v>794</v>
      </c>
      <c r="K27" s="4" t="s">
        <v>795</v>
      </c>
    </row>
    <row r="28" customFormat="false" ht="23.85" hidden="false" customHeight="false" outlineLevel="0" collapsed="false">
      <c r="A28" s="5" t="s">
        <v>242</v>
      </c>
      <c r="B28" s="5" t="s">
        <v>243</v>
      </c>
      <c r="C28" s="5" t="s">
        <v>772</v>
      </c>
      <c r="D28" s="5" t="n">
        <v>200</v>
      </c>
      <c r="E28" s="5" t="n">
        <v>2540</v>
      </c>
      <c r="F28" s="5" t="n">
        <v>660</v>
      </c>
      <c r="G28" s="5" t="s">
        <v>758</v>
      </c>
      <c r="H28" s="5" t="s">
        <v>750</v>
      </c>
      <c r="I28" s="5" t="s">
        <v>793</v>
      </c>
      <c r="J28" s="5" t="s">
        <v>796</v>
      </c>
      <c r="K28" s="5" t="s">
        <v>797</v>
      </c>
    </row>
    <row r="29" customFormat="false" ht="15" hidden="false" customHeight="false" outlineLevel="0" collapsed="false">
      <c r="A29" s="4" t="s">
        <v>358</v>
      </c>
      <c r="B29" s="4" t="s">
        <v>724</v>
      </c>
      <c r="C29" s="4" t="s">
        <v>383</v>
      </c>
      <c r="D29" s="4" t="n">
        <v>100</v>
      </c>
      <c r="E29" s="4" t="n">
        <v>1429</v>
      </c>
      <c r="F29" s="4" t="n">
        <v>357</v>
      </c>
      <c r="G29" s="4" t="s">
        <v>761</v>
      </c>
      <c r="H29" s="4" t="s">
        <v>754</v>
      </c>
      <c r="I29" s="4" t="s">
        <v>798</v>
      </c>
      <c r="J29" s="4" t="s">
        <v>428</v>
      </c>
      <c r="K29" s="4" t="s">
        <v>799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85F4"/>
    <pageSetUpPr fitToPage="false"/>
  </sheetPr>
  <dimension ref="A1:J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" width="20"/>
    <col collapsed="false" customWidth="true" hidden="false" outlineLevel="0" max="3" min="3" style="2" width="40"/>
    <col collapsed="false" customWidth="true" hidden="false" outlineLevel="0" max="4" min="4" style="2" width="35"/>
    <col collapsed="false" customWidth="true" hidden="false" outlineLevel="0" max="10" min="5" style="2" width="20"/>
  </cols>
  <sheetData>
    <row r="1" customFormat="false" ht="15" hidden="false" customHeight="true" outlineLevel="0" collapsed="false">
      <c r="A1" s="95" t="s">
        <v>800</v>
      </c>
      <c r="B1" s="95"/>
      <c r="C1" s="95"/>
      <c r="D1" s="95"/>
      <c r="E1" s="95"/>
      <c r="F1" s="95"/>
      <c r="G1" s="95"/>
      <c r="H1" s="95"/>
      <c r="I1" s="95"/>
      <c r="J1" s="95"/>
    </row>
    <row r="3" customFormat="false" ht="15" hidden="false" customHeight="true" outlineLevel="0" collapsed="false">
      <c r="A3" s="96" t="s">
        <v>801</v>
      </c>
      <c r="B3" s="96"/>
      <c r="C3" s="96"/>
      <c r="D3" s="96"/>
      <c r="E3" s="96"/>
      <c r="F3" s="96"/>
      <c r="G3" s="96"/>
      <c r="H3" s="96"/>
      <c r="I3" s="96"/>
      <c r="J3" s="96"/>
    </row>
    <row r="4" customFormat="false" ht="15" hidden="false" customHeight="true" outlineLevel="0" collapsed="false">
      <c r="A4" s="97" t="s">
        <v>802</v>
      </c>
      <c r="B4" s="97" t="s">
        <v>803</v>
      </c>
      <c r="C4" s="97" t="s">
        <v>363</v>
      </c>
      <c r="D4" s="97" t="s">
        <v>314</v>
      </c>
      <c r="E4" s="97" t="s">
        <v>318</v>
      </c>
    </row>
    <row r="5" customFormat="false" ht="23.25" hidden="false" customHeight="true" outlineLevel="0" collapsed="false">
      <c r="A5" s="72" t="s">
        <v>804</v>
      </c>
      <c r="B5" s="72" t="s">
        <v>805</v>
      </c>
      <c r="C5" s="72" t="s">
        <v>806</v>
      </c>
      <c r="D5" s="72" t="n">
        <f aca="false">'1. Input'!B15*0.25</f>
        <v>2125000000</v>
      </c>
      <c r="E5" s="72" t="s">
        <v>807</v>
      </c>
    </row>
    <row r="6" customFormat="false" ht="15" hidden="false" customHeight="true" outlineLevel="0" collapsed="false">
      <c r="A6" s="74" t="s">
        <v>808</v>
      </c>
      <c r="B6" s="74" t="s">
        <v>809</v>
      </c>
      <c r="C6" s="74" t="s">
        <v>810</v>
      </c>
      <c r="D6" s="74" t="s">
        <v>811</v>
      </c>
      <c r="E6" s="74" t="s">
        <v>812</v>
      </c>
    </row>
    <row r="7" customFormat="false" ht="23.25" hidden="false" customHeight="true" outlineLevel="0" collapsed="false">
      <c r="A7" s="72" t="s">
        <v>808</v>
      </c>
      <c r="B7" s="72" t="s">
        <v>813</v>
      </c>
      <c r="C7" s="72" t="s">
        <v>814</v>
      </c>
      <c r="D7" s="72" t="s">
        <v>815</v>
      </c>
      <c r="E7" s="72" t="s">
        <v>816</v>
      </c>
    </row>
    <row r="8" customFormat="false" ht="34.5" hidden="false" customHeight="true" outlineLevel="0" collapsed="false">
      <c r="A8" s="74" t="s">
        <v>808</v>
      </c>
      <c r="B8" s="74" t="s">
        <v>817</v>
      </c>
      <c r="C8" s="74" t="s">
        <v>818</v>
      </c>
      <c r="D8" s="74" t="s">
        <v>815</v>
      </c>
      <c r="E8" s="74" t="s">
        <v>819</v>
      </c>
    </row>
    <row r="9" customFormat="false" ht="15" hidden="false" customHeight="true" outlineLevel="0" collapsed="false">
      <c r="A9" s="72" t="s">
        <v>808</v>
      </c>
      <c r="B9" s="72" t="s">
        <v>820</v>
      </c>
      <c r="C9" s="72" t="s">
        <v>821</v>
      </c>
      <c r="D9" s="72" t="s">
        <v>815</v>
      </c>
      <c r="E9" s="72" t="s">
        <v>822</v>
      </c>
    </row>
    <row r="10" customFormat="false" ht="23.25" hidden="false" customHeight="true" outlineLevel="0" collapsed="false">
      <c r="A10" s="74" t="s">
        <v>808</v>
      </c>
      <c r="B10" s="74" t="s">
        <v>823</v>
      </c>
      <c r="C10" s="74" t="s">
        <v>824</v>
      </c>
      <c r="D10" s="74" t="s">
        <v>815</v>
      </c>
      <c r="E10" s="74" t="s">
        <v>825</v>
      </c>
    </row>
    <row r="11" customFormat="false" ht="15" hidden="false" customHeight="true" outlineLevel="0" collapsed="false">
      <c r="A11" s="72" t="s">
        <v>808</v>
      </c>
      <c r="B11" s="72" t="s">
        <v>826</v>
      </c>
      <c r="C11" s="72" t="s">
        <v>827</v>
      </c>
      <c r="D11" s="72" t="s">
        <v>815</v>
      </c>
      <c r="E11" s="72" t="s">
        <v>828</v>
      </c>
    </row>
    <row r="12" customFormat="false" ht="23.25" hidden="false" customHeight="true" outlineLevel="0" collapsed="false">
      <c r="A12" s="74" t="s">
        <v>808</v>
      </c>
      <c r="B12" s="74" t="s">
        <v>829</v>
      </c>
      <c r="C12" s="74" t="s">
        <v>830</v>
      </c>
      <c r="D12" s="74" t="s">
        <v>815</v>
      </c>
      <c r="E12" s="74" t="s">
        <v>831</v>
      </c>
    </row>
    <row r="13" customFormat="false" ht="15" hidden="false" customHeight="true" outlineLevel="0" collapsed="false">
      <c r="A13" s="72" t="s">
        <v>808</v>
      </c>
      <c r="B13" s="72" t="s">
        <v>832</v>
      </c>
      <c r="C13" s="72" t="s">
        <v>833</v>
      </c>
      <c r="D13" s="72" t="s">
        <v>815</v>
      </c>
      <c r="E13" s="72" t="s">
        <v>834</v>
      </c>
    </row>
    <row r="14" customFormat="false" ht="23.25" hidden="false" customHeight="true" outlineLevel="0" collapsed="false">
      <c r="A14" s="74" t="s">
        <v>808</v>
      </c>
      <c r="B14" s="74" t="s">
        <v>835</v>
      </c>
      <c r="C14" s="74" t="s">
        <v>836</v>
      </c>
      <c r="D14" s="74" t="s">
        <v>815</v>
      </c>
      <c r="E14" s="74" t="s">
        <v>837</v>
      </c>
    </row>
    <row r="15" customFormat="false" ht="15" hidden="false" customHeight="true" outlineLevel="0" collapsed="false">
      <c r="A15" s="72" t="s">
        <v>808</v>
      </c>
      <c r="B15" s="72" t="s">
        <v>838</v>
      </c>
      <c r="C15" s="72" t="s">
        <v>839</v>
      </c>
      <c r="D15" s="72" t="s">
        <v>815</v>
      </c>
      <c r="E15" s="72" t="s">
        <v>840</v>
      </c>
    </row>
    <row r="16" customFormat="false" ht="23.25" hidden="false" customHeight="true" outlineLevel="0" collapsed="false">
      <c r="A16" s="74" t="s">
        <v>808</v>
      </c>
      <c r="B16" s="74" t="s">
        <v>841</v>
      </c>
      <c r="C16" s="74" t="s">
        <v>842</v>
      </c>
      <c r="D16" s="74" t="s">
        <v>815</v>
      </c>
      <c r="E16" s="74" t="s">
        <v>843</v>
      </c>
    </row>
    <row r="17" customFormat="false" ht="23.25" hidden="false" customHeight="true" outlineLevel="0" collapsed="false">
      <c r="A17" s="72" t="s">
        <v>808</v>
      </c>
      <c r="B17" s="72" t="s">
        <v>844</v>
      </c>
      <c r="C17" s="72" t="s">
        <v>845</v>
      </c>
      <c r="D17" s="72" t="s">
        <v>815</v>
      </c>
      <c r="E17" s="72" t="s">
        <v>846</v>
      </c>
    </row>
    <row r="18" customFormat="false" ht="23.25" hidden="false" customHeight="true" outlineLevel="0" collapsed="false">
      <c r="A18" s="74" t="s">
        <v>808</v>
      </c>
      <c r="B18" s="74" t="s">
        <v>847</v>
      </c>
      <c r="C18" s="74" t="s">
        <v>848</v>
      </c>
      <c r="D18" s="74" t="s">
        <v>815</v>
      </c>
      <c r="E18" s="74" t="s">
        <v>849</v>
      </c>
    </row>
    <row r="19" customFormat="false" ht="15" hidden="false" customHeight="true" outlineLevel="0" collapsed="false">
      <c r="A19" s="72" t="s">
        <v>808</v>
      </c>
      <c r="B19" s="72" t="s">
        <v>850</v>
      </c>
      <c r="C19" s="72" t="s">
        <v>851</v>
      </c>
      <c r="D19" s="72" t="s">
        <v>815</v>
      </c>
      <c r="E19" s="72" t="s">
        <v>852</v>
      </c>
    </row>
    <row r="20" customFormat="false" ht="15" hidden="false" customHeight="true" outlineLevel="0" collapsed="false">
      <c r="A20" s="74" t="s">
        <v>808</v>
      </c>
      <c r="B20" s="74" t="s">
        <v>853</v>
      </c>
      <c r="C20" s="74" t="s">
        <v>854</v>
      </c>
      <c r="D20" s="74" t="s">
        <v>815</v>
      </c>
      <c r="E20" s="74" t="s">
        <v>855</v>
      </c>
    </row>
    <row r="21" customFormat="false" ht="15" hidden="false" customHeight="true" outlineLevel="0" collapsed="false">
      <c r="A21" s="72" t="s">
        <v>808</v>
      </c>
      <c r="B21" s="72" t="s">
        <v>856</v>
      </c>
      <c r="C21" s="72" t="s">
        <v>857</v>
      </c>
      <c r="D21" s="72" t="s">
        <v>815</v>
      </c>
      <c r="E21" s="72" t="s">
        <v>858</v>
      </c>
    </row>
    <row r="22" customFormat="false" ht="15" hidden="false" customHeight="true" outlineLevel="0" collapsed="false">
      <c r="A22" s="74" t="s">
        <v>808</v>
      </c>
      <c r="B22" s="74" t="s">
        <v>859</v>
      </c>
      <c r="C22" s="74" t="s">
        <v>860</v>
      </c>
      <c r="D22" s="74" t="s">
        <v>815</v>
      </c>
      <c r="E22" s="74" t="s">
        <v>861</v>
      </c>
    </row>
    <row r="23" customFormat="false" ht="15" hidden="false" customHeight="true" outlineLevel="0" collapsed="false">
      <c r="A23" s="72" t="s">
        <v>808</v>
      </c>
      <c r="B23" s="72" t="s">
        <v>862</v>
      </c>
      <c r="C23" s="72" t="s">
        <v>863</v>
      </c>
      <c r="D23" s="72" t="s">
        <v>815</v>
      </c>
      <c r="E23" s="72" t="s">
        <v>861</v>
      </c>
    </row>
    <row r="24" customFormat="false" ht="23.25" hidden="false" customHeight="true" outlineLevel="0" collapsed="false">
      <c r="A24" s="74" t="s">
        <v>808</v>
      </c>
      <c r="B24" s="74" t="s">
        <v>864</v>
      </c>
      <c r="C24" s="74" t="s">
        <v>865</v>
      </c>
      <c r="D24" s="74" t="s">
        <v>866</v>
      </c>
      <c r="E24" s="74" t="s">
        <v>867</v>
      </c>
    </row>
    <row r="26" customFormat="false" ht="15" hidden="false" customHeight="true" outlineLevel="0" collapsed="false">
      <c r="A26" s="96" t="s">
        <v>868</v>
      </c>
      <c r="B26" s="96"/>
      <c r="C26" s="96"/>
      <c r="D26" s="96"/>
      <c r="E26" s="96"/>
      <c r="F26" s="96"/>
      <c r="G26" s="96"/>
      <c r="H26" s="96"/>
      <c r="I26" s="96"/>
      <c r="J26" s="96"/>
    </row>
    <row r="27" customFormat="false" ht="15" hidden="false" customHeight="true" outlineLevel="0" collapsed="false">
      <c r="A27" s="97" t="s">
        <v>351</v>
      </c>
      <c r="B27" s="97" t="s">
        <v>869</v>
      </c>
      <c r="C27" s="97" t="s">
        <v>870</v>
      </c>
      <c r="D27" s="97" t="s">
        <v>871</v>
      </c>
      <c r="E27" s="97" t="s">
        <v>808</v>
      </c>
      <c r="F27" s="97" t="s">
        <v>318</v>
      </c>
    </row>
    <row r="28" customFormat="false" ht="15" hidden="false" customHeight="true" outlineLevel="0" collapsed="false">
      <c r="A28" s="72" t="s">
        <v>153</v>
      </c>
      <c r="B28" s="72" t="s">
        <v>872</v>
      </c>
      <c r="C28" s="72" t="s">
        <v>873</v>
      </c>
      <c r="D28" s="72" t="s">
        <v>874</v>
      </c>
      <c r="E28" s="72" t="s">
        <v>875</v>
      </c>
      <c r="F28" s="72"/>
    </row>
    <row r="29" customFormat="false" ht="15" hidden="false" customHeight="true" outlineLevel="0" collapsed="false">
      <c r="A29" s="74" t="s">
        <v>153</v>
      </c>
      <c r="B29" s="74" t="s">
        <v>872</v>
      </c>
      <c r="C29" s="74" t="s">
        <v>873</v>
      </c>
      <c r="D29" s="74" t="s">
        <v>876</v>
      </c>
      <c r="E29" s="74" t="s">
        <v>875</v>
      </c>
      <c r="F29" s="74"/>
    </row>
    <row r="30" customFormat="false" ht="15" hidden="false" customHeight="true" outlineLevel="0" collapsed="false">
      <c r="A30" s="72" t="s">
        <v>153</v>
      </c>
      <c r="B30" s="72" t="s">
        <v>877</v>
      </c>
      <c r="C30" s="72" t="s">
        <v>873</v>
      </c>
      <c r="D30" s="72" t="s">
        <v>878</v>
      </c>
      <c r="E30" s="72" t="s">
        <v>813</v>
      </c>
      <c r="F30" s="72" t="s">
        <v>879</v>
      </c>
    </row>
    <row r="31" customFormat="false" ht="15" hidden="false" customHeight="true" outlineLevel="0" collapsed="false">
      <c r="A31" s="74" t="s">
        <v>153</v>
      </c>
      <c r="B31" s="74" t="s">
        <v>877</v>
      </c>
      <c r="C31" s="74" t="s">
        <v>873</v>
      </c>
      <c r="D31" s="74" t="s">
        <v>880</v>
      </c>
      <c r="E31" s="74" t="s">
        <v>813</v>
      </c>
      <c r="F31" s="74"/>
    </row>
    <row r="32" customFormat="false" ht="15" hidden="false" customHeight="true" outlineLevel="0" collapsed="false">
      <c r="A32" s="72" t="s">
        <v>153</v>
      </c>
      <c r="B32" s="72" t="s">
        <v>877</v>
      </c>
      <c r="C32" s="72" t="s">
        <v>881</v>
      </c>
      <c r="D32" s="72" t="s">
        <v>882</v>
      </c>
      <c r="E32" s="72" t="s">
        <v>813</v>
      </c>
      <c r="F32" s="72" t="s">
        <v>883</v>
      </c>
    </row>
    <row r="33" customFormat="false" ht="15" hidden="false" customHeight="true" outlineLevel="0" collapsed="false">
      <c r="A33" s="74" t="s">
        <v>153</v>
      </c>
      <c r="B33" s="74" t="s">
        <v>877</v>
      </c>
      <c r="C33" s="74" t="s">
        <v>881</v>
      </c>
      <c r="D33" s="74" t="s">
        <v>884</v>
      </c>
      <c r="E33" s="74" t="s">
        <v>813</v>
      </c>
      <c r="F33" s="74"/>
    </row>
    <row r="34" customFormat="false" ht="15" hidden="false" customHeight="true" outlineLevel="0" collapsed="false">
      <c r="A34" s="72" t="s">
        <v>153</v>
      </c>
      <c r="B34" s="72" t="s">
        <v>885</v>
      </c>
      <c r="C34" s="72" t="s">
        <v>873</v>
      </c>
      <c r="D34" s="72" t="s">
        <v>886</v>
      </c>
      <c r="E34" s="72" t="s">
        <v>817</v>
      </c>
      <c r="F34" s="72" t="s">
        <v>887</v>
      </c>
    </row>
    <row r="35" customFormat="false" ht="15" hidden="false" customHeight="true" outlineLevel="0" collapsed="false">
      <c r="A35" s="74" t="s">
        <v>153</v>
      </c>
      <c r="B35" s="74" t="s">
        <v>885</v>
      </c>
      <c r="C35" s="74" t="s">
        <v>873</v>
      </c>
      <c r="D35" s="74" t="s">
        <v>888</v>
      </c>
      <c r="E35" s="74" t="s">
        <v>817</v>
      </c>
      <c r="F35" s="74" t="s">
        <v>887</v>
      </c>
    </row>
    <row r="36" customFormat="false" ht="15" hidden="false" customHeight="true" outlineLevel="0" collapsed="false">
      <c r="A36" s="72" t="s">
        <v>153</v>
      </c>
      <c r="B36" s="72" t="s">
        <v>889</v>
      </c>
      <c r="C36" s="72" t="s">
        <v>881</v>
      </c>
      <c r="D36" s="72" t="s">
        <v>890</v>
      </c>
      <c r="E36" s="72" t="s">
        <v>813</v>
      </c>
      <c r="F36" s="72"/>
    </row>
    <row r="37" customFormat="false" ht="15" hidden="false" customHeight="true" outlineLevel="0" collapsed="false">
      <c r="A37" s="74" t="s">
        <v>153</v>
      </c>
      <c r="B37" s="74" t="s">
        <v>889</v>
      </c>
      <c r="C37" s="74" t="s">
        <v>881</v>
      </c>
      <c r="D37" s="74" t="s">
        <v>891</v>
      </c>
      <c r="E37" s="74" t="s">
        <v>813</v>
      </c>
      <c r="F37" s="74"/>
    </row>
    <row r="38" customFormat="false" ht="15" hidden="false" customHeight="true" outlineLevel="0" collapsed="false">
      <c r="A38" s="72" t="s">
        <v>195</v>
      </c>
      <c r="B38" s="72" t="s">
        <v>872</v>
      </c>
      <c r="C38" s="72" t="s">
        <v>873</v>
      </c>
      <c r="D38" s="72" t="s">
        <v>892</v>
      </c>
      <c r="E38" s="72" t="s">
        <v>875</v>
      </c>
      <c r="F38" s="72"/>
    </row>
    <row r="39" customFormat="false" ht="15" hidden="false" customHeight="true" outlineLevel="0" collapsed="false">
      <c r="A39" s="74" t="s">
        <v>195</v>
      </c>
      <c r="B39" s="74" t="s">
        <v>872</v>
      </c>
      <c r="C39" s="74" t="s">
        <v>873</v>
      </c>
      <c r="D39" s="74" t="s">
        <v>893</v>
      </c>
      <c r="E39" s="74" t="s">
        <v>875</v>
      </c>
      <c r="F39" s="74"/>
    </row>
    <row r="40" customFormat="false" ht="15" hidden="false" customHeight="true" outlineLevel="0" collapsed="false">
      <c r="A40" s="72" t="s">
        <v>195</v>
      </c>
      <c r="B40" s="72" t="s">
        <v>877</v>
      </c>
      <c r="C40" s="72" t="s">
        <v>873</v>
      </c>
      <c r="D40" s="72" t="s">
        <v>894</v>
      </c>
      <c r="E40" s="72" t="s">
        <v>823</v>
      </c>
      <c r="F40" s="72"/>
    </row>
    <row r="41" customFormat="false" ht="15" hidden="false" customHeight="true" outlineLevel="0" collapsed="false">
      <c r="A41" s="74" t="s">
        <v>195</v>
      </c>
      <c r="B41" s="74" t="s">
        <v>877</v>
      </c>
      <c r="C41" s="74" t="s">
        <v>873</v>
      </c>
      <c r="D41" s="74" t="s">
        <v>895</v>
      </c>
      <c r="E41" s="74" t="s">
        <v>826</v>
      </c>
      <c r="F41" s="74"/>
    </row>
    <row r="42" customFormat="false" ht="15" hidden="false" customHeight="true" outlineLevel="0" collapsed="false">
      <c r="A42" s="72" t="s">
        <v>195</v>
      </c>
      <c r="B42" s="72" t="s">
        <v>885</v>
      </c>
      <c r="C42" s="72" t="s">
        <v>873</v>
      </c>
      <c r="D42" s="72" t="s">
        <v>896</v>
      </c>
      <c r="E42" s="72" t="s">
        <v>897</v>
      </c>
      <c r="F42" s="72" t="s">
        <v>887</v>
      </c>
    </row>
    <row r="43" customFormat="false" ht="15" hidden="false" customHeight="true" outlineLevel="0" collapsed="false">
      <c r="A43" s="74" t="s">
        <v>195</v>
      </c>
      <c r="B43" s="74" t="s">
        <v>885</v>
      </c>
      <c r="C43" s="74" t="s">
        <v>873</v>
      </c>
      <c r="D43" s="74" t="s">
        <v>898</v>
      </c>
      <c r="E43" s="74" t="s">
        <v>897</v>
      </c>
      <c r="F43" s="74" t="s">
        <v>887</v>
      </c>
    </row>
    <row r="44" customFormat="false" ht="15" hidden="false" customHeight="true" outlineLevel="0" collapsed="false">
      <c r="A44" s="72" t="s">
        <v>233</v>
      </c>
      <c r="B44" s="72" t="s">
        <v>877</v>
      </c>
      <c r="C44" s="72" t="s">
        <v>873</v>
      </c>
      <c r="D44" s="72" t="s">
        <v>899</v>
      </c>
      <c r="E44" s="72" t="s">
        <v>832</v>
      </c>
      <c r="F44" s="72"/>
    </row>
    <row r="45" customFormat="false" ht="15" hidden="false" customHeight="true" outlineLevel="0" collapsed="false">
      <c r="A45" s="74" t="s">
        <v>233</v>
      </c>
      <c r="B45" s="74" t="s">
        <v>877</v>
      </c>
      <c r="C45" s="74" t="s">
        <v>881</v>
      </c>
      <c r="D45" s="74" t="s">
        <v>900</v>
      </c>
      <c r="E45" s="74" t="s">
        <v>832</v>
      </c>
      <c r="F45" s="74"/>
    </row>
    <row r="46" customFormat="false" ht="23.25" hidden="false" customHeight="true" outlineLevel="0" collapsed="false">
      <c r="A46" s="72" t="s">
        <v>233</v>
      </c>
      <c r="B46" s="72" t="s">
        <v>885</v>
      </c>
      <c r="C46" s="72" t="s">
        <v>873</v>
      </c>
      <c r="D46" s="72" t="s">
        <v>901</v>
      </c>
      <c r="E46" s="72" t="s">
        <v>835</v>
      </c>
      <c r="F46" s="72" t="s">
        <v>887</v>
      </c>
    </row>
    <row r="47" customFormat="false" ht="23.25" hidden="false" customHeight="true" outlineLevel="0" collapsed="false">
      <c r="A47" s="74" t="s">
        <v>233</v>
      </c>
      <c r="B47" s="74" t="s">
        <v>885</v>
      </c>
      <c r="C47" s="74" t="s">
        <v>873</v>
      </c>
      <c r="D47" s="74" t="s">
        <v>902</v>
      </c>
      <c r="E47" s="74" t="s">
        <v>835</v>
      </c>
      <c r="F47" s="74"/>
    </row>
    <row r="48" customFormat="false" ht="15" hidden="false" customHeight="true" outlineLevel="0" collapsed="false">
      <c r="A48" s="72" t="s">
        <v>243</v>
      </c>
      <c r="B48" s="72" t="s">
        <v>877</v>
      </c>
      <c r="C48" s="72" t="s">
        <v>873</v>
      </c>
      <c r="D48" s="72" t="s">
        <v>903</v>
      </c>
      <c r="E48" s="72" t="s">
        <v>838</v>
      </c>
      <c r="F48" s="72"/>
    </row>
    <row r="49" customFormat="false" ht="15" hidden="false" customHeight="true" outlineLevel="0" collapsed="false">
      <c r="A49" s="74" t="s">
        <v>243</v>
      </c>
      <c r="B49" s="74" t="s">
        <v>877</v>
      </c>
      <c r="C49" s="74" t="s">
        <v>881</v>
      </c>
      <c r="D49" s="74" t="s">
        <v>904</v>
      </c>
      <c r="E49" s="74" t="s">
        <v>838</v>
      </c>
      <c r="F49" s="74"/>
    </row>
    <row r="50" customFormat="false" ht="23.25" hidden="false" customHeight="true" outlineLevel="0" collapsed="false">
      <c r="A50" s="72" t="s">
        <v>243</v>
      </c>
      <c r="B50" s="72" t="s">
        <v>885</v>
      </c>
      <c r="C50" s="72" t="s">
        <v>873</v>
      </c>
      <c r="D50" s="72" t="s">
        <v>905</v>
      </c>
      <c r="E50" s="72" t="s">
        <v>841</v>
      </c>
      <c r="F50" s="72" t="s">
        <v>887</v>
      </c>
    </row>
    <row r="51" customFormat="false" ht="23.25" hidden="false" customHeight="true" outlineLevel="0" collapsed="false">
      <c r="A51" s="74" t="s">
        <v>243</v>
      </c>
      <c r="B51" s="74" t="s">
        <v>885</v>
      </c>
      <c r="C51" s="74" t="s">
        <v>873</v>
      </c>
      <c r="D51" s="74" t="s">
        <v>906</v>
      </c>
      <c r="E51" s="74" t="s">
        <v>841</v>
      </c>
      <c r="F51" s="74" t="s">
        <v>887</v>
      </c>
    </row>
    <row r="52" customFormat="false" ht="23.25" hidden="false" customHeight="true" outlineLevel="0" collapsed="false">
      <c r="A52" s="72" t="s">
        <v>243</v>
      </c>
      <c r="B52" s="72" t="s">
        <v>885</v>
      </c>
      <c r="C52" s="72" t="s">
        <v>873</v>
      </c>
      <c r="D52" s="72" t="s">
        <v>907</v>
      </c>
      <c r="E52" s="72" t="s">
        <v>841</v>
      </c>
      <c r="F52" s="72" t="s">
        <v>908</v>
      </c>
    </row>
    <row r="53" customFormat="false" ht="15" hidden="false" customHeight="true" outlineLevel="0" collapsed="false">
      <c r="A53" s="74" t="s">
        <v>243</v>
      </c>
      <c r="B53" s="74" t="s">
        <v>715</v>
      </c>
      <c r="C53" s="74" t="s">
        <v>881</v>
      </c>
      <c r="D53" s="74" t="s">
        <v>909</v>
      </c>
      <c r="E53" s="74" t="s">
        <v>844</v>
      </c>
      <c r="F53" s="74"/>
    </row>
    <row r="55" customFormat="false" ht="15" hidden="false" customHeight="true" outlineLevel="0" collapsed="false">
      <c r="A55" s="98" t="s">
        <v>910</v>
      </c>
      <c r="B55" s="98"/>
      <c r="C55" s="98"/>
      <c r="D55" s="98"/>
      <c r="E55" s="98"/>
      <c r="F55" s="98"/>
      <c r="G55" s="98"/>
      <c r="H55" s="98"/>
      <c r="I55" s="98"/>
      <c r="J55" s="98"/>
    </row>
    <row r="56" customFormat="false" ht="15" hidden="false" customHeight="true" outlineLevel="0" collapsed="false">
      <c r="A56" s="99" t="s">
        <v>911</v>
      </c>
      <c r="B56" s="99" t="s">
        <v>870</v>
      </c>
      <c r="C56" s="99" t="s">
        <v>871</v>
      </c>
      <c r="D56" s="99" t="s">
        <v>912</v>
      </c>
    </row>
    <row r="57" customFormat="false" ht="15" hidden="false" customHeight="true" outlineLevel="0" collapsed="false">
      <c r="A57" s="72" t="s">
        <v>913</v>
      </c>
      <c r="B57" s="72" t="s">
        <v>881</v>
      </c>
      <c r="C57" s="72" t="s">
        <v>914</v>
      </c>
      <c r="D57" s="72" t="s">
        <v>915</v>
      </c>
    </row>
    <row r="58" customFormat="false" ht="15" hidden="false" customHeight="true" outlineLevel="0" collapsed="false">
      <c r="A58" s="74" t="s">
        <v>913</v>
      </c>
      <c r="B58" s="74" t="s">
        <v>881</v>
      </c>
      <c r="C58" s="74" t="s">
        <v>916</v>
      </c>
      <c r="D58" s="74" t="s">
        <v>915</v>
      </c>
    </row>
    <row r="59" customFormat="false" ht="15" hidden="false" customHeight="true" outlineLevel="0" collapsed="false">
      <c r="A59" s="72" t="s">
        <v>913</v>
      </c>
      <c r="B59" s="72" t="s">
        <v>881</v>
      </c>
      <c r="C59" s="72" t="s">
        <v>917</v>
      </c>
      <c r="D59" s="72" t="s">
        <v>918</v>
      </c>
    </row>
    <row r="60" customFormat="false" ht="15" hidden="false" customHeight="true" outlineLevel="0" collapsed="false">
      <c r="A60" s="74" t="s">
        <v>913</v>
      </c>
      <c r="B60" s="74" t="s">
        <v>881</v>
      </c>
      <c r="C60" s="74" t="s">
        <v>919</v>
      </c>
      <c r="D60" s="74" t="s">
        <v>918</v>
      </c>
    </row>
    <row r="61" customFormat="false" ht="15" hidden="false" customHeight="true" outlineLevel="0" collapsed="false">
      <c r="A61" s="72" t="s">
        <v>913</v>
      </c>
      <c r="B61" s="72" t="s">
        <v>881</v>
      </c>
      <c r="C61" s="72" t="s">
        <v>920</v>
      </c>
      <c r="D61" s="72" t="s">
        <v>918</v>
      </c>
    </row>
    <row r="62" customFormat="false" ht="15" hidden="false" customHeight="true" outlineLevel="0" collapsed="false">
      <c r="A62" s="74" t="s">
        <v>913</v>
      </c>
      <c r="B62" s="74" t="s">
        <v>881</v>
      </c>
      <c r="C62" s="74" t="s">
        <v>921</v>
      </c>
      <c r="D62" s="74" t="s">
        <v>922</v>
      </c>
    </row>
    <row r="63" customFormat="false" ht="15" hidden="false" customHeight="true" outlineLevel="0" collapsed="false">
      <c r="A63" s="72" t="s">
        <v>913</v>
      </c>
      <c r="B63" s="72" t="s">
        <v>881</v>
      </c>
      <c r="C63" s="72" t="s">
        <v>923</v>
      </c>
      <c r="D63" s="72" t="s">
        <v>924</v>
      </c>
    </row>
    <row r="64" customFormat="false" ht="15" hidden="false" customHeight="true" outlineLevel="0" collapsed="false">
      <c r="A64" s="74" t="s">
        <v>913</v>
      </c>
      <c r="B64" s="74" t="s">
        <v>881</v>
      </c>
      <c r="C64" s="74" t="s">
        <v>925</v>
      </c>
      <c r="D64" s="74" t="s">
        <v>924</v>
      </c>
    </row>
    <row r="65" customFormat="false" ht="15" hidden="false" customHeight="true" outlineLevel="0" collapsed="false">
      <c r="A65" s="72" t="s">
        <v>913</v>
      </c>
      <c r="B65" s="72" t="s">
        <v>881</v>
      </c>
      <c r="C65" s="72" t="s">
        <v>926</v>
      </c>
      <c r="D65" s="72" t="s">
        <v>927</v>
      </c>
    </row>
    <row r="66" customFormat="false" ht="15" hidden="false" customHeight="true" outlineLevel="0" collapsed="false">
      <c r="A66" s="74" t="s">
        <v>913</v>
      </c>
      <c r="B66" s="74" t="s">
        <v>881</v>
      </c>
      <c r="C66" s="74" t="s">
        <v>928</v>
      </c>
      <c r="D66" s="74" t="s">
        <v>929</v>
      </c>
    </row>
    <row r="67" customFormat="false" ht="15" hidden="false" customHeight="true" outlineLevel="0" collapsed="false">
      <c r="A67" s="72" t="s">
        <v>913</v>
      </c>
      <c r="B67" s="72" t="s">
        <v>881</v>
      </c>
      <c r="C67" s="72" t="s">
        <v>930</v>
      </c>
      <c r="D67" s="72" t="s">
        <v>929</v>
      </c>
    </row>
    <row r="68" customFormat="false" ht="15" hidden="false" customHeight="true" outlineLevel="0" collapsed="false">
      <c r="A68" s="74" t="s">
        <v>913</v>
      </c>
      <c r="B68" s="74" t="s">
        <v>881</v>
      </c>
      <c r="C68" s="74" t="s">
        <v>931</v>
      </c>
      <c r="D68" s="74" t="s">
        <v>929</v>
      </c>
    </row>
    <row r="69" customFormat="false" ht="15" hidden="false" customHeight="true" outlineLevel="0" collapsed="false">
      <c r="A69" s="72" t="s">
        <v>153</v>
      </c>
      <c r="B69" s="72" t="s">
        <v>881</v>
      </c>
      <c r="C69" s="72" t="s">
        <v>932</v>
      </c>
      <c r="D69" s="72" t="s">
        <v>924</v>
      </c>
    </row>
    <row r="70" customFormat="false" ht="15" hidden="false" customHeight="true" outlineLevel="0" collapsed="false">
      <c r="A70" s="74" t="s">
        <v>153</v>
      </c>
      <c r="B70" s="74" t="s">
        <v>881</v>
      </c>
      <c r="C70" s="74" t="s">
        <v>933</v>
      </c>
      <c r="D70" s="74" t="s">
        <v>924</v>
      </c>
    </row>
    <row r="71" customFormat="false" ht="15" hidden="false" customHeight="true" outlineLevel="0" collapsed="false">
      <c r="A71" s="72" t="s">
        <v>243</v>
      </c>
      <c r="B71" s="72" t="s">
        <v>881</v>
      </c>
      <c r="C71" s="72" t="s">
        <v>934</v>
      </c>
      <c r="D71" s="72" t="s">
        <v>924</v>
      </c>
    </row>
    <row r="72" customFormat="false" ht="15" hidden="false" customHeight="true" outlineLevel="0" collapsed="false">
      <c r="A72" s="74" t="s">
        <v>243</v>
      </c>
      <c r="B72" s="74" t="s">
        <v>881</v>
      </c>
      <c r="C72" s="74" t="s">
        <v>935</v>
      </c>
      <c r="D72" s="74" t="s">
        <v>924</v>
      </c>
    </row>
    <row r="74" customFormat="false" ht="15" hidden="false" customHeight="true" outlineLevel="0" collapsed="false">
      <c r="A74" s="96" t="s">
        <v>936</v>
      </c>
      <c r="B74" s="96"/>
      <c r="C74" s="96"/>
      <c r="D74" s="96"/>
      <c r="E74" s="96"/>
      <c r="F74" s="96"/>
      <c r="G74" s="96"/>
      <c r="H74" s="96"/>
      <c r="I74" s="96"/>
      <c r="J74" s="96"/>
    </row>
    <row r="75" customFormat="false" ht="15" hidden="false" customHeight="true" outlineLevel="0" collapsed="false">
      <c r="A75" s="97" t="s">
        <v>351</v>
      </c>
      <c r="B75" s="97" t="s">
        <v>937</v>
      </c>
      <c r="C75" s="97" t="s">
        <v>938</v>
      </c>
      <c r="D75" s="97" t="s">
        <v>939</v>
      </c>
      <c r="E75" s="97" t="s">
        <v>318</v>
      </c>
    </row>
    <row r="76" customFormat="false" ht="15" hidden="false" customHeight="true" outlineLevel="0" collapsed="false">
      <c r="A76" s="72" t="s">
        <v>153</v>
      </c>
      <c r="B76" s="72" t="s">
        <v>940</v>
      </c>
      <c r="C76" s="72" t="s">
        <v>941</v>
      </c>
      <c r="D76" s="72" t="s">
        <v>942</v>
      </c>
      <c r="E76" s="72"/>
    </row>
    <row r="77" customFormat="false" ht="15" hidden="false" customHeight="true" outlineLevel="0" collapsed="false">
      <c r="A77" s="74" t="s">
        <v>153</v>
      </c>
      <c r="B77" s="74" t="s">
        <v>940</v>
      </c>
      <c r="C77" s="74" t="s">
        <v>943</v>
      </c>
      <c r="D77" s="74" t="s">
        <v>944</v>
      </c>
      <c r="E77" s="74" t="s">
        <v>945</v>
      </c>
    </row>
    <row r="78" customFormat="false" ht="15" hidden="false" customHeight="true" outlineLevel="0" collapsed="false">
      <c r="A78" s="72" t="s">
        <v>153</v>
      </c>
      <c r="B78" s="72" t="s">
        <v>940</v>
      </c>
      <c r="C78" s="72" t="s">
        <v>946</v>
      </c>
      <c r="D78" s="72"/>
      <c r="E78" s="72" t="s">
        <v>947</v>
      </c>
    </row>
    <row r="79" customFormat="false" ht="15" hidden="false" customHeight="true" outlineLevel="0" collapsed="false">
      <c r="A79" s="74" t="s">
        <v>153</v>
      </c>
      <c r="B79" s="74" t="s">
        <v>940</v>
      </c>
      <c r="C79" s="74" t="s">
        <v>948</v>
      </c>
      <c r="D79" s="74"/>
      <c r="E79" s="74" t="s">
        <v>949</v>
      </c>
    </row>
    <row r="80" customFormat="false" ht="15" hidden="false" customHeight="true" outlineLevel="0" collapsed="false">
      <c r="A80" s="72" t="s">
        <v>153</v>
      </c>
      <c r="B80" s="72" t="s">
        <v>940</v>
      </c>
      <c r="C80" s="72" t="s">
        <v>950</v>
      </c>
      <c r="D80" s="72"/>
      <c r="E80" s="72"/>
    </row>
    <row r="81" customFormat="false" ht="15" hidden="false" customHeight="true" outlineLevel="0" collapsed="false">
      <c r="A81" s="74" t="s">
        <v>153</v>
      </c>
      <c r="B81" s="74" t="s">
        <v>940</v>
      </c>
      <c r="C81" s="74" t="s">
        <v>951</v>
      </c>
      <c r="D81" s="74"/>
      <c r="E81" s="74" t="s">
        <v>883</v>
      </c>
    </row>
    <row r="82" customFormat="false" ht="23.25" hidden="false" customHeight="true" outlineLevel="0" collapsed="false">
      <c r="A82" s="72" t="s">
        <v>153</v>
      </c>
      <c r="B82" s="72" t="s">
        <v>952</v>
      </c>
      <c r="C82" s="72" t="s">
        <v>953</v>
      </c>
      <c r="D82" s="72" t="s">
        <v>954</v>
      </c>
      <c r="E82" s="72"/>
    </row>
    <row r="83" customFormat="false" ht="23.25" hidden="false" customHeight="true" outlineLevel="0" collapsed="false">
      <c r="A83" s="74" t="s">
        <v>153</v>
      </c>
      <c r="B83" s="74" t="s">
        <v>952</v>
      </c>
      <c r="C83" s="74" t="s">
        <v>955</v>
      </c>
      <c r="D83" s="74" t="s">
        <v>956</v>
      </c>
      <c r="E83" s="74"/>
    </row>
    <row r="84" customFormat="false" ht="15" hidden="false" customHeight="true" outlineLevel="0" collapsed="false">
      <c r="A84" s="72" t="s">
        <v>195</v>
      </c>
      <c r="B84" s="72" t="s">
        <v>940</v>
      </c>
      <c r="C84" s="72" t="s">
        <v>957</v>
      </c>
      <c r="D84" s="72" t="s">
        <v>942</v>
      </c>
      <c r="E84" s="72"/>
    </row>
    <row r="85" customFormat="false" ht="15" hidden="false" customHeight="true" outlineLevel="0" collapsed="false">
      <c r="A85" s="74" t="s">
        <v>195</v>
      </c>
      <c r="B85" s="74" t="s">
        <v>940</v>
      </c>
      <c r="C85" s="74" t="s">
        <v>958</v>
      </c>
      <c r="D85" s="74" t="s">
        <v>944</v>
      </c>
      <c r="E85" s="74"/>
    </row>
    <row r="86" customFormat="false" ht="15" hidden="false" customHeight="true" outlineLevel="0" collapsed="false">
      <c r="A86" s="72" t="s">
        <v>195</v>
      </c>
      <c r="B86" s="72" t="s">
        <v>940</v>
      </c>
      <c r="C86" s="72" t="s">
        <v>959</v>
      </c>
      <c r="D86" s="72"/>
      <c r="E86" s="72" t="s">
        <v>947</v>
      </c>
    </row>
    <row r="87" customFormat="false" ht="15" hidden="false" customHeight="true" outlineLevel="0" collapsed="false">
      <c r="A87" s="74" t="s">
        <v>195</v>
      </c>
      <c r="B87" s="74" t="s">
        <v>940</v>
      </c>
      <c r="C87" s="74" t="s">
        <v>960</v>
      </c>
      <c r="D87" s="74"/>
      <c r="E87" s="74" t="s">
        <v>949</v>
      </c>
    </row>
    <row r="88" customFormat="false" ht="23.25" hidden="false" customHeight="true" outlineLevel="0" collapsed="false">
      <c r="A88" s="72" t="s">
        <v>195</v>
      </c>
      <c r="B88" s="72" t="s">
        <v>952</v>
      </c>
      <c r="C88" s="72" t="s">
        <v>961</v>
      </c>
      <c r="D88" s="72" t="s">
        <v>954</v>
      </c>
      <c r="E88" s="72"/>
    </row>
    <row r="89" customFormat="false" ht="15" hidden="false" customHeight="true" outlineLevel="0" collapsed="false">
      <c r="A89" s="74" t="s">
        <v>233</v>
      </c>
      <c r="B89" s="74" t="s">
        <v>940</v>
      </c>
      <c r="C89" s="74" t="s">
        <v>962</v>
      </c>
      <c r="D89" s="74" t="s">
        <v>942</v>
      </c>
      <c r="E89" s="74"/>
    </row>
    <row r="90" customFormat="false" ht="15" hidden="false" customHeight="true" outlineLevel="0" collapsed="false">
      <c r="A90" s="72" t="s">
        <v>233</v>
      </c>
      <c r="B90" s="72" t="s">
        <v>940</v>
      </c>
      <c r="C90" s="72" t="s">
        <v>963</v>
      </c>
      <c r="D90" s="72" t="s">
        <v>944</v>
      </c>
      <c r="E90" s="72"/>
    </row>
    <row r="91" customFormat="false" ht="15" hidden="false" customHeight="true" outlineLevel="0" collapsed="false">
      <c r="A91" s="74" t="s">
        <v>233</v>
      </c>
      <c r="B91" s="74" t="s">
        <v>940</v>
      </c>
      <c r="C91" s="74" t="s">
        <v>964</v>
      </c>
      <c r="D91" s="74"/>
      <c r="E91" s="74" t="s">
        <v>947</v>
      </c>
    </row>
    <row r="92" customFormat="false" ht="23.25" hidden="false" customHeight="true" outlineLevel="0" collapsed="false">
      <c r="A92" s="72" t="s">
        <v>233</v>
      </c>
      <c r="B92" s="72" t="s">
        <v>952</v>
      </c>
      <c r="C92" s="72" t="s">
        <v>965</v>
      </c>
      <c r="D92" s="72" t="s">
        <v>954</v>
      </c>
      <c r="E92" s="72"/>
    </row>
    <row r="93" customFormat="false" ht="15" hidden="false" customHeight="true" outlineLevel="0" collapsed="false">
      <c r="A93" s="74" t="s">
        <v>243</v>
      </c>
      <c r="B93" s="74" t="s">
        <v>940</v>
      </c>
      <c r="C93" s="74" t="s">
        <v>966</v>
      </c>
      <c r="D93" s="74" t="s">
        <v>942</v>
      </c>
      <c r="E93" s="74"/>
    </row>
    <row r="94" customFormat="false" ht="15" hidden="false" customHeight="true" outlineLevel="0" collapsed="false">
      <c r="A94" s="72" t="s">
        <v>243</v>
      </c>
      <c r="B94" s="72" t="s">
        <v>940</v>
      </c>
      <c r="C94" s="72" t="s">
        <v>967</v>
      </c>
      <c r="D94" s="72" t="s">
        <v>944</v>
      </c>
      <c r="E94" s="72"/>
    </row>
    <row r="95" customFormat="false" ht="15" hidden="false" customHeight="true" outlineLevel="0" collapsed="false">
      <c r="A95" s="74" t="s">
        <v>243</v>
      </c>
      <c r="B95" s="74" t="s">
        <v>940</v>
      </c>
      <c r="C95" s="74" t="s">
        <v>968</v>
      </c>
      <c r="D95" s="74"/>
      <c r="E95" s="74" t="s">
        <v>969</v>
      </c>
    </row>
    <row r="96" customFormat="false" ht="15" hidden="false" customHeight="true" outlineLevel="0" collapsed="false">
      <c r="A96" s="72" t="s">
        <v>243</v>
      </c>
      <c r="B96" s="72" t="s">
        <v>940</v>
      </c>
      <c r="C96" s="72" t="s">
        <v>970</v>
      </c>
      <c r="D96" s="72"/>
      <c r="E96" s="72" t="s">
        <v>947</v>
      </c>
    </row>
    <row r="97" customFormat="false" ht="23.25" hidden="false" customHeight="true" outlineLevel="0" collapsed="false">
      <c r="A97" s="74" t="s">
        <v>243</v>
      </c>
      <c r="B97" s="74" t="s">
        <v>952</v>
      </c>
      <c r="C97" s="74" t="s">
        <v>971</v>
      </c>
      <c r="D97" s="74" t="s">
        <v>954</v>
      </c>
      <c r="E97" s="74"/>
    </row>
    <row r="99" customFormat="false" ht="15" hidden="false" customHeight="true" outlineLevel="0" collapsed="false">
      <c r="A99" s="96" t="s">
        <v>972</v>
      </c>
      <c r="B99" s="96"/>
      <c r="C99" s="96"/>
      <c r="D99" s="96"/>
      <c r="E99" s="96"/>
      <c r="F99" s="96"/>
      <c r="G99" s="96"/>
      <c r="H99" s="96"/>
      <c r="I99" s="96"/>
      <c r="J99" s="96"/>
    </row>
    <row r="100" customFormat="false" ht="15" hidden="false" customHeight="true" outlineLevel="0" collapsed="false">
      <c r="A100" s="97" t="s">
        <v>973</v>
      </c>
      <c r="B100" s="97" t="s">
        <v>974</v>
      </c>
      <c r="C100" s="97" t="s">
        <v>975</v>
      </c>
      <c r="D100" s="97" t="s">
        <v>976</v>
      </c>
      <c r="E100" s="97" t="s">
        <v>454</v>
      </c>
      <c r="F100" s="97" t="s">
        <v>290</v>
      </c>
    </row>
    <row r="101" customFormat="false" ht="15" hidden="false" customHeight="true" outlineLevel="0" collapsed="false">
      <c r="A101" s="72" t="s">
        <v>368</v>
      </c>
      <c r="B101" s="72" t="s">
        <v>977</v>
      </c>
      <c r="C101" s="72" t="s">
        <v>978</v>
      </c>
      <c r="D101" s="72" t="s">
        <v>979</v>
      </c>
      <c r="E101" s="72" t="s">
        <v>405</v>
      </c>
      <c r="F101" s="72" t="s">
        <v>980</v>
      </c>
    </row>
    <row r="102" customFormat="false" ht="15" hidden="false" customHeight="true" outlineLevel="0" collapsed="false">
      <c r="A102" s="74" t="s">
        <v>374</v>
      </c>
      <c r="B102" s="74" t="s">
        <v>981</v>
      </c>
      <c r="C102" s="74" t="s">
        <v>982</v>
      </c>
      <c r="D102" s="74" t="s">
        <v>983</v>
      </c>
      <c r="E102" s="74" t="s">
        <v>405</v>
      </c>
      <c r="F102" s="74" t="s">
        <v>980</v>
      </c>
    </row>
    <row r="103" customFormat="false" ht="15" hidden="false" customHeight="true" outlineLevel="0" collapsed="false">
      <c r="A103" s="72" t="s">
        <v>380</v>
      </c>
      <c r="B103" s="72" t="s">
        <v>984</v>
      </c>
      <c r="C103" s="72" t="s">
        <v>985</v>
      </c>
      <c r="D103" s="72" t="s">
        <v>986</v>
      </c>
      <c r="E103" s="72" t="s">
        <v>405</v>
      </c>
      <c r="F103" s="72" t="s">
        <v>980</v>
      </c>
    </row>
    <row r="104" customFormat="false" ht="15" hidden="false" customHeight="true" outlineLevel="0" collapsed="false">
      <c r="A104" s="74" t="s">
        <v>385</v>
      </c>
      <c r="B104" s="74" t="s">
        <v>987</v>
      </c>
      <c r="C104" s="74" t="s">
        <v>988</v>
      </c>
      <c r="D104" s="74" t="s">
        <v>989</v>
      </c>
      <c r="E104" s="74" t="s">
        <v>405</v>
      </c>
      <c r="F104" s="74" t="s">
        <v>980</v>
      </c>
    </row>
    <row r="105" customFormat="false" ht="23.25" hidden="false" customHeight="true" outlineLevel="0" collapsed="false">
      <c r="A105" s="72" t="s">
        <v>389</v>
      </c>
      <c r="B105" s="72" t="s">
        <v>990</v>
      </c>
      <c r="C105" s="72" t="s">
        <v>991</v>
      </c>
      <c r="D105" s="72" t="s">
        <v>992</v>
      </c>
      <c r="E105" s="72" t="s">
        <v>993</v>
      </c>
      <c r="F105" s="72" t="s">
        <v>980</v>
      </c>
    </row>
    <row r="106" customFormat="false" ht="15" hidden="false" customHeight="true" outlineLevel="0" collapsed="false">
      <c r="A106" s="74" t="s">
        <v>394</v>
      </c>
      <c r="B106" s="74" t="s">
        <v>994</v>
      </c>
      <c r="C106" s="74" t="s">
        <v>995</v>
      </c>
      <c r="D106" s="74" t="s">
        <v>996</v>
      </c>
      <c r="E106" s="74" t="s">
        <v>993</v>
      </c>
      <c r="F106" s="74" t="s">
        <v>980</v>
      </c>
    </row>
    <row r="107" customFormat="false" ht="15" hidden="false" customHeight="true" outlineLevel="0" collapsed="false">
      <c r="A107" s="72" t="s">
        <v>397</v>
      </c>
      <c r="B107" s="72" t="s">
        <v>997</v>
      </c>
      <c r="C107" s="72" t="s">
        <v>998</v>
      </c>
      <c r="D107" s="72" t="s">
        <v>996</v>
      </c>
      <c r="E107" s="72" t="s">
        <v>993</v>
      </c>
      <c r="F107" s="72" t="s">
        <v>980</v>
      </c>
    </row>
    <row r="108" customFormat="false" ht="23.25" hidden="false" customHeight="true" outlineLevel="0" collapsed="false">
      <c r="A108" s="74" t="s">
        <v>401</v>
      </c>
      <c r="B108" s="74" t="s">
        <v>999</v>
      </c>
      <c r="C108" s="74" t="s">
        <v>1000</v>
      </c>
      <c r="D108" s="74" t="s">
        <v>996</v>
      </c>
      <c r="E108" s="74" t="s">
        <v>1001</v>
      </c>
      <c r="F108" s="74" t="s">
        <v>980</v>
      </c>
    </row>
    <row r="109" customFormat="false" ht="23.25" hidden="false" customHeight="true" outlineLevel="0" collapsed="false">
      <c r="A109" s="72" t="s">
        <v>408</v>
      </c>
      <c r="B109" s="72" t="s">
        <v>1002</v>
      </c>
      <c r="C109" s="72" t="s">
        <v>1003</v>
      </c>
      <c r="D109" s="72" t="s">
        <v>996</v>
      </c>
      <c r="E109" s="72" t="s">
        <v>1001</v>
      </c>
      <c r="F109" s="72" t="s">
        <v>980</v>
      </c>
    </row>
    <row r="110" customFormat="false" ht="23.25" hidden="false" customHeight="true" outlineLevel="0" collapsed="false">
      <c r="A110" s="74" t="s">
        <v>413</v>
      </c>
      <c r="B110" s="74" t="s">
        <v>1004</v>
      </c>
      <c r="C110" s="74" t="s">
        <v>1005</v>
      </c>
      <c r="D110" s="74" t="s">
        <v>996</v>
      </c>
      <c r="E110" s="74" t="s">
        <v>1001</v>
      </c>
      <c r="F110" s="74" t="s">
        <v>980</v>
      </c>
    </row>
    <row r="111" customFormat="false" ht="15" hidden="false" customHeight="true" outlineLevel="0" collapsed="false">
      <c r="A111" s="72" t="s">
        <v>420</v>
      </c>
      <c r="B111" s="72" t="s">
        <v>1006</v>
      </c>
      <c r="C111" s="72" t="s">
        <v>1007</v>
      </c>
      <c r="D111" s="72" t="s">
        <v>996</v>
      </c>
      <c r="E111" s="72" t="s">
        <v>993</v>
      </c>
      <c r="F111" s="72" t="s">
        <v>980</v>
      </c>
    </row>
    <row r="112" customFormat="false" ht="23.25" hidden="false" customHeight="true" outlineLevel="0" collapsed="false">
      <c r="A112" s="74" t="s">
        <v>424</v>
      </c>
      <c r="B112" s="74" t="s">
        <v>1008</v>
      </c>
      <c r="C112" s="74" t="s">
        <v>1009</v>
      </c>
      <c r="D112" s="74" t="s">
        <v>1010</v>
      </c>
      <c r="E112" s="74" t="s">
        <v>1011</v>
      </c>
      <c r="F112" s="74" t="s">
        <v>980</v>
      </c>
    </row>
    <row r="113" customFormat="false" ht="23.25" hidden="false" customHeight="true" outlineLevel="0" collapsed="false">
      <c r="A113" s="72" t="s">
        <v>429</v>
      </c>
      <c r="B113" s="72" t="s">
        <v>1012</v>
      </c>
      <c r="C113" s="72" t="s">
        <v>1013</v>
      </c>
      <c r="D113" s="72" t="s">
        <v>1014</v>
      </c>
      <c r="E113" s="72" t="s">
        <v>1011</v>
      </c>
      <c r="F113" s="72" t="s">
        <v>980</v>
      </c>
    </row>
    <row r="115" customFormat="false" ht="15" hidden="false" customHeight="true" outlineLevel="0" collapsed="false">
      <c r="A115" s="96" t="s">
        <v>1015</v>
      </c>
      <c r="B115" s="96"/>
      <c r="C115" s="96"/>
      <c r="D115" s="96"/>
      <c r="E115" s="96"/>
      <c r="F115" s="96"/>
      <c r="G115" s="96"/>
      <c r="H115" s="96"/>
      <c r="I115" s="96"/>
      <c r="J115" s="96"/>
    </row>
    <row r="116" customFormat="false" ht="15" hidden="false" customHeight="true" outlineLevel="0" collapsed="false">
      <c r="A116" s="97" t="s">
        <v>1016</v>
      </c>
      <c r="B116" s="97" t="s">
        <v>1017</v>
      </c>
      <c r="C116" s="97" t="s">
        <v>3</v>
      </c>
      <c r="D116" s="97" t="s">
        <v>350</v>
      </c>
      <c r="E116" s="97" t="s">
        <v>1018</v>
      </c>
      <c r="F116" s="97" t="s">
        <v>1019</v>
      </c>
      <c r="G116" s="97" t="s">
        <v>1020</v>
      </c>
    </row>
    <row r="117" customFormat="false" ht="34.5" hidden="false" customHeight="true" outlineLevel="0" collapsed="false">
      <c r="A117" s="72" t="s">
        <v>1021</v>
      </c>
      <c r="B117" s="72" t="s">
        <v>1022</v>
      </c>
      <c r="C117" s="72" t="s">
        <v>153</v>
      </c>
      <c r="D117" s="72" t="s">
        <v>1023</v>
      </c>
      <c r="E117" s="72" t="s">
        <v>1024</v>
      </c>
      <c r="F117" s="72" t="s">
        <v>1025</v>
      </c>
      <c r="G117" s="72" t="s">
        <v>1026</v>
      </c>
    </row>
    <row r="118" customFormat="false" ht="34.5" hidden="false" customHeight="true" outlineLevel="0" collapsed="false">
      <c r="A118" s="74" t="s">
        <v>1027</v>
      </c>
      <c r="B118" s="74" t="s">
        <v>1028</v>
      </c>
      <c r="C118" s="74" t="s">
        <v>195</v>
      </c>
      <c r="D118" s="74" t="s">
        <v>1023</v>
      </c>
      <c r="E118" s="74" t="s">
        <v>1029</v>
      </c>
      <c r="F118" s="74" t="s">
        <v>1030</v>
      </c>
      <c r="G118" s="74" t="s">
        <v>1031</v>
      </c>
    </row>
    <row r="119" customFormat="false" ht="23.25" hidden="false" customHeight="true" outlineLevel="0" collapsed="false">
      <c r="A119" s="72" t="s">
        <v>1032</v>
      </c>
      <c r="B119" s="72" t="s">
        <v>1033</v>
      </c>
      <c r="C119" s="72" t="s">
        <v>195</v>
      </c>
      <c r="D119" s="72" t="s">
        <v>1034</v>
      </c>
      <c r="E119" s="72" t="s">
        <v>1035</v>
      </c>
      <c r="F119" s="72" t="s">
        <v>1030</v>
      </c>
      <c r="G119" s="72" t="s">
        <v>1031</v>
      </c>
    </row>
    <row r="120" customFormat="false" ht="34.5" hidden="false" customHeight="true" outlineLevel="0" collapsed="false">
      <c r="A120" s="74" t="s">
        <v>1036</v>
      </c>
      <c r="B120" s="74" t="s">
        <v>1037</v>
      </c>
      <c r="C120" s="74" t="s">
        <v>233</v>
      </c>
      <c r="D120" s="74" t="s">
        <v>1023</v>
      </c>
      <c r="E120" s="74" t="s">
        <v>1038</v>
      </c>
      <c r="F120" s="74" t="s">
        <v>1039</v>
      </c>
      <c r="G120" s="74" t="s">
        <v>1040</v>
      </c>
    </row>
    <row r="121" customFormat="false" ht="34.5" hidden="false" customHeight="true" outlineLevel="0" collapsed="false">
      <c r="A121" s="72" t="s">
        <v>1041</v>
      </c>
      <c r="B121" s="72" t="s">
        <v>1042</v>
      </c>
      <c r="C121" s="72" t="s">
        <v>243</v>
      </c>
      <c r="D121" s="72" t="s">
        <v>1023</v>
      </c>
      <c r="E121" s="72" t="s">
        <v>1043</v>
      </c>
      <c r="F121" s="72" t="s">
        <v>1039</v>
      </c>
      <c r="G121" s="72" t="s">
        <v>1044</v>
      </c>
    </row>
    <row r="122" customFormat="false" ht="23.25" hidden="false" customHeight="true" outlineLevel="0" collapsed="false">
      <c r="A122" s="74" t="s">
        <v>1045</v>
      </c>
      <c r="B122" s="74" t="s">
        <v>1046</v>
      </c>
      <c r="C122" s="74" t="s">
        <v>326</v>
      </c>
      <c r="D122" s="74" t="s">
        <v>1047</v>
      </c>
      <c r="E122" s="74" t="s">
        <v>1048</v>
      </c>
      <c r="F122" s="74" t="s">
        <v>1049</v>
      </c>
      <c r="G122" s="74" t="s">
        <v>1050</v>
      </c>
    </row>
    <row r="123" customFormat="false" ht="23.25" hidden="false" customHeight="true" outlineLevel="0" collapsed="false">
      <c r="A123" s="72" t="s">
        <v>1051</v>
      </c>
      <c r="B123" s="72" t="s">
        <v>1052</v>
      </c>
      <c r="C123" s="72" t="s">
        <v>153</v>
      </c>
      <c r="D123" s="72" t="s">
        <v>1053</v>
      </c>
      <c r="E123" s="72" t="s">
        <v>1054</v>
      </c>
      <c r="F123" s="72" t="s">
        <v>1055</v>
      </c>
      <c r="G123" s="72" t="s">
        <v>1026</v>
      </c>
    </row>
    <row r="124" customFormat="false" ht="23.25" hidden="false" customHeight="true" outlineLevel="0" collapsed="false">
      <c r="A124" s="74" t="s">
        <v>1056</v>
      </c>
      <c r="B124" s="74" t="s">
        <v>1057</v>
      </c>
      <c r="C124" s="74" t="s">
        <v>195</v>
      </c>
      <c r="D124" s="74" t="s">
        <v>1053</v>
      </c>
      <c r="E124" s="74" t="s">
        <v>1058</v>
      </c>
      <c r="F124" s="74" t="s">
        <v>1055</v>
      </c>
      <c r="G124" s="74" t="s">
        <v>1031</v>
      </c>
    </row>
    <row r="126" customFormat="false" ht="15" hidden="false" customHeight="false" outlineLevel="0" collapsed="false">
      <c r="A126" s="6" t="s">
        <v>1059</v>
      </c>
    </row>
    <row r="127" customFormat="false" ht="15" hidden="false" customHeight="false" outlineLevel="0" collapsed="false">
      <c r="A127" s="3" t="s">
        <v>1060</v>
      </c>
      <c r="B127" s="3" t="s">
        <v>1061</v>
      </c>
      <c r="C127" s="3" t="s">
        <v>975</v>
      </c>
      <c r="D127" s="3" t="s">
        <v>1062</v>
      </c>
      <c r="E127" s="3" t="s">
        <v>1063</v>
      </c>
      <c r="F127" s="3" t="s">
        <v>1064</v>
      </c>
      <c r="G127" s="3" t="s">
        <v>1065</v>
      </c>
    </row>
    <row r="128" customFormat="false" ht="35.05" hidden="false" customHeight="false" outlineLevel="0" collapsed="false">
      <c r="A128" s="4" t="s">
        <v>1066</v>
      </c>
      <c r="B128" s="4" t="s">
        <v>1067</v>
      </c>
      <c r="C128" s="4" t="s">
        <v>1068</v>
      </c>
      <c r="D128" s="4" t="s">
        <v>1069</v>
      </c>
      <c r="E128" s="4" t="s">
        <v>1070</v>
      </c>
      <c r="F128" s="4" t="s">
        <v>1071</v>
      </c>
      <c r="G128" s="4" t="s">
        <v>488</v>
      </c>
    </row>
    <row r="129" customFormat="false" ht="35.05" hidden="false" customHeight="false" outlineLevel="0" collapsed="false">
      <c r="A129" s="5" t="s">
        <v>1072</v>
      </c>
      <c r="B129" s="5" t="s">
        <v>1073</v>
      </c>
      <c r="C129" s="5" t="s">
        <v>1074</v>
      </c>
      <c r="D129" s="5" t="s">
        <v>1075</v>
      </c>
      <c r="E129" s="5" t="s">
        <v>1076</v>
      </c>
      <c r="F129" s="5" t="s">
        <v>1077</v>
      </c>
      <c r="G129" s="5" t="s">
        <v>488</v>
      </c>
    </row>
    <row r="130" customFormat="false" ht="35.05" hidden="false" customHeight="false" outlineLevel="0" collapsed="false">
      <c r="A130" s="4" t="s">
        <v>1078</v>
      </c>
      <c r="B130" s="4" t="s">
        <v>1079</v>
      </c>
      <c r="C130" s="4" t="s">
        <v>1080</v>
      </c>
      <c r="D130" s="4" t="s">
        <v>1081</v>
      </c>
      <c r="E130" s="4" t="s">
        <v>1082</v>
      </c>
      <c r="F130" s="4" t="s">
        <v>1083</v>
      </c>
      <c r="G130" s="4" t="s">
        <v>488</v>
      </c>
    </row>
    <row r="131" customFormat="false" ht="35.05" hidden="false" customHeight="false" outlineLevel="0" collapsed="false">
      <c r="A131" s="5" t="s">
        <v>1084</v>
      </c>
      <c r="B131" s="5" t="s">
        <v>1085</v>
      </c>
      <c r="C131" s="5" t="s">
        <v>1086</v>
      </c>
      <c r="D131" s="5" t="s">
        <v>1081</v>
      </c>
      <c r="E131" s="5" t="s">
        <v>1087</v>
      </c>
      <c r="F131" s="5" t="s">
        <v>1088</v>
      </c>
      <c r="G131" s="5" t="s">
        <v>488</v>
      </c>
    </row>
    <row r="132" customFormat="false" ht="35.05" hidden="false" customHeight="false" outlineLevel="0" collapsed="false">
      <c r="A132" s="4" t="s">
        <v>1089</v>
      </c>
      <c r="B132" s="4" t="s">
        <v>1090</v>
      </c>
      <c r="C132" s="4" t="s">
        <v>1091</v>
      </c>
      <c r="D132" s="4" t="s">
        <v>1081</v>
      </c>
      <c r="E132" s="4" t="s">
        <v>1092</v>
      </c>
      <c r="F132" s="4" t="s">
        <v>1093</v>
      </c>
      <c r="G132" s="4" t="s">
        <v>488</v>
      </c>
    </row>
    <row r="133" customFormat="false" ht="35.05" hidden="false" customHeight="false" outlineLevel="0" collapsed="false">
      <c r="A133" s="5" t="s">
        <v>1094</v>
      </c>
      <c r="B133" s="5" t="s">
        <v>1095</v>
      </c>
      <c r="C133" s="5" t="s">
        <v>1096</v>
      </c>
      <c r="D133" s="5" t="s">
        <v>1081</v>
      </c>
      <c r="E133" s="5" t="s">
        <v>1097</v>
      </c>
      <c r="F133" s="5" t="s">
        <v>1098</v>
      </c>
      <c r="G133" s="5" t="s">
        <v>488</v>
      </c>
    </row>
    <row r="134" customFormat="false" ht="15" hidden="false" customHeight="false" outlineLevel="0" collapsed="false">
      <c r="A134" s="4" t="s">
        <v>1099</v>
      </c>
      <c r="B134" s="4" t="s">
        <v>1100</v>
      </c>
      <c r="C134" s="4" t="s">
        <v>1101</v>
      </c>
      <c r="D134" s="4" t="s">
        <v>1102</v>
      </c>
      <c r="E134" s="4" t="s">
        <v>428</v>
      </c>
      <c r="F134" s="4" t="s">
        <v>428</v>
      </c>
      <c r="G134" s="4" t="s">
        <v>488</v>
      </c>
    </row>
    <row r="137" customFormat="false" ht="15" hidden="false" customHeight="false" outlineLevel="0" collapsed="false">
      <c r="A137" s="6" t="s">
        <v>1103</v>
      </c>
    </row>
    <row r="138" customFormat="false" ht="15" hidden="false" customHeight="false" outlineLevel="0" collapsed="false">
      <c r="A138" s="3" t="s">
        <v>1104</v>
      </c>
      <c r="B138" s="3" t="s">
        <v>1105</v>
      </c>
      <c r="C138" s="3" t="s">
        <v>1106</v>
      </c>
      <c r="D138" s="3" t="s">
        <v>1107</v>
      </c>
      <c r="E138" s="3" t="s">
        <v>938</v>
      </c>
      <c r="F138" s="3" t="s">
        <v>729</v>
      </c>
      <c r="G138" s="3" t="s">
        <v>1108</v>
      </c>
    </row>
    <row r="139" customFormat="false" ht="23.85" hidden="false" customHeight="false" outlineLevel="0" collapsed="false">
      <c r="A139" s="4" t="s">
        <v>1109</v>
      </c>
      <c r="B139" s="4" t="s">
        <v>1110</v>
      </c>
      <c r="C139" s="4" t="s">
        <v>1111</v>
      </c>
      <c r="D139" s="4" t="s">
        <v>1112</v>
      </c>
      <c r="E139" s="4" t="s">
        <v>1113</v>
      </c>
      <c r="F139" s="4" t="s">
        <v>1114</v>
      </c>
      <c r="G139" s="4" t="s">
        <v>1115</v>
      </c>
    </row>
    <row r="140" customFormat="false" ht="23.85" hidden="false" customHeight="false" outlineLevel="0" collapsed="false">
      <c r="A140" s="5" t="s">
        <v>1109</v>
      </c>
      <c r="B140" s="5" t="s">
        <v>1116</v>
      </c>
      <c r="C140" s="5" t="s">
        <v>1117</v>
      </c>
      <c r="D140" s="5" t="s">
        <v>1118</v>
      </c>
      <c r="E140" s="5" t="s">
        <v>1119</v>
      </c>
      <c r="F140" s="5" t="s">
        <v>1114</v>
      </c>
      <c r="G140" s="5" t="s">
        <v>1115</v>
      </c>
    </row>
    <row r="141" customFormat="false" ht="23.85" hidden="false" customHeight="false" outlineLevel="0" collapsed="false">
      <c r="A141" s="4" t="s">
        <v>1120</v>
      </c>
      <c r="B141" s="4" t="s">
        <v>1121</v>
      </c>
      <c r="C141" s="4" t="s">
        <v>1122</v>
      </c>
      <c r="D141" s="4" t="s">
        <v>1123</v>
      </c>
      <c r="E141" s="4" t="s">
        <v>1124</v>
      </c>
      <c r="F141" s="4" t="s">
        <v>1125</v>
      </c>
      <c r="G141" s="4" t="s">
        <v>1126</v>
      </c>
    </row>
    <row r="142" customFormat="false" ht="23.85" hidden="false" customHeight="false" outlineLevel="0" collapsed="false">
      <c r="A142" s="5" t="s">
        <v>1120</v>
      </c>
      <c r="B142" s="5" t="s">
        <v>1127</v>
      </c>
      <c r="C142" s="5" t="s">
        <v>1128</v>
      </c>
      <c r="D142" s="5" t="s">
        <v>1129</v>
      </c>
      <c r="E142" s="5" t="s">
        <v>1130</v>
      </c>
      <c r="F142" s="5" t="s">
        <v>1131</v>
      </c>
      <c r="G142" s="5" t="s">
        <v>1126</v>
      </c>
    </row>
    <row r="143" customFormat="false" ht="23.85" hidden="false" customHeight="false" outlineLevel="0" collapsed="false">
      <c r="A143" s="4" t="s">
        <v>1132</v>
      </c>
      <c r="B143" s="4" t="s">
        <v>576</v>
      </c>
      <c r="C143" s="4" t="s">
        <v>1133</v>
      </c>
      <c r="D143" s="4" t="s">
        <v>1134</v>
      </c>
      <c r="E143" s="4" t="s">
        <v>1135</v>
      </c>
      <c r="F143" s="4" t="s">
        <v>1136</v>
      </c>
      <c r="G143" s="4" t="s">
        <v>1137</v>
      </c>
    </row>
    <row r="144" customFormat="false" ht="23.85" hidden="false" customHeight="false" outlineLevel="0" collapsed="false">
      <c r="A144" s="5" t="s">
        <v>1132</v>
      </c>
      <c r="B144" s="5" t="s">
        <v>1138</v>
      </c>
      <c r="C144" s="5" t="s">
        <v>1139</v>
      </c>
      <c r="D144" s="5" t="s">
        <v>1140</v>
      </c>
      <c r="E144" s="5" t="s">
        <v>1141</v>
      </c>
      <c r="F144" s="5" t="s">
        <v>1142</v>
      </c>
      <c r="G144" s="5" t="s">
        <v>1143</v>
      </c>
    </row>
    <row r="145" customFormat="false" ht="23.85" hidden="false" customHeight="false" outlineLevel="0" collapsed="false">
      <c r="A145" s="4" t="s">
        <v>1144</v>
      </c>
      <c r="B145" s="4" t="s">
        <v>1145</v>
      </c>
      <c r="C145" s="4" t="s">
        <v>1146</v>
      </c>
      <c r="D145" s="4" t="s">
        <v>1147</v>
      </c>
      <c r="E145" s="4" t="s">
        <v>1148</v>
      </c>
      <c r="F145" s="4" t="s">
        <v>1149</v>
      </c>
      <c r="G145" s="4" t="s">
        <v>1150</v>
      </c>
    </row>
    <row r="146" customFormat="false" ht="23.85" hidden="false" customHeight="false" outlineLevel="0" collapsed="false">
      <c r="A146" s="5" t="s">
        <v>1151</v>
      </c>
      <c r="B146" s="5" t="s">
        <v>1152</v>
      </c>
      <c r="C146" s="5" t="s">
        <v>1117</v>
      </c>
      <c r="D146" s="5" t="s">
        <v>1153</v>
      </c>
      <c r="E146" s="5" t="s">
        <v>1154</v>
      </c>
      <c r="F146" s="5" t="s">
        <v>1114</v>
      </c>
      <c r="G146" s="5" t="s">
        <v>1155</v>
      </c>
    </row>
  </sheetData>
  <mergeCells count="7">
    <mergeCell ref="A1:J1"/>
    <mergeCell ref="A3:J3"/>
    <mergeCell ref="A26:J26"/>
    <mergeCell ref="A55:J55"/>
    <mergeCell ref="A74:J74"/>
    <mergeCell ref="A99:J99"/>
    <mergeCell ref="A115:J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2" width="24"/>
    <col collapsed="false" customWidth="true" hidden="false" outlineLevel="0" max="9" min="9" style="0" width="24"/>
  </cols>
  <sheetData>
    <row r="1" customFormat="false" ht="15" hidden="false" customHeight="true" outlineLevel="0" collapsed="false">
      <c r="A1" s="100" t="s">
        <v>1156</v>
      </c>
      <c r="B1" s="100"/>
      <c r="C1" s="100"/>
      <c r="D1" s="100"/>
      <c r="E1" s="100"/>
      <c r="F1" s="100"/>
      <c r="G1" s="100"/>
      <c r="H1" s="100"/>
    </row>
    <row r="3" customFormat="false" ht="15" hidden="false" customHeight="true" outlineLevel="0" collapsed="false">
      <c r="A3" s="101" t="s">
        <v>1157</v>
      </c>
      <c r="B3" s="101"/>
      <c r="C3" s="101"/>
      <c r="D3" s="101"/>
      <c r="E3" s="101"/>
      <c r="F3" s="101"/>
      <c r="G3" s="101"/>
      <c r="H3" s="101"/>
    </row>
    <row r="4" customFormat="false" ht="15" hidden="false" customHeight="true" outlineLevel="0" collapsed="false">
      <c r="A4" s="102" t="s">
        <v>808</v>
      </c>
      <c r="B4" s="102" t="s">
        <v>1158</v>
      </c>
      <c r="C4" s="102" t="s">
        <v>1159</v>
      </c>
      <c r="D4" s="102" t="s">
        <v>1160</v>
      </c>
      <c r="E4" s="102" t="s">
        <v>1161</v>
      </c>
      <c r="F4" s="102" t="s">
        <v>1016</v>
      </c>
      <c r="G4" s="102" t="s">
        <v>1162</v>
      </c>
      <c r="H4" s="102" t="s">
        <v>1163</v>
      </c>
    </row>
    <row r="5" customFormat="false" ht="23.25" hidden="false" customHeight="true" outlineLevel="0" collapsed="false">
      <c r="A5" s="72" t="s">
        <v>1164</v>
      </c>
      <c r="B5" s="72" t="s">
        <v>1165</v>
      </c>
      <c r="C5" s="72" t="s">
        <v>1166</v>
      </c>
      <c r="D5" s="72" t="s">
        <v>1167</v>
      </c>
      <c r="E5" s="72" t="n">
        <f aca="false">0.38*'1. Input'!B15*0.25/6</f>
        <v>134583333.333333</v>
      </c>
      <c r="F5" s="72" t="s">
        <v>1021</v>
      </c>
      <c r="G5" s="72" t="s">
        <v>1168</v>
      </c>
      <c r="H5" s="72" t="s">
        <v>1169</v>
      </c>
    </row>
    <row r="6" customFormat="false" ht="23.25" hidden="false" customHeight="true" outlineLevel="0" collapsed="false">
      <c r="A6" s="74" t="s">
        <v>1170</v>
      </c>
      <c r="B6" s="74" t="s">
        <v>1165</v>
      </c>
      <c r="C6" s="74" t="s">
        <v>1171</v>
      </c>
      <c r="D6" s="74" t="s">
        <v>1172</v>
      </c>
      <c r="E6" s="74" t="n">
        <f aca="false">0.38*'1. Input'!B15*0.12/6</f>
        <v>64600000</v>
      </c>
      <c r="F6" s="74" t="s">
        <v>1051</v>
      </c>
      <c r="G6" s="74" t="s">
        <v>1168</v>
      </c>
      <c r="H6" s="74" t="s">
        <v>1173</v>
      </c>
    </row>
    <row r="7" customFormat="false" ht="23.25" hidden="false" customHeight="true" outlineLevel="0" collapsed="false">
      <c r="A7" s="72" t="s">
        <v>1174</v>
      </c>
      <c r="B7" s="72" t="s">
        <v>1165</v>
      </c>
      <c r="C7" s="72" t="s">
        <v>1175</v>
      </c>
      <c r="D7" s="72" t="s">
        <v>1176</v>
      </c>
      <c r="E7" s="72" t="n">
        <f aca="false">0.38*'1. Input'!B15*0.18/6</f>
        <v>96900000</v>
      </c>
      <c r="F7" s="72" t="s">
        <v>1027</v>
      </c>
      <c r="G7" s="72" t="s">
        <v>1177</v>
      </c>
      <c r="H7" s="72" t="s">
        <v>1173</v>
      </c>
    </row>
    <row r="8" customFormat="false" ht="15" hidden="false" customHeight="true" outlineLevel="0" collapsed="false">
      <c r="A8" s="74" t="s">
        <v>1178</v>
      </c>
      <c r="B8" s="74" t="s">
        <v>1165</v>
      </c>
      <c r="C8" s="74" t="s">
        <v>1179</v>
      </c>
      <c r="D8" s="74" t="s">
        <v>1180</v>
      </c>
      <c r="E8" s="74" t="n">
        <f aca="false">0.38*'1. Input'!B15*0.15/6</f>
        <v>80750000</v>
      </c>
      <c r="F8" s="74" t="s">
        <v>1032</v>
      </c>
      <c r="G8" s="74" t="s">
        <v>1177</v>
      </c>
      <c r="H8" s="74" t="s">
        <v>1181</v>
      </c>
    </row>
    <row r="9" customFormat="false" ht="15" hidden="false" customHeight="true" outlineLevel="0" collapsed="false">
      <c r="A9" s="72" t="s">
        <v>1182</v>
      </c>
      <c r="B9" s="72" t="s">
        <v>1165</v>
      </c>
      <c r="C9" s="72" t="s">
        <v>1183</v>
      </c>
      <c r="D9" s="72" t="s">
        <v>1184</v>
      </c>
      <c r="E9" s="72" t="n">
        <f aca="false">0.38*'1. Input'!B15*0.08/6</f>
        <v>43066666.6666667</v>
      </c>
      <c r="F9" s="72" t="s">
        <v>1056</v>
      </c>
      <c r="G9" s="72" t="s">
        <v>1177</v>
      </c>
      <c r="H9" s="72" t="s">
        <v>1181</v>
      </c>
    </row>
    <row r="10" customFormat="false" ht="23.25" hidden="false" customHeight="true" outlineLevel="0" collapsed="false">
      <c r="A10" s="74" t="s">
        <v>1185</v>
      </c>
      <c r="B10" s="74" t="s">
        <v>1186</v>
      </c>
      <c r="C10" s="74" t="s">
        <v>1187</v>
      </c>
      <c r="D10" s="74" t="s">
        <v>1188</v>
      </c>
      <c r="E10" s="74" t="n">
        <f aca="false">0.38*'1. Input'!B15*0.2/6</f>
        <v>107666666.666667</v>
      </c>
      <c r="F10" s="74" t="s">
        <v>1036</v>
      </c>
      <c r="G10" s="74" t="s">
        <v>1189</v>
      </c>
      <c r="H10" s="74" t="s">
        <v>1190</v>
      </c>
    </row>
    <row r="11" customFormat="false" ht="23.25" hidden="false" customHeight="true" outlineLevel="0" collapsed="false">
      <c r="A11" s="72" t="s">
        <v>1191</v>
      </c>
      <c r="B11" s="72" t="s">
        <v>1186</v>
      </c>
      <c r="C11" s="72" t="s">
        <v>1192</v>
      </c>
      <c r="D11" s="72" t="s">
        <v>1193</v>
      </c>
      <c r="E11" s="72" t="n">
        <f aca="false">0.38*'1. Input'!B15*0.2/6</f>
        <v>107666666.666667</v>
      </c>
      <c r="F11" s="72" t="s">
        <v>1041</v>
      </c>
      <c r="G11" s="72" t="s">
        <v>1194</v>
      </c>
      <c r="H11" s="72" t="s">
        <v>1195</v>
      </c>
    </row>
    <row r="12" customFormat="false" ht="23.25" hidden="false" customHeight="true" outlineLevel="0" collapsed="false">
      <c r="A12" s="74" t="s">
        <v>1196</v>
      </c>
      <c r="B12" s="74" t="s">
        <v>1186</v>
      </c>
      <c r="C12" s="74" t="s">
        <v>1197</v>
      </c>
      <c r="D12" s="74" t="s">
        <v>1198</v>
      </c>
      <c r="E12" s="74" t="n">
        <f aca="false">0.12*'1. Input'!B15*0.5/6</f>
        <v>85000000</v>
      </c>
      <c r="F12" s="74" t="s">
        <v>1199</v>
      </c>
      <c r="G12" s="74" t="s">
        <v>1200</v>
      </c>
      <c r="H12" s="74" t="s">
        <v>1201</v>
      </c>
    </row>
    <row r="14" customFormat="false" ht="15" hidden="false" customHeight="true" outlineLevel="0" collapsed="false">
      <c r="A14" s="101" t="s">
        <v>1202</v>
      </c>
      <c r="B14" s="101"/>
      <c r="C14" s="101"/>
      <c r="D14" s="101"/>
      <c r="E14" s="101"/>
      <c r="F14" s="101"/>
      <c r="G14" s="101"/>
      <c r="H14" s="101"/>
    </row>
    <row r="15" customFormat="false" ht="15" hidden="false" customHeight="true" outlineLevel="0" collapsed="false">
      <c r="A15" s="102" t="s">
        <v>973</v>
      </c>
      <c r="B15" s="102" t="s">
        <v>974</v>
      </c>
      <c r="C15" s="102" t="s">
        <v>975</v>
      </c>
      <c r="D15" s="102" t="s">
        <v>1062</v>
      </c>
      <c r="E15" s="102" t="s">
        <v>454</v>
      </c>
      <c r="F15" s="102" t="s">
        <v>290</v>
      </c>
    </row>
    <row r="16" customFormat="false" ht="23.25" hidden="false" customHeight="true" outlineLevel="0" collapsed="false">
      <c r="A16" s="72" t="s">
        <v>368</v>
      </c>
      <c r="B16" s="72" t="s">
        <v>1203</v>
      </c>
      <c r="C16" s="72" t="s">
        <v>1204</v>
      </c>
      <c r="D16" s="72" t="s">
        <v>1205</v>
      </c>
      <c r="E16" s="72" t="s">
        <v>405</v>
      </c>
      <c r="F16" s="72" t="s">
        <v>980</v>
      </c>
    </row>
    <row r="17" customFormat="false" ht="23.25" hidden="false" customHeight="true" outlineLevel="0" collapsed="false">
      <c r="A17" s="74" t="s">
        <v>374</v>
      </c>
      <c r="B17" s="74" t="s">
        <v>1206</v>
      </c>
      <c r="C17" s="74" t="s">
        <v>1207</v>
      </c>
      <c r="D17" s="74" t="s">
        <v>1208</v>
      </c>
      <c r="E17" s="74" t="s">
        <v>405</v>
      </c>
      <c r="F17" s="74" t="s">
        <v>980</v>
      </c>
    </row>
    <row r="18" customFormat="false" ht="23.25" hidden="false" customHeight="true" outlineLevel="0" collapsed="false">
      <c r="A18" s="72" t="s">
        <v>380</v>
      </c>
      <c r="B18" s="72" t="s">
        <v>1209</v>
      </c>
      <c r="C18" s="72" t="s">
        <v>1210</v>
      </c>
      <c r="D18" s="72" t="s">
        <v>1211</v>
      </c>
      <c r="E18" s="72" t="s">
        <v>993</v>
      </c>
      <c r="F18" s="72" t="s">
        <v>980</v>
      </c>
    </row>
    <row r="19" customFormat="false" ht="23.25" hidden="false" customHeight="true" outlineLevel="0" collapsed="false">
      <c r="A19" s="74" t="s">
        <v>385</v>
      </c>
      <c r="B19" s="74" t="s">
        <v>1212</v>
      </c>
      <c r="C19" s="74" t="s">
        <v>1213</v>
      </c>
      <c r="D19" s="74" t="s">
        <v>1214</v>
      </c>
      <c r="E19" s="74" t="s">
        <v>993</v>
      </c>
      <c r="F19" s="74" t="s">
        <v>980</v>
      </c>
    </row>
    <row r="20" customFormat="false" ht="23.25" hidden="false" customHeight="true" outlineLevel="0" collapsed="false">
      <c r="A20" s="72" t="s">
        <v>389</v>
      </c>
      <c r="B20" s="72" t="s">
        <v>1215</v>
      </c>
      <c r="C20" s="72" t="s">
        <v>1216</v>
      </c>
      <c r="D20" s="72" t="s">
        <v>1217</v>
      </c>
      <c r="E20" s="72" t="s">
        <v>405</v>
      </c>
      <c r="F20" s="72" t="s">
        <v>980</v>
      </c>
    </row>
    <row r="21" customFormat="false" ht="23.25" hidden="false" customHeight="true" outlineLevel="0" collapsed="false">
      <c r="A21" s="74" t="s">
        <v>394</v>
      </c>
      <c r="B21" s="74" t="s">
        <v>1218</v>
      </c>
      <c r="C21" s="74" t="s">
        <v>1219</v>
      </c>
      <c r="D21" s="74" t="s">
        <v>1220</v>
      </c>
      <c r="E21" s="74" t="s">
        <v>993</v>
      </c>
      <c r="F21" s="74" t="s">
        <v>980</v>
      </c>
    </row>
    <row r="22" customFormat="false" ht="23.25" hidden="false" customHeight="true" outlineLevel="0" collapsed="false">
      <c r="A22" s="72" t="s">
        <v>397</v>
      </c>
      <c r="B22" s="72" t="s">
        <v>1221</v>
      </c>
      <c r="C22" s="72" t="s">
        <v>1222</v>
      </c>
      <c r="D22" s="72" t="s">
        <v>1211</v>
      </c>
      <c r="E22" s="72" t="s">
        <v>1001</v>
      </c>
      <c r="F22" s="72" t="s">
        <v>980</v>
      </c>
    </row>
    <row r="23" customFormat="false" ht="23.25" hidden="false" customHeight="true" outlineLevel="0" collapsed="false">
      <c r="A23" s="74" t="s">
        <v>401</v>
      </c>
      <c r="B23" s="74" t="s">
        <v>1223</v>
      </c>
      <c r="C23" s="74" t="s">
        <v>1224</v>
      </c>
      <c r="D23" s="74" t="s">
        <v>325</v>
      </c>
      <c r="E23" s="74" t="s">
        <v>1225</v>
      </c>
      <c r="F23" s="74" t="s">
        <v>980</v>
      </c>
    </row>
    <row r="25" customFormat="false" ht="15" hidden="false" customHeight="false" outlineLevel="0" collapsed="false">
      <c r="A25" s="6" t="s">
        <v>1226</v>
      </c>
    </row>
    <row r="26" customFormat="false" ht="15" hidden="false" customHeight="false" outlineLevel="0" collapsed="false">
      <c r="A26" s="3" t="s">
        <v>808</v>
      </c>
      <c r="B26" s="3" t="s">
        <v>1227</v>
      </c>
      <c r="C26" s="3" t="s">
        <v>1106</v>
      </c>
      <c r="D26" s="3" t="s">
        <v>1228</v>
      </c>
      <c r="E26" s="3" t="s">
        <v>938</v>
      </c>
      <c r="F26" s="3" t="s">
        <v>1229</v>
      </c>
      <c r="G26" s="3" t="s">
        <v>1230</v>
      </c>
      <c r="H26" s="3" t="s">
        <v>1231</v>
      </c>
      <c r="I26" s="3" t="s">
        <v>318</v>
      </c>
    </row>
    <row r="27" customFormat="false" ht="23.85" hidden="false" customHeight="false" outlineLevel="0" collapsed="false">
      <c r="A27" s="4" t="s">
        <v>1164</v>
      </c>
      <c r="B27" s="4" t="s">
        <v>1232</v>
      </c>
      <c r="C27" s="4" t="n">
        <v>3</v>
      </c>
      <c r="D27" s="4" t="s">
        <v>1233</v>
      </c>
      <c r="E27" s="4" t="s">
        <v>1234</v>
      </c>
      <c r="F27" s="4" t="s">
        <v>1235</v>
      </c>
      <c r="G27" s="4" t="s">
        <v>1236</v>
      </c>
      <c r="H27" s="4" t="s">
        <v>1237</v>
      </c>
      <c r="I27" s="4" t="s">
        <v>1238</v>
      </c>
    </row>
    <row r="28" customFormat="false" ht="35.05" hidden="false" customHeight="false" outlineLevel="0" collapsed="false">
      <c r="A28" s="5" t="s">
        <v>1164</v>
      </c>
      <c r="B28" s="5" t="s">
        <v>1239</v>
      </c>
      <c r="C28" s="5" t="n">
        <v>2</v>
      </c>
      <c r="D28" s="5" t="s">
        <v>1240</v>
      </c>
      <c r="E28" s="5" t="s">
        <v>1241</v>
      </c>
      <c r="F28" s="5" t="s">
        <v>1242</v>
      </c>
      <c r="G28" s="5" t="s">
        <v>1126</v>
      </c>
      <c r="H28" s="5" t="s">
        <v>1243</v>
      </c>
      <c r="I28" s="5" t="s">
        <v>1244</v>
      </c>
    </row>
    <row r="29" customFormat="false" ht="23.85" hidden="false" customHeight="false" outlineLevel="0" collapsed="false">
      <c r="A29" s="4" t="s">
        <v>1164</v>
      </c>
      <c r="B29" s="4" t="s">
        <v>1245</v>
      </c>
      <c r="C29" s="4" t="n">
        <v>2</v>
      </c>
      <c r="D29" s="4" t="s">
        <v>1240</v>
      </c>
      <c r="E29" s="4" t="s">
        <v>1246</v>
      </c>
      <c r="F29" s="4" t="s">
        <v>1247</v>
      </c>
      <c r="G29" s="4" t="s">
        <v>1248</v>
      </c>
      <c r="H29" s="4" t="s">
        <v>1249</v>
      </c>
      <c r="I29" s="4" t="s">
        <v>1250</v>
      </c>
    </row>
    <row r="30" customFormat="false" ht="23.85" hidden="false" customHeight="false" outlineLevel="0" collapsed="false">
      <c r="A30" s="5" t="s">
        <v>1174</v>
      </c>
      <c r="B30" s="5" t="s">
        <v>1251</v>
      </c>
      <c r="C30" s="5" t="n">
        <v>2</v>
      </c>
      <c r="D30" s="5" t="s">
        <v>1252</v>
      </c>
      <c r="E30" s="5" t="s">
        <v>1253</v>
      </c>
      <c r="F30" s="5" t="s">
        <v>1254</v>
      </c>
      <c r="G30" s="5" t="s">
        <v>1126</v>
      </c>
      <c r="H30" s="5" t="s">
        <v>1255</v>
      </c>
      <c r="I30" s="5" t="s">
        <v>1256</v>
      </c>
    </row>
    <row r="31" customFormat="false" ht="35.05" hidden="false" customHeight="false" outlineLevel="0" collapsed="false">
      <c r="A31" s="4" t="s">
        <v>1174</v>
      </c>
      <c r="B31" s="4" t="s">
        <v>1257</v>
      </c>
      <c r="C31" s="4" t="n">
        <v>2</v>
      </c>
      <c r="D31" s="4" t="s">
        <v>1240</v>
      </c>
      <c r="E31" s="4" t="s">
        <v>1258</v>
      </c>
      <c r="F31" s="4" t="s">
        <v>1259</v>
      </c>
      <c r="G31" s="4" t="s">
        <v>1126</v>
      </c>
      <c r="H31" s="4" t="s">
        <v>1260</v>
      </c>
      <c r="I31" s="4" t="s">
        <v>1261</v>
      </c>
    </row>
    <row r="32" customFormat="false" ht="35.05" hidden="false" customHeight="false" outlineLevel="0" collapsed="false">
      <c r="A32" s="5" t="s">
        <v>1178</v>
      </c>
      <c r="B32" s="5" t="s">
        <v>1262</v>
      </c>
      <c r="C32" s="5" t="n">
        <v>3</v>
      </c>
      <c r="D32" s="5" t="s">
        <v>1240</v>
      </c>
      <c r="E32" s="5" t="s">
        <v>1263</v>
      </c>
      <c r="F32" s="5" t="s">
        <v>1264</v>
      </c>
      <c r="G32" s="5" t="s">
        <v>1236</v>
      </c>
      <c r="H32" s="5" t="s">
        <v>1265</v>
      </c>
      <c r="I32" s="5" t="s">
        <v>1266</v>
      </c>
    </row>
    <row r="33" customFormat="false" ht="23.85" hidden="false" customHeight="false" outlineLevel="0" collapsed="false">
      <c r="A33" s="4" t="s">
        <v>1267</v>
      </c>
      <c r="B33" s="4" t="s">
        <v>1268</v>
      </c>
      <c r="C33" s="4" t="n">
        <v>3</v>
      </c>
      <c r="D33" s="4" t="s">
        <v>1252</v>
      </c>
      <c r="E33" s="4" t="s">
        <v>1269</v>
      </c>
      <c r="F33" s="4" t="s">
        <v>1270</v>
      </c>
      <c r="G33" s="4" t="s">
        <v>1236</v>
      </c>
      <c r="H33" s="4" t="s">
        <v>1271</v>
      </c>
      <c r="I33" s="4" t="s">
        <v>1272</v>
      </c>
    </row>
    <row r="34" customFormat="false" ht="23.85" hidden="false" customHeight="false" outlineLevel="0" collapsed="false">
      <c r="A34" s="5" t="s">
        <v>1273</v>
      </c>
      <c r="B34" s="5" t="s">
        <v>1274</v>
      </c>
      <c r="C34" s="5" t="n">
        <v>2</v>
      </c>
      <c r="D34" s="5" t="s">
        <v>1275</v>
      </c>
      <c r="E34" s="5" t="s">
        <v>1276</v>
      </c>
      <c r="F34" s="5" t="s">
        <v>1277</v>
      </c>
      <c r="G34" s="5" t="s">
        <v>1248</v>
      </c>
      <c r="H34" s="5" t="s">
        <v>1278</v>
      </c>
      <c r="I34" s="5" t="s">
        <v>1279</v>
      </c>
    </row>
    <row r="35" customFormat="false" ht="23.85" hidden="false" customHeight="false" outlineLevel="0" collapsed="false">
      <c r="A35" s="4" t="s">
        <v>1280</v>
      </c>
      <c r="B35" s="4" t="s">
        <v>1281</v>
      </c>
      <c r="C35" s="4" t="n">
        <v>3</v>
      </c>
      <c r="D35" s="4" t="s">
        <v>1252</v>
      </c>
      <c r="E35" s="4" t="s">
        <v>1282</v>
      </c>
      <c r="F35" s="4" t="s">
        <v>1283</v>
      </c>
      <c r="G35" s="4" t="s">
        <v>1236</v>
      </c>
      <c r="H35" s="4" t="s">
        <v>1284</v>
      </c>
      <c r="I35" s="4" t="s">
        <v>1285</v>
      </c>
    </row>
    <row r="36" customFormat="false" ht="35.05" hidden="false" customHeight="false" outlineLevel="0" collapsed="false">
      <c r="A36" s="5" t="s">
        <v>1286</v>
      </c>
      <c r="B36" s="5" t="s">
        <v>1287</v>
      </c>
      <c r="C36" s="5" t="n">
        <v>3</v>
      </c>
      <c r="D36" s="5" t="s">
        <v>1240</v>
      </c>
      <c r="E36" s="5" t="s">
        <v>1288</v>
      </c>
      <c r="F36" s="5" t="s">
        <v>1289</v>
      </c>
      <c r="G36" s="5" t="s">
        <v>1248</v>
      </c>
      <c r="H36" s="5" t="s">
        <v>1290</v>
      </c>
      <c r="I36" s="5" t="s">
        <v>1291</v>
      </c>
    </row>
    <row r="37" customFormat="false" ht="23.85" hidden="false" customHeight="false" outlineLevel="0" collapsed="false">
      <c r="A37" s="4" t="s">
        <v>1292</v>
      </c>
      <c r="B37" s="4" t="s">
        <v>1293</v>
      </c>
      <c r="C37" s="4" t="n">
        <v>4</v>
      </c>
      <c r="D37" s="4" t="s">
        <v>1294</v>
      </c>
      <c r="E37" s="4" t="s">
        <v>1295</v>
      </c>
      <c r="F37" s="4" t="s">
        <v>1296</v>
      </c>
      <c r="G37" s="4" t="s">
        <v>1248</v>
      </c>
      <c r="H37" s="4" t="s">
        <v>1297</v>
      </c>
      <c r="I37" s="4" t="s">
        <v>1298</v>
      </c>
    </row>
    <row r="38" customFormat="false" ht="23.85" hidden="false" customHeight="false" outlineLevel="0" collapsed="false">
      <c r="A38" s="5" t="s">
        <v>1299</v>
      </c>
      <c r="B38" s="5" t="s">
        <v>1300</v>
      </c>
      <c r="C38" s="5" t="n">
        <v>2</v>
      </c>
      <c r="D38" s="5" t="s">
        <v>1301</v>
      </c>
      <c r="E38" s="5" t="s">
        <v>1302</v>
      </c>
      <c r="F38" s="5" t="s">
        <v>1303</v>
      </c>
      <c r="G38" s="5" t="s">
        <v>1137</v>
      </c>
      <c r="H38" s="5" t="s">
        <v>1304</v>
      </c>
      <c r="I38" s="5" t="s">
        <v>1305</v>
      </c>
    </row>
    <row r="41" customFormat="false" ht="15" hidden="false" customHeight="false" outlineLevel="0" collapsed="false">
      <c r="A41" s="6" t="s">
        <v>1306</v>
      </c>
    </row>
    <row r="42" customFormat="false" ht="15" hidden="false" customHeight="false" outlineLevel="0" collapsed="false">
      <c r="A42" s="3" t="s">
        <v>1060</v>
      </c>
      <c r="B42" s="3" t="s">
        <v>1061</v>
      </c>
      <c r="C42" s="3" t="s">
        <v>975</v>
      </c>
      <c r="D42" s="3" t="s">
        <v>1062</v>
      </c>
      <c r="E42" s="3" t="s">
        <v>1063</v>
      </c>
      <c r="F42" s="3" t="s">
        <v>1064</v>
      </c>
      <c r="G42" s="3" t="s">
        <v>1065</v>
      </c>
    </row>
    <row r="43" customFormat="false" ht="35.05" hidden="false" customHeight="false" outlineLevel="0" collapsed="false">
      <c r="A43" s="4" t="s">
        <v>1066</v>
      </c>
      <c r="B43" s="4" t="s">
        <v>1307</v>
      </c>
      <c r="C43" s="4" t="s">
        <v>1308</v>
      </c>
      <c r="D43" s="4" t="s">
        <v>1309</v>
      </c>
      <c r="E43" s="4" t="s">
        <v>1310</v>
      </c>
      <c r="F43" s="4" t="s">
        <v>1311</v>
      </c>
      <c r="G43" s="4" t="s">
        <v>488</v>
      </c>
    </row>
    <row r="44" customFormat="false" ht="23.85" hidden="false" customHeight="false" outlineLevel="0" collapsed="false">
      <c r="A44" s="5" t="s">
        <v>1072</v>
      </c>
      <c r="B44" s="5" t="s">
        <v>1312</v>
      </c>
      <c r="C44" s="5" t="s">
        <v>1313</v>
      </c>
      <c r="D44" s="5" t="s">
        <v>1220</v>
      </c>
      <c r="E44" s="5" t="s">
        <v>1314</v>
      </c>
      <c r="F44" s="5" t="s">
        <v>1315</v>
      </c>
      <c r="G44" s="5" t="s">
        <v>488</v>
      </c>
    </row>
    <row r="45" customFormat="false" ht="35.05" hidden="false" customHeight="false" outlineLevel="0" collapsed="false">
      <c r="A45" s="4" t="s">
        <v>1078</v>
      </c>
      <c r="B45" s="4" t="s">
        <v>1316</v>
      </c>
      <c r="C45" s="4" t="s">
        <v>1317</v>
      </c>
      <c r="D45" s="4" t="s">
        <v>1220</v>
      </c>
      <c r="E45" s="4" t="s">
        <v>1318</v>
      </c>
      <c r="F45" s="4" t="s">
        <v>1319</v>
      </c>
      <c r="G45" s="4" t="s">
        <v>488</v>
      </c>
    </row>
    <row r="46" customFormat="false" ht="23.85" hidden="false" customHeight="false" outlineLevel="0" collapsed="false">
      <c r="A46" s="5" t="s">
        <v>1084</v>
      </c>
      <c r="B46" s="5" t="s">
        <v>1320</v>
      </c>
      <c r="C46" s="5" t="s">
        <v>1321</v>
      </c>
      <c r="D46" s="5" t="s">
        <v>1220</v>
      </c>
      <c r="E46" s="5" t="s">
        <v>1322</v>
      </c>
      <c r="F46" s="5" t="s">
        <v>1323</v>
      </c>
      <c r="G46" s="5" t="s">
        <v>488</v>
      </c>
    </row>
    <row r="47" customFormat="false" ht="35.05" hidden="false" customHeight="false" outlineLevel="0" collapsed="false">
      <c r="A47" s="4" t="s">
        <v>1324</v>
      </c>
      <c r="B47" s="4" t="s">
        <v>1325</v>
      </c>
      <c r="C47" s="4" t="s">
        <v>1326</v>
      </c>
      <c r="D47" s="4" t="s">
        <v>1220</v>
      </c>
      <c r="E47" s="4" t="s">
        <v>1327</v>
      </c>
      <c r="F47" s="4" t="s">
        <v>1328</v>
      </c>
      <c r="G47" s="4" t="s">
        <v>488</v>
      </c>
    </row>
    <row r="48" customFormat="false" ht="35.05" hidden="false" customHeight="false" outlineLevel="0" collapsed="false">
      <c r="A48" s="5" t="s">
        <v>1089</v>
      </c>
      <c r="B48" s="5" t="s">
        <v>1329</v>
      </c>
      <c r="C48" s="5" t="s">
        <v>1330</v>
      </c>
      <c r="D48" s="5" t="s">
        <v>1331</v>
      </c>
      <c r="E48" s="5" t="s">
        <v>1332</v>
      </c>
      <c r="F48" s="5" t="s">
        <v>1333</v>
      </c>
      <c r="G48" s="5" t="s">
        <v>488</v>
      </c>
    </row>
    <row r="49" customFormat="false" ht="23.85" hidden="false" customHeight="false" outlineLevel="0" collapsed="false">
      <c r="A49" s="4" t="s">
        <v>1094</v>
      </c>
      <c r="B49" s="4" t="s">
        <v>1334</v>
      </c>
      <c r="C49" s="4" t="s">
        <v>1335</v>
      </c>
      <c r="D49" s="4" t="s">
        <v>1220</v>
      </c>
      <c r="E49" s="4" t="s">
        <v>1336</v>
      </c>
      <c r="F49" s="4" t="s">
        <v>1337</v>
      </c>
      <c r="G49" s="4" t="s">
        <v>488</v>
      </c>
    </row>
    <row r="50" customFormat="false" ht="23.85" hidden="false" customHeight="false" outlineLevel="0" collapsed="false">
      <c r="A50" s="5" t="s">
        <v>1099</v>
      </c>
      <c r="B50" s="5" t="s">
        <v>1338</v>
      </c>
      <c r="C50" s="5" t="s">
        <v>1339</v>
      </c>
      <c r="D50" s="5" t="s">
        <v>1340</v>
      </c>
      <c r="E50" s="5" t="s">
        <v>428</v>
      </c>
      <c r="F50" s="5" t="s">
        <v>428</v>
      </c>
      <c r="G50" s="5" t="s">
        <v>488</v>
      </c>
    </row>
    <row r="53" customFormat="false" ht="15" hidden="false" customHeight="false" outlineLevel="0" collapsed="false">
      <c r="A53" s="6" t="s">
        <v>1341</v>
      </c>
    </row>
    <row r="54" customFormat="false" ht="15" hidden="false" customHeight="false" outlineLevel="0" collapsed="false">
      <c r="A54" s="3" t="s">
        <v>1342</v>
      </c>
      <c r="B54" s="3" t="s">
        <v>1343</v>
      </c>
      <c r="C54" s="3" t="s">
        <v>1344</v>
      </c>
      <c r="D54" s="3" t="s">
        <v>1345</v>
      </c>
      <c r="E54" s="3" t="s">
        <v>1346</v>
      </c>
      <c r="F54" s="3" t="s">
        <v>1108</v>
      </c>
      <c r="G54" s="3" t="s">
        <v>318</v>
      </c>
    </row>
    <row r="55" customFormat="false" ht="46.25" hidden="false" customHeight="false" outlineLevel="0" collapsed="false">
      <c r="A55" s="4" t="s">
        <v>1347</v>
      </c>
      <c r="B55" s="4" t="s">
        <v>1348</v>
      </c>
      <c r="C55" s="4" t="s">
        <v>1349</v>
      </c>
      <c r="D55" s="4" t="s">
        <v>1350</v>
      </c>
      <c r="E55" s="4" t="s">
        <v>1164</v>
      </c>
      <c r="F55" s="4" t="s">
        <v>372</v>
      </c>
      <c r="G55" s="4" t="s">
        <v>1351</v>
      </c>
    </row>
    <row r="56" customFormat="false" ht="35.05" hidden="false" customHeight="false" outlineLevel="0" collapsed="false">
      <c r="A56" s="5" t="s">
        <v>1352</v>
      </c>
      <c r="B56" s="5" t="s">
        <v>1348</v>
      </c>
      <c r="C56" s="5" t="s">
        <v>1353</v>
      </c>
      <c r="D56" s="5" t="s">
        <v>1354</v>
      </c>
      <c r="E56" s="5" t="s">
        <v>1174</v>
      </c>
      <c r="F56" s="5" t="s">
        <v>372</v>
      </c>
      <c r="G56" s="5" t="s">
        <v>1355</v>
      </c>
    </row>
    <row r="57" customFormat="false" ht="23.85" hidden="false" customHeight="false" outlineLevel="0" collapsed="false">
      <c r="A57" s="4" t="s">
        <v>1356</v>
      </c>
      <c r="B57" s="4" t="s">
        <v>1348</v>
      </c>
      <c r="C57" s="4" t="s">
        <v>1357</v>
      </c>
      <c r="D57" s="4" t="s">
        <v>1358</v>
      </c>
      <c r="E57" s="4" t="s">
        <v>1178</v>
      </c>
      <c r="F57" s="4" t="s">
        <v>372</v>
      </c>
      <c r="G57" s="4" t="s">
        <v>1359</v>
      </c>
    </row>
    <row r="58" customFormat="false" ht="35.05" hidden="false" customHeight="false" outlineLevel="0" collapsed="false">
      <c r="A58" s="5" t="s">
        <v>1360</v>
      </c>
      <c r="B58" s="5" t="s">
        <v>1348</v>
      </c>
      <c r="C58" s="5" t="s">
        <v>1361</v>
      </c>
      <c r="D58" s="5" t="s">
        <v>1362</v>
      </c>
      <c r="E58" s="5" t="s">
        <v>1267</v>
      </c>
      <c r="F58" s="5" t="s">
        <v>372</v>
      </c>
      <c r="G58" s="5" t="s">
        <v>1363</v>
      </c>
    </row>
    <row r="59" customFormat="false" ht="46.25" hidden="false" customHeight="false" outlineLevel="0" collapsed="false">
      <c r="A59" s="4" t="s">
        <v>1364</v>
      </c>
      <c r="B59" s="4" t="s">
        <v>1348</v>
      </c>
      <c r="C59" s="4" t="s">
        <v>1365</v>
      </c>
      <c r="D59" s="4" t="s">
        <v>1366</v>
      </c>
      <c r="E59" s="4" t="s">
        <v>1280</v>
      </c>
      <c r="F59" s="4" t="s">
        <v>372</v>
      </c>
      <c r="G59" s="4" t="s">
        <v>1367</v>
      </c>
    </row>
    <row r="60" customFormat="false" ht="23.85" hidden="false" customHeight="false" outlineLevel="0" collapsed="false">
      <c r="A60" s="5" t="s">
        <v>1368</v>
      </c>
      <c r="B60" s="5" t="s">
        <v>1369</v>
      </c>
      <c r="C60" s="5" t="s">
        <v>1370</v>
      </c>
      <c r="D60" s="5" t="s">
        <v>1371</v>
      </c>
      <c r="E60" s="5" t="s">
        <v>1372</v>
      </c>
      <c r="F60" s="5" t="s">
        <v>377</v>
      </c>
      <c r="G60" s="5" t="s">
        <v>1373</v>
      </c>
    </row>
    <row r="61" customFormat="false" ht="23.85" hidden="false" customHeight="false" outlineLevel="0" collapsed="false">
      <c r="A61" s="4" t="s">
        <v>1374</v>
      </c>
      <c r="B61" s="4" t="s">
        <v>1369</v>
      </c>
      <c r="C61" s="4" t="s">
        <v>1375</v>
      </c>
      <c r="D61" s="4" t="s">
        <v>1376</v>
      </c>
      <c r="E61" s="4" t="s">
        <v>1377</v>
      </c>
      <c r="F61" s="4" t="s">
        <v>377</v>
      </c>
      <c r="G61" s="4" t="s">
        <v>1378</v>
      </c>
    </row>
    <row r="62" customFormat="false" ht="23.85" hidden="false" customHeight="false" outlineLevel="0" collapsed="false">
      <c r="A62" s="5" t="s">
        <v>1379</v>
      </c>
      <c r="B62" s="5" t="s">
        <v>1380</v>
      </c>
      <c r="C62" s="5" t="s">
        <v>1381</v>
      </c>
      <c r="D62" s="5" t="s">
        <v>1382</v>
      </c>
      <c r="E62" s="5" t="s">
        <v>1292</v>
      </c>
      <c r="F62" s="5" t="s">
        <v>811</v>
      </c>
      <c r="G62" s="5" t="s">
        <v>1383</v>
      </c>
    </row>
    <row r="63" customFormat="false" ht="15" hidden="false" customHeight="false" outlineLevel="0" collapsed="false">
      <c r="A63" s="4" t="s">
        <v>1384</v>
      </c>
      <c r="B63" s="4" t="s">
        <v>1380</v>
      </c>
      <c r="C63" s="4" t="s">
        <v>1385</v>
      </c>
      <c r="D63" s="4" t="s">
        <v>1386</v>
      </c>
      <c r="E63" s="4" t="s">
        <v>1387</v>
      </c>
      <c r="F63" s="4" t="s">
        <v>811</v>
      </c>
      <c r="G63" s="4" t="s">
        <v>1388</v>
      </c>
    </row>
    <row r="64" customFormat="false" ht="23.85" hidden="false" customHeight="false" outlineLevel="0" collapsed="false">
      <c r="A64" s="5" t="s">
        <v>1389</v>
      </c>
      <c r="B64" s="5" t="s">
        <v>1380</v>
      </c>
      <c r="C64" s="5" t="s">
        <v>1390</v>
      </c>
      <c r="D64" s="5" t="s">
        <v>1391</v>
      </c>
      <c r="E64" s="5" t="s">
        <v>1292</v>
      </c>
      <c r="F64" s="5" t="s">
        <v>811</v>
      </c>
      <c r="G64" s="5" t="s">
        <v>1392</v>
      </c>
    </row>
    <row r="65" customFormat="false" ht="23.85" hidden="false" customHeight="false" outlineLevel="0" collapsed="false">
      <c r="A65" s="4" t="s">
        <v>1393</v>
      </c>
      <c r="B65" s="4" t="s">
        <v>1380</v>
      </c>
      <c r="C65" s="4" t="s">
        <v>1394</v>
      </c>
      <c r="D65" s="4" t="s">
        <v>1395</v>
      </c>
      <c r="E65" s="4" t="s">
        <v>1387</v>
      </c>
      <c r="F65" s="4" t="s">
        <v>811</v>
      </c>
      <c r="G65" s="4" t="s">
        <v>1396</v>
      </c>
    </row>
    <row r="66" customFormat="false" ht="15" hidden="false" customHeight="false" outlineLevel="0" collapsed="false">
      <c r="A66" s="5" t="s">
        <v>1397</v>
      </c>
      <c r="B66" s="5" t="s">
        <v>1380</v>
      </c>
      <c r="C66" s="5" t="s">
        <v>1398</v>
      </c>
      <c r="D66" s="5" t="s">
        <v>1399</v>
      </c>
      <c r="E66" s="5" t="s">
        <v>1400</v>
      </c>
      <c r="F66" s="5" t="s">
        <v>377</v>
      </c>
      <c r="G66" s="5" t="s">
        <v>1401</v>
      </c>
    </row>
  </sheetData>
  <mergeCells count="3">
    <mergeCell ref="A1:H1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0101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" width="22"/>
    <col collapsed="false" customWidth="true" hidden="false" outlineLevel="0" max="3" min="3" style="2" width="38"/>
    <col collapsed="false" customWidth="true" hidden="false" outlineLevel="0" max="4" min="4" style="2" width="40"/>
    <col collapsed="false" customWidth="true" hidden="false" outlineLevel="0" max="8" min="5" style="2" width="22"/>
  </cols>
  <sheetData>
    <row r="1" customFormat="false" ht="15" hidden="false" customHeight="true" outlineLevel="0" collapsed="false">
      <c r="A1" s="103" t="s">
        <v>1402</v>
      </c>
      <c r="B1" s="103"/>
      <c r="C1" s="103"/>
      <c r="D1" s="103"/>
      <c r="E1" s="103"/>
      <c r="F1" s="103"/>
      <c r="G1" s="103"/>
      <c r="H1" s="103"/>
    </row>
    <row r="3" customFormat="false" ht="15" hidden="false" customHeight="true" outlineLevel="0" collapsed="false">
      <c r="A3" s="104" t="s">
        <v>1403</v>
      </c>
      <c r="B3" s="104"/>
      <c r="C3" s="104"/>
      <c r="D3" s="104"/>
      <c r="E3" s="104"/>
      <c r="F3" s="104"/>
      <c r="G3" s="104"/>
      <c r="H3" s="104"/>
    </row>
    <row r="4" customFormat="false" ht="15" hidden="false" customHeight="true" outlineLevel="0" collapsed="false">
      <c r="A4" s="105" t="s">
        <v>808</v>
      </c>
      <c r="B4" s="105" t="s">
        <v>1158</v>
      </c>
      <c r="C4" s="105" t="s">
        <v>1404</v>
      </c>
      <c r="D4" s="105" t="s">
        <v>1405</v>
      </c>
      <c r="E4" s="105" t="s">
        <v>1161</v>
      </c>
      <c r="F4" s="105" t="s">
        <v>621</v>
      </c>
      <c r="G4" s="105" t="s">
        <v>1020</v>
      </c>
      <c r="H4" s="105" t="s">
        <v>318</v>
      </c>
    </row>
    <row r="5" customFormat="false" ht="15" hidden="false" customHeight="true" outlineLevel="0" collapsed="false">
      <c r="A5" s="72" t="s">
        <v>1406</v>
      </c>
      <c r="B5" s="72" t="s">
        <v>1407</v>
      </c>
      <c r="C5" s="72" t="s">
        <v>1408</v>
      </c>
      <c r="D5" s="72" t="s">
        <v>1409</v>
      </c>
      <c r="E5" s="72" t="n">
        <f aca="false">0.1*'1. Input'!B15*0.3/6</f>
        <v>42500000</v>
      </c>
      <c r="F5" s="72" t="s">
        <v>1410</v>
      </c>
      <c r="G5" s="72" t="s">
        <v>1411</v>
      </c>
      <c r="H5" s="72" t="s">
        <v>1412</v>
      </c>
    </row>
    <row r="6" customFormat="false" ht="15" hidden="false" customHeight="true" outlineLevel="0" collapsed="false">
      <c r="A6" s="74" t="s">
        <v>1413</v>
      </c>
      <c r="B6" s="74" t="s">
        <v>1407</v>
      </c>
      <c r="C6" s="74" t="s">
        <v>1414</v>
      </c>
      <c r="D6" s="74" t="s">
        <v>1415</v>
      </c>
      <c r="E6" s="74" t="n">
        <f aca="false">0.1*'1. Input'!B15*0.25/6</f>
        <v>35416666.6666667</v>
      </c>
      <c r="F6" s="74" t="s">
        <v>1416</v>
      </c>
      <c r="G6" s="74" t="s">
        <v>1417</v>
      </c>
      <c r="H6" s="74" t="s">
        <v>1418</v>
      </c>
    </row>
    <row r="7" customFormat="false" ht="15" hidden="false" customHeight="true" outlineLevel="0" collapsed="false">
      <c r="A7" s="72" t="s">
        <v>1419</v>
      </c>
      <c r="B7" s="72" t="s">
        <v>1420</v>
      </c>
      <c r="C7" s="72" t="s">
        <v>1421</v>
      </c>
      <c r="D7" s="72" t="s">
        <v>1422</v>
      </c>
      <c r="E7" s="72" t="n">
        <f aca="false">0.1*'1. Input'!B15*0.2/6</f>
        <v>28333333.3333333</v>
      </c>
      <c r="F7" s="72" t="s">
        <v>1423</v>
      </c>
      <c r="G7" s="72" t="s">
        <v>1411</v>
      </c>
      <c r="H7" s="72" t="s">
        <v>1424</v>
      </c>
    </row>
    <row r="8" customFormat="false" ht="15" hidden="false" customHeight="true" outlineLevel="0" collapsed="false">
      <c r="A8" s="74" t="s">
        <v>1425</v>
      </c>
      <c r="B8" s="74" t="s">
        <v>1426</v>
      </c>
      <c r="C8" s="74" t="s">
        <v>1427</v>
      </c>
      <c r="D8" s="74" t="s">
        <v>1428</v>
      </c>
      <c r="E8" s="74" t="n">
        <f aca="false">0.1*'1. Input'!B15*0.2/6</f>
        <v>28333333.3333333</v>
      </c>
      <c r="F8" s="74" t="s">
        <v>1429</v>
      </c>
      <c r="G8" s="74" t="s">
        <v>1430</v>
      </c>
      <c r="H8" s="74" t="s">
        <v>1431</v>
      </c>
    </row>
    <row r="9" customFormat="false" ht="15" hidden="false" customHeight="true" outlineLevel="0" collapsed="false">
      <c r="A9" s="72" t="s">
        <v>1432</v>
      </c>
      <c r="B9" s="72" t="s">
        <v>1433</v>
      </c>
      <c r="C9" s="72" t="s">
        <v>1434</v>
      </c>
      <c r="D9" s="72" t="s">
        <v>1435</v>
      </c>
      <c r="E9" s="72" t="n">
        <f aca="false">0.1*'1. Input'!B15*0.05/6</f>
        <v>7083333.33333333</v>
      </c>
      <c r="F9" s="72" t="s">
        <v>1436</v>
      </c>
      <c r="G9" s="72" t="s">
        <v>1437</v>
      </c>
      <c r="H9" s="72" t="s">
        <v>1438</v>
      </c>
    </row>
    <row r="11" customFormat="false" ht="15" hidden="false" customHeight="true" outlineLevel="0" collapsed="false">
      <c r="A11" s="104" t="s">
        <v>1439</v>
      </c>
      <c r="B11" s="104"/>
      <c r="C11" s="104"/>
      <c r="D11" s="104"/>
      <c r="E11" s="104"/>
      <c r="F11" s="104"/>
      <c r="G11" s="104"/>
      <c r="H11" s="104"/>
    </row>
    <row r="12" customFormat="false" ht="15" hidden="false" customHeight="true" outlineLevel="0" collapsed="false">
      <c r="A12" s="105" t="s">
        <v>973</v>
      </c>
      <c r="B12" s="105" t="s">
        <v>974</v>
      </c>
      <c r="C12" s="105" t="s">
        <v>975</v>
      </c>
      <c r="D12" s="105" t="s">
        <v>1062</v>
      </c>
      <c r="E12" s="105" t="s">
        <v>454</v>
      </c>
      <c r="F12" s="105" t="s">
        <v>290</v>
      </c>
    </row>
    <row r="13" customFormat="false" ht="15" hidden="false" customHeight="true" outlineLevel="0" collapsed="false">
      <c r="A13" s="72" t="s">
        <v>368</v>
      </c>
      <c r="B13" s="72" t="s">
        <v>1440</v>
      </c>
      <c r="C13" s="72" t="s">
        <v>1441</v>
      </c>
      <c r="D13" s="72" t="s">
        <v>331</v>
      </c>
      <c r="E13" s="72" t="s">
        <v>405</v>
      </c>
      <c r="F13" s="72" t="s">
        <v>980</v>
      </c>
    </row>
    <row r="14" customFormat="false" ht="23.25" hidden="false" customHeight="true" outlineLevel="0" collapsed="false">
      <c r="A14" s="74" t="s">
        <v>374</v>
      </c>
      <c r="B14" s="74" t="s">
        <v>1442</v>
      </c>
      <c r="C14" s="74" t="s">
        <v>1443</v>
      </c>
      <c r="D14" s="74" t="s">
        <v>1208</v>
      </c>
      <c r="E14" s="74" t="s">
        <v>405</v>
      </c>
      <c r="F14" s="74" t="s">
        <v>980</v>
      </c>
    </row>
    <row r="15" customFormat="false" ht="23.25" hidden="false" customHeight="true" outlineLevel="0" collapsed="false">
      <c r="A15" s="72" t="s">
        <v>380</v>
      </c>
      <c r="B15" s="72" t="s">
        <v>1444</v>
      </c>
      <c r="C15" s="72" t="s">
        <v>1445</v>
      </c>
      <c r="D15" s="72" t="s">
        <v>1208</v>
      </c>
      <c r="E15" s="72" t="s">
        <v>405</v>
      </c>
      <c r="F15" s="72" t="s">
        <v>980</v>
      </c>
    </row>
    <row r="16" customFormat="false" ht="23.25" hidden="false" customHeight="true" outlineLevel="0" collapsed="false">
      <c r="A16" s="74" t="s">
        <v>385</v>
      </c>
      <c r="B16" s="74" t="s">
        <v>1446</v>
      </c>
      <c r="C16" s="74" t="s">
        <v>1447</v>
      </c>
      <c r="D16" s="74" t="s">
        <v>1448</v>
      </c>
      <c r="E16" s="74" t="s">
        <v>405</v>
      </c>
      <c r="F16" s="74" t="s">
        <v>980</v>
      </c>
    </row>
    <row r="17" customFormat="false" ht="23.25" hidden="false" customHeight="true" outlineLevel="0" collapsed="false">
      <c r="A17" s="72" t="s">
        <v>389</v>
      </c>
      <c r="B17" s="72" t="s">
        <v>1449</v>
      </c>
      <c r="C17" s="72" t="s">
        <v>1450</v>
      </c>
      <c r="D17" s="72" t="s">
        <v>331</v>
      </c>
      <c r="E17" s="72" t="s">
        <v>993</v>
      </c>
      <c r="F17" s="72" t="s">
        <v>980</v>
      </c>
    </row>
    <row r="18" customFormat="false" ht="15" hidden="false" customHeight="true" outlineLevel="0" collapsed="false">
      <c r="A18" s="74" t="s">
        <v>394</v>
      </c>
      <c r="B18" s="74" t="s">
        <v>1451</v>
      </c>
      <c r="C18" s="74" t="s">
        <v>1452</v>
      </c>
      <c r="D18" s="74" t="s">
        <v>331</v>
      </c>
      <c r="E18" s="74" t="s">
        <v>1001</v>
      </c>
      <c r="F18" s="74" t="s">
        <v>980</v>
      </c>
    </row>
    <row r="19" customFormat="false" ht="15" hidden="false" customHeight="true" outlineLevel="0" collapsed="false">
      <c r="A19" s="72" t="s">
        <v>397</v>
      </c>
      <c r="B19" s="72" t="s">
        <v>1453</v>
      </c>
      <c r="C19" s="72" t="s">
        <v>1454</v>
      </c>
      <c r="D19" s="72" t="s">
        <v>325</v>
      </c>
      <c r="E19" s="72" t="s">
        <v>1225</v>
      </c>
      <c r="F19" s="72" t="s">
        <v>980</v>
      </c>
    </row>
  </sheetData>
  <mergeCells count="3">
    <mergeCell ref="A1:H1"/>
    <mergeCell ref="A3:H3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00"/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2" width="22"/>
    <col collapsed="false" customWidth="true" hidden="false" outlineLevel="0" max="8" min="8" style="0" width="22"/>
  </cols>
  <sheetData>
    <row r="1" customFormat="false" ht="15" hidden="false" customHeight="true" outlineLevel="0" collapsed="false">
      <c r="A1" s="106" t="s">
        <v>1455</v>
      </c>
      <c r="B1" s="106"/>
      <c r="C1" s="106"/>
      <c r="D1" s="106"/>
      <c r="E1" s="106"/>
      <c r="F1" s="106"/>
      <c r="G1" s="106"/>
    </row>
    <row r="3" customFormat="false" ht="15" hidden="false" customHeight="true" outlineLevel="0" collapsed="false">
      <c r="A3" s="107" t="s">
        <v>1456</v>
      </c>
      <c r="B3" s="107"/>
      <c r="C3" s="107"/>
      <c r="D3" s="107"/>
      <c r="E3" s="107"/>
      <c r="F3" s="107"/>
      <c r="G3" s="107"/>
    </row>
    <row r="4" customFormat="false" ht="15" hidden="false" customHeight="true" outlineLevel="0" collapsed="false">
      <c r="A4" s="108" t="s">
        <v>973</v>
      </c>
      <c r="B4" s="108" t="s">
        <v>1457</v>
      </c>
      <c r="C4" s="108" t="s">
        <v>1458</v>
      </c>
      <c r="D4" s="108" t="s">
        <v>1459</v>
      </c>
      <c r="E4" s="108" t="s">
        <v>454</v>
      </c>
      <c r="F4" s="108" t="s">
        <v>290</v>
      </c>
    </row>
    <row r="5" customFormat="false" ht="23.25" hidden="false" customHeight="true" outlineLevel="0" collapsed="false">
      <c r="A5" s="72" t="s">
        <v>368</v>
      </c>
      <c r="B5" s="72" t="s">
        <v>804</v>
      </c>
      <c r="C5" s="72" t="s">
        <v>1460</v>
      </c>
      <c r="D5" s="72" t="s">
        <v>1461</v>
      </c>
      <c r="E5" s="72" t="s">
        <v>405</v>
      </c>
      <c r="F5" s="72" t="s">
        <v>980</v>
      </c>
    </row>
    <row r="6" customFormat="false" ht="45.75" hidden="false" customHeight="true" outlineLevel="0" collapsed="false">
      <c r="A6" s="74" t="s">
        <v>374</v>
      </c>
      <c r="B6" s="74" t="s">
        <v>1462</v>
      </c>
      <c r="C6" s="74" t="s">
        <v>1463</v>
      </c>
      <c r="D6" s="74" t="s">
        <v>1464</v>
      </c>
      <c r="E6" s="74" t="s">
        <v>405</v>
      </c>
      <c r="F6" s="74" t="s">
        <v>980</v>
      </c>
    </row>
    <row r="7" customFormat="false" ht="34.5" hidden="false" customHeight="true" outlineLevel="0" collapsed="false">
      <c r="A7" s="72" t="s">
        <v>380</v>
      </c>
      <c r="B7" s="72" t="s">
        <v>1465</v>
      </c>
      <c r="C7" s="72" t="s">
        <v>1466</v>
      </c>
      <c r="D7" s="72" t="s">
        <v>1467</v>
      </c>
      <c r="E7" s="72" t="s">
        <v>405</v>
      </c>
      <c r="F7" s="72" t="s">
        <v>980</v>
      </c>
    </row>
    <row r="8" customFormat="false" ht="45.75" hidden="false" customHeight="true" outlineLevel="0" collapsed="false">
      <c r="A8" s="74" t="s">
        <v>385</v>
      </c>
      <c r="B8" s="74" t="s">
        <v>1468</v>
      </c>
      <c r="C8" s="74" t="s">
        <v>1469</v>
      </c>
      <c r="D8" s="74" t="s">
        <v>1470</v>
      </c>
      <c r="E8" s="74" t="s">
        <v>405</v>
      </c>
      <c r="F8" s="74" t="s">
        <v>980</v>
      </c>
    </row>
    <row r="9" customFormat="false" ht="23.25" hidden="false" customHeight="true" outlineLevel="0" collapsed="false">
      <c r="A9" s="72" t="s">
        <v>389</v>
      </c>
      <c r="B9" s="72" t="s">
        <v>1471</v>
      </c>
      <c r="C9" s="72" t="s">
        <v>1472</v>
      </c>
      <c r="D9" s="72" t="s">
        <v>1473</v>
      </c>
      <c r="E9" s="72" t="s">
        <v>405</v>
      </c>
      <c r="F9" s="72" t="s">
        <v>980</v>
      </c>
    </row>
    <row r="10" customFormat="false" ht="23.25" hidden="false" customHeight="true" outlineLevel="0" collapsed="false">
      <c r="A10" s="74" t="s">
        <v>394</v>
      </c>
      <c r="B10" s="74" t="s">
        <v>1474</v>
      </c>
      <c r="C10" s="74" t="s">
        <v>1475</v>
      </c>
      <c r="D10" s="74" t="s">
        <v>1476</v>
      </c>
      <c r="E10" s="74" t="s">
        <v>993</v>
      </c>
      <c r="F10" s="74" t="s">
        <v>980</v>
      </c>
    </row>
    <row r="11" customFormat="false" ht="23.25" hidden="false" customHeight="true" outlineLevel="0" collapsed="false">
      <c r="A11" s="72" t="s">
        <v>397</v>
      </c>
      <c r="B11" s="72" t="s">
        <v>1477</v>
      </c>
      <c r="C11" s="72" t="s">
        <v>1478</v>
      </c>
      <c r="D11" s="72" t="s">
        <v>1479</v>
      </c>
      <c r="E11" s="72" t="s">
        <v>993</v>
      </c>
      <c r="F11" s="72" t="s">
        <v>980</v>
      </c>
    </row>
    <row r="12" customFormat="false" ht="23.25" hidden="false" customHeight="true" outlineLevel="0" collapsed="false">
      <c r="A12" s="74" t="s">
        <v>401</v>
      </c>
      <c r="B12" s="74" t="s">
        <v>1480</v>
      </c>
      <c r="C12" s="74" t="s">
        <v>1481</v>
      </c>
      <c r="D12" s="74" t="s">
        <v>1482</v>
      </c>
      <c r="E12" s="74" t="s">
        <v>993</v>
      </c>
      <c r="F12" s="74" t="s">
        <v>980</v>
      </c>
    </row>
    <row r="13" customFormat="false" ht="23.25" hidden="false" customHeight="true" outlineLevel="0" collapsed="false">
      <c r="A13" s="72" t="s">
        <v>408</v>
      </c>
      <c r="B13" s="72" t="s">
        <v>1483</v>
      </c>
      <c r="C13" s="72" t="s">
        <v>1484</v>
      </c>
      <c r="D13" s="72" t="s">
        <v>1485</v>
      </c>
      <c r="E13" s="72" t="s">
        <v>993</v>
      </c>
      <c r="F13" s="72" t="s">
        <v>980</v>
      </c>
    </row>
    <row r="14" customFormat="false" ht="15" hidden="false" customHeight="true" outlineLevel="0" collapsed="false">
      <c r="A14" s="74" t="s">
        <v>413</v>
      </c>
      <c r="B14" s="74" t="s">
        <v>1486</v>
      </c>
      <c r="C14" s="74" t="s">
        <v>1487</v>
      </c>
      <c r="D14" s="74" t="s">
        <v>1488</v>
      </c>
      <c r="E14" s="74" t="s">
        <v>1225</v>
      </c>
      <c r="F14" s="74" t="s">
        <v>980</v>
      </c>
    </row>
    <row r="15" customFormat="false" ht="23.25" hidden="false" customHeight="true" outlineLevel="0" collapsed="false">
      <c r="A15" s="72" t="s">
        <v>420</v>
      </c>
      <c r="B15" s="72" t="s">
        <v>1489</v>
      </c>
      <c r="C15" s="72" t="s">
        <v>1490</v>
      </c>
      <c r="D15" s="72" t="s">
        <v>1491</v>
      </c>
      <c r="E15" s="72" t="s">
        <v>1492</v>
      </c>
      <c r="F15" s="72" t="s">
        <v>980</v>
      </c>
    </row>
    <row r="17" customFormat="false" ht="15" hidden="false" customHeight="true" outlineLevel="0" collapsed="false">
      <c r="A17" s="107" t="s">
        <v>1493</v>
      </c>
      <c r="B17" s="107"/>
      <c r="C17" s="107"/>
      <c r="D17" s="107"/>
      <c r="E17" s="107"/>
      <c r="F17" s="107"/>
      <c r="G17" s="107"/>
    </row>
    <row r="18" customFormat="false" ht="15" hidden="false" customHeight="true" outlineLevel="0" collapsed="false">
      <c r="A18" s="108" t="s">
        <v>1494</v>
      </c>
      <c r="B18" s="108" t="s">
        <v>1495</v>
      </c>
      <c r="C18" s="108" t="s">
        <v>1496</v>
      </c>
      <c r="D18" s="108" t="s">
        <v>1497</v>
      </c>
      <c r="E18" s="108" t="s">
        <v>1498</v>
      </c>
      <c r="F18" s="108" t="s">
        <v>454</v>
      </c>
      <c r="G18" s="108" t="s">
        <v>290</v>
      </c>
    </row>
    <row r="19" customFormat="false" ht="23.25" hidden="false" customHeight="true" outlineLevel="0" collapsed="false">
      <c r="A19" s="72" t="s">
        <v>1499</v>
      </c>
      <c r="B19" s="72" t="s">
        <v>1500</v>
      </c>
      <c r="C19" s="72" t="s">
        <v>1501</v>
      </c>
      <c r="D19" s="72" t="s">
        <v>1502</v>
      </c>
      <c r="E19" s="72" t="s">
        <v>1503</v>
      </c>
      <c r="F19" s="72" t="s">
        <v>1225</v>
      </c>
      <c r="G19" s="72" t="s">
        <v>980</v>
      </c>
    </row>
    <row r="20" customFormat="false" ht="23.25" hidden="false" customHeight="true" outlineLevel="0" collapsed="false">
      <c r="A20" s="74" t="s">
        <v>1504</v>
      </c>
      <c r="B20" s="74" t="s">
        <v>1505</v>
      </c>
      <c r="C20" s="74" t="s">
        <v>1506</v>
      </c>
      <c r="D20" s="74" t="s">
        <v>1507</v>
      </c>
      <c r="E20" s="74" t="s">
        <v>1508</v>
      </c>
      <c r="F20" s="74" t="s">
        <v>1225</v>
      </c>
      <c r="G20" s="74" t="s">
        <v>980</v>
      </c>
    </row>
    <row r="21" customFormat="false" ht="23.25" hidden="false" customHeight="true" outlineLevel="0" collapsed="false">
      <c r="A21" s="72" t="s">
        <v>1509</v>
      </c>
      <c r="B21" s="72" t="s">
        <v>1510</v>
      </c>
      <c r="C21" s="72" t="s">
        <v>1511</v>
      </c>
      <c r="D21" s="72" t="s">
        <v>1512</v>
      </c>
      <c r="E21" s="72" t="s">
        <v>1513</v>
      </c>
      <c r="F21" s="72" t="s">
        <v>1514</v>
      </c>
      <c r="G21" s="72" t="s">
        <v>980</v>
      </c>
    </row>
    <row r="22" customFormat="false" ht="15" hidden="false" customHeight="true" outlineLevel="0" collapsed="false">
      <c r="A22" s="74" t="s">
        <v>1515</v>
      </c>
      <c r="B22" s="74" t="s">
        <v>1516</v>
      </c>
      <c r="C22" s="74" t="s">
        <v>1517</v>
      </c>
      <c r="D22" s="74" t="s">
        <v>811</v>
      </c>
      <c r="E22" s="74" t="s">
        <v>1518</v>
      </c>
      <c r="F22" s="74" t="s">
        <v>1514</v>
      </c>
      <c r="G22" s="74" t="s">
        <v>980</v>
      </c>
    </row>
    <row r="23" customFormat="false" ht="23.25" hidden="false" customHeight="true" outlineLevel="0" collapsed="false">
      <c r="A23" s="72" t="s">
        <v>1519</v>
      </c>
      <c r="B23" s="72" t="s">
        <v>1520</v>
      </c>
      <c r="C23" s="72" t="s">
        <v>1521</v>
      </c>
      <c r="D23" s="72" t="s">
        <v>1522</v>
      </c>
      <c r="E23" s="72" t="s">
        <v>1523</v>
      </c>
      <c r="F23" s="72" t="s">
        <v>1514</v>
      </c>
      <c r="G23" s="72" t="s">
        <v>980</v>
      </c>
    </row>
    <row r="24" customFormat="false" ht="15" hidden="false" customHeight="true" outlineLevel="0" collapsed="false">
      <c r="A24" s="74" t="s">
        <v>1524</v>
      </c>
      <c r="B24" s="74" t="s">
        <v>1525</v>
      </c>
      <c r="C24" s="74" t="s">
        <v>1526</v>
      </c>
      <c r="D24" s="74" t="s">
        <v>1527</v>
      </c>
      <c r="E24" s="74" t="s">
        <v>1528</v>
      </c>
      <c r="F24" s="74" t="s">
        <v>1001</v>
      </c>
      <c r="G24" s="74" t="s">
        <v>980</v>
      </c>
    </row>
    <row r="25" customFormat="false" ht="15" hidden="false" customHeight="true" outlineLevel="0" collapsed="false">
      <c r="A25" s="72" t="s">
        <v>1529</v>
      </c>
      <c r="B25" s="72" t="s">
        <v>1530</v>
      </c>
      <c r="C25" s="72" t="s">
        <v>1531</v>
      </c>
      <c r="D25" s="72" t="s">
        <v>1512</v>
      </c>
      <c r="E25" s="72" t="s">
        <v>1532</v>
      </c>
      <c r="F25" s="72" t="s">
        <v>1533</v>
      </c>
      <c r="G25" s="72" t="s">
        <v>980</v>
      </c>
    </row>
    <row r="26" customFormat="false" ht="23.25" hidden="false" customHeight="true" outlineLevel="0" collapsed="false">
      <c r="A26" s="74" t="s">
        <v>1534</v>
      </c>
      <c r="B26" s="74" t="s">
        <v>1535</v>
      </c>
      <c r="C26" s="74" t="s">
        <v>1536</v>
      </c>
      <c r="D26" s="74" t="s">
        <v>1537</v>
      </c>
      <c r="E26" s="74" t="s">
        <v>1538</v>
      </c>
      <c r="F26" s="74" t="s">
        <v>1533</v>
      </c>
      <c r="G26" s="74" t="s">
        <v>980</v>
      </c>
    </row>
    <row r="27" customFormat="false" ht="23.25" hidden="false" customHeight="true" outlineLevel="0" collapsed="false">
      <c r="A27" s="72" t="s">
        <v>1539</v>
      </c>
      <c r="B27" s="72" t="s">
        <v>1540</v>
      </c>
      <c r="C27" s="72" t="s">
        <v>1541</v>
      </c>
      <c r="D27" s="72" t="s">
        <v>1542</v>
      </c>
      <c r="E27" s="72" t="s">
        <v>1543</v>
      </c>
      <c r="F27" s="72" t="s">
        <v>1001</v>
      </c>
      <c r="G27" s="72" t="s">
        <v>980</v>
      </c>
    </row>
    <row r="29" customFormat="false" ht="15" hidden="false" customHeight="true" outlineLevel="0" collapsed="false">
      <c r="A29" s="107" t="s">
        <v>1544</v>
      </c>
      <c r="B29" s="107"/>
      <c r="C29" s="107"/>
      <c r="D29" s="107"/>
      <c r="E29" s="107"/>
      <c r="F29" s="107"/>
      <c r="G29" s="107"/>
    </row>
    <row r="30" customFormat="false" ht="15" hidden="false" customHeight="true" outlineLevel="0" collapsed="false">
      <c r="A30" s="108" t="s">
        <v>1457</v>
      </c>
      <c r="B30" s="108" t="s">
        <v>406</v>
      </c>
      <c r="C30" s="108" t="s">
        <v>1545</v>
      </c>
      <c r="D30" s="108" t="s">
        <v>1546</v>
      </c>
      <c r="E30" s="108" t="s">
        <v>318</v>
      </c>
    </row>
    <row r="31" customFormat="false" ht="23.25" hidden="false" customHeight="true" outlineLevel="0" collapsed="false">
      <c r="A31" s="72" t="s">
        <v>1547</v>
      </c>
      <c r="B31" s="72" t="s">
        <v>1548</v>
      </c>
      <c r="C31" s="72" t="s">
        <v>1549</v>
      </c>
      <c r="D31" s="72" t="s">
        <v>1550</v>
      </c>
      <c r="E31" s="72" t="s">
        <v>1551</v>
      </c>
    </row>
    <row r="32" customFormat="false" ht="23.25" hidden="false" customHeight="true" outlineLevel="0" collapsed="false">
      <c r="A32" s="74" t="s">
        <v>1552</v>
      </c>
      <c r="B32" s="74" t="s">
        <v>1553</v>
      </c>
      <c r="C32" s="74" t="s">
        <v>1554</v>
      </c>
      <c r="D32" s="74" t="s">
        <v>1555</v>
      </c>
      <c r="E32" s="74" t="s">
        <v>1556</v>
      </c>
    </row>
    <row r="33" customFormat="false" ht="23.25" hidden="false" customHeight="true" outlineLevel="0" collapsed="false">
      <c r="A33" s="72" t="s">
        <v>1557</v>
      </c>
      <c r="B33" s="72" t="s">
        <v>1558</v>
      </c>
      <c r="C33" s="72" t="s">
        <v>1559</v>
      </c>
      <c r="D33" s="72" t="s">
        <v>1560</v>
      </c>
      <c r="E33" s="72" t="s">
        <v>1561</v>
      </c>
    </row>
    <row r="34" customFormat="false" ht="45.75" hidden="false" customHeight="true" outlineLevel="0" collapsed="false">
      <c r="A34" s="74" t="s">
        <v>1562</v>
      </c>
      <c r="B34" s="74" t="s">
        <v>1563</v>
      </c>
      <c r="C34" s="74" t="s">
        <v>1564</v>
      </c>
      <c r="D34" s="74" t="s">
        <v>449</v>
      </c>
      <c r="E34" s="74" t="s">
        <v>1565</v>
      </c>
    </row>
    <row r="35" customFormat="false" ht="23.25" hidden="false" customHeight="true" outlineLevel="0" collapsed="false">
      <c r="A35" s="72" t="s">
        <v>1566</v>
      </c>
      <c r="B35" s="72" t="s">
        <v>1567</v>
      </c>
      <c r="C35" s="72" t="s">
        <v>1568</v>
      </c>
      <c r="D35" s="72" t="s">
        <v>1569</v>
      </c>
      <c r="E35" s="72" t="s">
        <v>1570</v>
      </c>
    </row>
    <row r="36" customFormat="false" ht="34.5" hidden="false" customHeight="true" outlineLevel="0" collapsed="false">
      <c r="A36" s="74" t="s">
        <v>1571</v>
      </c>
      <c r="B36" s="74" t="s">
        <v>1572</v>
      </c>
      <c r="C36" s="74" t="s">
        <v>1573</v>
      </c>
      <c r="D36" s="74" t="s">
        <v>811</v>
      </c>
      <c r="E36" s="74" t="s">
        <v>1574</v>
      </c>
    </row>
    <row r="38" customFormat="false" ht="15" hidden="false" customHeight="false" outlineLevel="0" collapsed="false">
      <c r="A38" s="6" t="s">
        <v>1575</v>
      </c>
    </row>
    <row r="39" customFormat="false" ht="15" hidden="false" customHeight="false" outlineLevel="0" collapsed="false">
      <c r="A39" s="3" t="s">
        <v>361</v>
      </c>
      <c r="B39" s="3" t="s">
        <v>973</v>
      </c>
      <c r="C39" s="3" t="s">
        <v>974</v>
      </c>
      <c r="D39" s="3" t="s">
        <v>1576</v>
      </c>
      <c r="E39" s="3" t="s">
        <v>1459</v>
      </c>
      <c r="F39" s="3" t="s">
        <v>1062</v>
      </c>
      <c r="G39" s="3" t="s">
        <v>454</v>
      </c>
      <c r="H39" s="3" t="s">
        <v>290</v>
      </c>
    </row>
    <row r="40" customFormat="false" ht="35.05" hidden="false" customHeight="false" outlineLevel="0" collapsed="false">
      <c r="A40" s="4" t="n">
        <v>1</v>
      </c>
      <c r="B40" s="4" t="s">
        <v>1577</v>
      </c>
      <c r="C40" s="4" t="s">
        <v>1578</v>
      </c>
      <c r="D40" s="4" t="s">
        <v>1579</v>
      </c>
      <c r="E40" s="4" t="s">
        <v>1580</v>
      </c>
      <c r="F40" s="4" t="s">
        <v>1581</v>
      </c>
      <c r="G40" s="4" t="s">
        <v>1225</v>
      </c>
      <c r="H40" s="4" t="s">
        <v>980</v>
      </c>
    </row>
    <row r="41" customFormat="false" ht="35.05" hidden="false" customHeight="false" outlineLevel="0" collapsed="false">
      <c r="A41" s="5" t="n">
        <v>2</v>
      </c>
      <c r="B41" s="5" t="s">
        <v>1582</v>
      </c>
      <c r="C41" s="5" t="s">
        <v>1583</v>
      </c>
      <c r="D41" s="5" t="s">
        <v>1584</v>
      </c>
      <c r="E41" s="5" t="s">
        <v>1585</v>
      </c>
      <c r="F41" s="5" t="s">
        <v>1586</v>
      </c>
      <c r="G41" s="5" t="s">
        <v>1587</v>
      </c>
      <c r="H41" s="5" t="s">
        <v>980</v>
      </c>
    </row>
    <row r="42" customFormat="false" ht="57.45" hidden="false" customHeight="false" outlineLevel="0" collapsed="false">
      <c r="A42" s="4" t="n">
        <v>3</v>
      </c>
      <c r="B42" s="4" t="s">
        <v>1588</v>
      </c>
      <c r="C42" s="4" t="s">
        <v>1589</v>
      </c>
      <c r="D42" s="4" t="s">
        <v>1590</v>
      </c>
      <c r="E42" s="4" t="s">
        <v>1591</v>
      </c>
      <c r="F42" s="4" t="s">
        <v>1592</v>
      </c>
      <c r="G42" s="4" t="s">
        <v>1225</v>
      </c>
      <c r="H42" s="4" t="s">
        <v>980</v>
      </c>
    </row>
    <row r="43" customFormat="false" ht="35.05" hidden="false" customHeight="false" outlineLevel="0" collapsed="false">
      <c r="A43" s="5" t="n">
        <v>4</v>
      </c>
      <c r="B43" s="5" t="s">
        <v>1593</v>
      </c>
      <c r="C43" s="5" t="s">
        <v>1594</v>
      </c>
      <c r="D43" s="5" t="s">
        <v>1595</v>
      </c>
      <c r="E43" s="5" t="s">
        <v>1596</v>
      </c>
      <c r="F43" s="5" t="s">
        <v>325</v>
      </c>
      <c r="G43" s="5" t="s">
        <v>1514</v>
      </c>
      <c r="H43" s="5" t="s">
        <v>980</v>
      </c>
    </row>
    <row r="44" customFormat="false" ht="46.25" hidden="false" customHeight="false" outlineLevel="0" collapsed="false">
      <c r="A44" s="4" t="n">
        <v>5</v>
      </c>
      <c r="B44" s="4" t="s">
        <v>1597</v>
      </c>
      <c r="C44" s="4" t="s">
        <v>1598</v>
      </c>
      <c r="D44" s="4" t="s">
        <v>1599</v>
      </c>
      <c r="E44" s="4" t="s">
        <v>1600</v>
      </c>
      <c r="F44" s="4" t="s">
        <v>1601</v>
      </c>
      <c r="G44" s="4" t="s">
        <v>1514</v>
      </c>
      <c r="H44" s="4" t="s">
        <v>980</v>
      </c>
    </row>
    <row r="45" customFormat="false" ht="46.25" hidden="false" customHeight="false" outlineLevel="0" collapsed="false">
      <c r="A45" s="5" t="n">
        <v>6</v>
      </c>
      <c r="B45" s="5" t="s">
        <v>1602</v>
      </c>
      <c r="C45" s="5" t="s">
        <v>1603</v>
      </c>
      <c r="D45" s="5" t="s">
        <v>1604</v>
      </c>
      <c r="E45" s="5" t="s">
        <v>1605</v>
      </c>
      <c r="F45" s="5" t="s">
        <v>1606</v>
      </c>
      <c r="G45" s="5" t="s">
        <v>1001</v>
      </c>
      <c r="H45" s="5" t="s">
        <v>980</v>
      </c>
    </row>
    <row r="46" customFormat="false" ht="46.25" hidden="false" customHeight="false" outlineLevel="0" collapsed="false">
      <c r="A46" s="4" t="n">
        <v>7</v>
      </c>
      <c r="B46" s="4" t="s">
        <v>1607</v>
      </c>
      <c r="C46" s="4" t="s">
        <v>1608</v>
      </c>
      <c r="D46" s="4" t="s">
        <v>1609</v>
      </c>
      <c r="E46" s="4" t="s">
        <v>1610</v>
      </c>
      <c r="F46" s="4" t="s">
        <v>1606</v>
      </c>
      <c r="G46" s="4" t="s">
        <v>1001</v>
      </c>
      <c r="H46" s="4" t="s">
        <v>980</v>
      </c>
    </row>
    <row r="47" customFormat="false" ht="35.05" hidden="false" customHeight="false" outlineLevel="0" collapsed="false">
      <c r="A47" s="5" t="n">
        <v>8</v>
      </c>
      <c r="B47" s="5" t="s">
        <v>1611</v>
      </c>
      <c r="C47" s="5" t="s">
        <v>1612</v>
      </c>
      <c r="D47" s="5" t="s">
        <v>1613</v>
      </c>
      <c r="E47" s="5" t="s">
        <v>1614</v>
      </c>
      <c r="F47" s="5" t="s">
        <v>1606</v>
      </c>
      <c r="G47" s="5" t="s">
        <v>1001</v>
      </c>
      <c r="H47" s="5" t="s">
        <v>980</v>
      </c>
    </row>
    <row r="48" customFormat="false" ht="46.25" hidden="false" customHeight="false" outlineLevel="0" collapsed="false">
      <c r="A48" s="4" t="n">
        <v>9</v>
      </c>
      <c r="B48" s="4" t="s">
        <v>1615</v>
      </c>
      <c r="C48" s="4" t="s">
        <v>1616</v>
      </c>
      <c r="D48" s="4" t="s">
        <v>1617</v>
      </c>
      <c r="E48" s="4" t="s">
        <v>1618</v>
      </c>
      <c r="F48" s="4" t="s">
        <v>1619</v>
      </c>
      <c r="G48" s="4" t="s">
        <v>1514</v>
      </c>
      <c r="H48" s="4" t="s">
        <v>980</v>
      </c>
    </row>
    <row r="49" customFormat="false" ht="35.05" hidden="false" customHeight="false" outlineLevel="0" collapsed="false">
      <c r="A49" s="5" t="n">
        <v>10</v>
      </c>
      <c r="B49" s="5" t="s">
        <v>1620</v>
      </c>
      <c r="C49" s="5" t="s">
        <v>1621</v>
      </c>
      <c r="D49" s="5" t="s">
        <v>1622</v>
      </c>
      <c r="E49" s="5" t="s">
        <v>1623</v>
      </c>
      <c r="F49" s="5" t="s">
        <v>1624</v>
      </c>
      <c r="G49" s="5" t="s">
        <v>1533</v>
      </c>
      <c r="H49" s="5" t="s">
        <v>980</v>
      </c>
    </row>
    <row r="50" customFormat="false" ht="57.45" hidden="false" customHeight="false" outlineLevel="0" collapsed="false">
      <c r="A50" s="4" t="n">
        <v>11</v>
      </c>
      <c r="B50" s="4" t="s">
        <v>1625</v>
      </c>
      <c r="C50" s="4" t="s">
        <v>1626</v>
      </c>
      <c r="D50" s="4" t="s">
        <v>1627</v>
      </c>
      <c r="E50" s="4" t="s">
        <v>1628</v>
      </c>
      <c r="F50" s="4" t="s">
        <v>1629</v>
      </c>
      <c r="G50" s="4" t="s">
        <v>1533</v>
      </c>
      <c r="H50" s="4" t="s">
        <v>980</v>
      </c>
    </row>
    <row r="51" customFormat="false" ht="46.25" hidden="false" customHeight="false" outlineLevel="0" collapsed="false">
      <c r="A51" s="5" t="n">
        <v>12</v>
      </c>
      <c r="B51" s="5" t="s">
        <v>1630</v>
      </c>
      <c r="C51" s="5" t="s">
        <v>1631</v>
      </c>
      <c r="D51" s="5" t="s">
        <v>1632</v>
      </c>
      <c r="E51" s="5" t="s">
        <v>1633</v>
      </c>
      <c r="F51" s="5" t="s">
        <v>1634</v>
      </c>
      <c r="G51" s="5" t="s">
        <v>1635</v>
      </c>
      <c r="H51" s="5" t="s">
        <v>980</v>
      </c>
    </row>
    <row r="54" customFormat="false" ht="15" hidden="false" customHeight="false" outlineLevel="0" collapsed="false">
      <c r="A54" s="6" t="s">
        <v>1636</v>
      </c>
    </row>
    <row r="55" customFormat="false" ht="15" hidden="false" customHeight="false" outlineLevel="0" collapsed="false">
      <c r="A55" s="3" t="s">
        <v>1637</v>
      </c>
      <c r="B55" s="3" t="s">
        <v>1638</v>
      </c>
      <c r="C55" s="3" t="s">
        <v>1639</v>
      </c>
      <c r="D55" s="3" t="s">
        <v>1545</v>
      </c>
      <c r="E55" s="3" t="s">
        <v>1640</v>
      </c>
      <c r="F55" s="3" t="s">
        <v>1641</v>
      </c>
      <c r="G55" s="3" t="s">
        <v>290</v>
      </c>
    </row>
    <row r="56" customFormat="false" ht="23.85" hidden="false" customHeight="false" outlineLevel="0" collapsed="false">
      <c r="A56" s="4" t="s">
        <v>497</v>
      </c>
      <c r="B56" s="4" t="s">
        <v>1642</v>
      </c>
      <c r="C56" s="4" t="s">
        <v>1643</v>
      </c>
      <c r="D56" s="4" t="s">
        <v>1644</v>
      </c>
      <c r="E56" s="4" t="s">
        <v>1645</v>
      </c>
      <c r="F56" s="4" t="s">
        <v>1646</v>
      </c>
      <c r="G56" s="4" t="s">
        <v>980</v>
      </c>
    </row>
    <row r="57" customFormat="false" ht="35.05" hidden="false" customHeight="false" outlineLevel="0" collapsed="false">
      <c r="A57" s="5" t="s">
        <v>497</v>
      </c>
      <c r="B57" s="5" t="s">
        <v>1647</v>
      </c>
      <c r="C57" s="5" t="s">
        <v>1648</v>
      </c>
      <c r="D57" s="5" t="s">
        <v>1649</v>
      </c>
      <c r="E57" s="5" t="s">
        <v>1650</v>
      </c>
      <c r="F57" s="5" t="s">
        <v>1651</v>
      </c>
      <c r="G57" s="5" t="s">
        <v>980</v>
      </c>
    </row>
    <row r="58" customFormat="false" ht="23.85" hidden="false" customHeight="false" outlineLevel="0" collapsed="false">
      <c r="A58" s="4" t="s">
        <v>497</v>
      </c>
      <c r="B58" s="4" t="s">
        <v>1652</v>
      </c>
      <c r="C58" s="4" t="s">
        <v>1653</v>
      </c>
      <c r="D58" s="4" t="s">
        <v>1654</v>
      </c>
      <c r="E58" s="4" t="s">
        <v>1655</v>
      </c>
      <c r="F58" s="4" t="s">
        <v>1656</v>
      </c>
      <c r="G58" s="4" t="s">
        <v>980</v>
      </c>
    </row>
    <row r="59" customFormat="false" ht="35.05" hidden="false" customHeight="false" outlineLevel="0" collapsed="false">
      <c r="A59" s="5" t="s">
        <v>1081</v>
      </c>
      <c r="B59" s="5" t="s">
        <v>1657</v>
      </c>
      <c r="C59" s="5" t="s">
        <v>1658</v>
      </c>
      <c r="D59" s="5" t="s">
        <v>1659</v>
      </c>
      <c r="E59" s="5" t="s">
        <v>1660</v>
      </c>
      <c r="F59" s="5" t="s">
        <v>1661</v>
      </c>
      <c r="G59" s="5" t="s">
        <v>980</v>
      </c>
    </row>
    <row r="60" customFormat="false" ht="23.85" hidden="false" customHeight="false" outlineLevel="0" collapsed="false">
      <c r="A60" s="4" t="s">
        <v>1081</v>
      </c>
      <c r="B60" s="4" t="s">
        <v>1662</v>
      </c>
      <c r="C60" s="4" t="s">
        <v>1663</v>
      </c>
      <c r="D60" s="4" t="s">
        <v>1664</v>
      </c>
      <c r="E60" s="4" t="s">
        <v>1665</v>
      </c>
      <c r="F60" s="4" t="s">
        <v>1666</v>
      </c>
      <c r="G60" s="4" t="s">
        <v>980</v>
      </c>
    </row>
    <row r="61" customFormat="false" ht="23.85" hidden="false" customHeight="false" outlineLevel="0" collapsed="false">
      <c r="A61" s="5" t="s">
        <v>331</v>
      </c>
      <c r="B61" s="5" t="s">
        <v>1642</v>
      </c>
      <c r="C61" s="5" t="s">
        <v>1667</v>
      </c>
      <c r="D61" s="5" t="s">
        <v>1668</v>
      </c>
      <c r="E61" s="5" t="s">
        <v>1669</v>
      </c>
      <c r="F61" s="5" t="s">
        <v>1670</v>
      </c>
      <c r="G61" s="5" t="s">
        <v>980</v>
      </c>
    </row>
    <row r="62" customFormat="false" ht="35.05" hidden="false" customHeight="false" outlineLevel="0" collapsed="false">
      <c r="A62" s="4" t="s">
        <v>331</v>
      </c>
      <c r="B62" s="4" t="s">
        <v>1671</v>
      </c>
      <c r="C62" s="4" t="s">
        <v>1672</v>
      </c>
      <c r="D62" s="4" t="s">
        <v>1673</v>
      </c>
      <c r="E62" s="4" t="s">
        <v>1674</v>
      </c>
      <c r="F62" s="4" t="s">
        <v>1675</v>
      </c>
      <c r="G62" s="4" t="s">
        <v>980</v>
      </c>
    </row>
    <row r="63" customFormat="false" ht="23.85" hidden="false" customHeight="false" outlineLevel="0" collapsed="false">
      <c r="A63" s="5" t="s">
        <v>1676</v>
      </c>
      <c r="B63" s="5" t="s">
        <v>1677</v>
      </c>
      <c r="C63" s="5" t="s">
        <v>1678</v>
      </c>
      <c r="D63" s="5" t="s">
        <v>1679</v>
      </c>
      <c r="E63" s="5" t="s">
        <v>1680</v>
      </c>
      <c r="F63" s="5" t="s">
        <v>1681</v>
      </c>
      <c r="G63" s="5" t="s">
        <v>980</v>
      </c>
    </row>
    <row r="64" customFormat="false" ht="23.85" hidden="false" customHeight="false" outlineLevel="0" collapsed="false">
      <c r="A64" s="4" t="s">
        <v>1676</v>
      </c>
      <c r="B64" s="4" t="s">
        <v>1682</v>
      </c>
      <c r="C64" s="4" t="s">
        <v>1683</v>
      </c>
      <c r="D64" s="4" t="s">
        <v>1684</v>
      </c>
      <c r="E64" s="4" t="s">
        <v>1685</v>
      </c>
      <c r="F64" s="4" t="s">
        <v>1686</v>
      </c>
      <c r="G64" s="4" t="s">
        <v>980</v>
      </c>
    </row>
    <row r="65" customFormat="false" ht="35.05" hidden="false" customHeight="false" outlineLevel="0" collapsed="false">
      <c r="A65" s="5" t="s">
        <v>1687</v>
      </c>
      <c r="B65" s="5" t="s">
        <v>1688</v>
      </c>
      <c r="C65" s="5" t="s">
        <v>1689</v>
      </c>
      <c r="D65" s="5" t="s">
        <v>1690</v>
      </c>
      <c r="E65" s="5" t="s">
        <v>1691</v>
      </c>
      <c r="F65" s="5" t="s">
        <v>1692</v>
      </c>
      <c r="G65" s="5" t="s">
        <v>980</v>
      </c>
    </row>
    <row r="66" customFormat="false" ht="35.05" hidden="false" customHeight="false" outlineLevel="0" collapsed="false">
      <c r="A66" s="4" t="s">
        <v>1069</v>
      </c>
      <c r="B66" s="4" t="s">
        <v>1693</v>
      </c>
      <c r="C66" s="4" t="s">
        <v>1694</v>
      </c>
      <c r="D66" s="4" t="s">
        <v>1695</v>
      </c>
      <c r="E66" s="4" t="s">
        <v>1696</v>
      </c>
      <c r="F66" s="4" t="s">
        <v>1697</v>
      </c>
      <c r="G66" s="4" t="s">
        <v>980</v>
      </c>
    </row>
    <row r="69" customFormat="false" ht="15" hidden="false" customHeight="false" outlineLevel="0" collapsed="false">
      <c r="A69" s="6" t="s">
        <v>1698</v>
      </c>
    </row>
    <row r="70" customFormat="false" ht="15" hidden="false" customHeight="false" outlineLevel="0" collapsed="false">
      <c r="A70" s="3" t="s">
        <v>1494</v>
      </c>
      <c r="B70" s="3" t="s">
        <v>973</v>
      </c>
      <c r="C70" s="3" t="s">
        <v>1699</v>
      </c>
      <c r="D70" s="3" t="s">
        <v>1700</v>
      </c>
      <c r="E70" s="3" t="s">
        <v>1701</v>
      </c>
      <c r="F70" s="3" t="s">
        <v>1702</v>
      </c>
      <c r="G70" s="3" t="s">
        <v>1703</v>
      </c>
      <c r="H70" s="3" t="s">
        <v>1704</v>
      </c>
    </row>
    <row r="71" customFormat="false" ht="46.25" hidden="false" customHeight="false" outlineLevel="0" collapsed="false">
      <c r="A71" s="4" t="s">
        <v>1705</v>
      </c>
      <c r="B71" s="4" t="s">
        <v>368</v>
      </c>
      <c r="C71" s="4" t="s">
        <v>1706</v>
      </c>
      <c r="D71" s="4" t="s">
        <v>1707</v>
      </c>
      <c r="E71" s="4" t="s">
        <v>1708</v>
      </c>
      <c r="F71" s="4" t="s">
        <v>1709</v>
      </c>
      <c r="G71" s="4" t="s">
        <v>1710</v>
      </c>
      <c r="H71" s="4" t="s">
        <v>1711</v>
      </c>
    </row>
    <row r="72" customFormat="false" ht="35.05" hidden="false" customHeight="false" outlineLevel="0" collapsed="false">
      <c r="A72" s="5" t="s">
        <v>1705</v>
      </c>
      <c r="B72" s="5" t="s">
        <v>374</v>
      </c>
      <c r="C72" s="5" t="s">
        <v>1712</v>
      </c>
      <c r="D72" s="5" t="s">
        <v>1713</v>
      </c>
      <c r="E72" s="5" t="s">
        <v>1047</v>
      </c>
      <c r="F72" s="5" t="s">
        <v>1714</v>
      </c>
      <c r="G72" s="5" t="s">
        <v>811</v>
      </c>
      <c r="H72" s="5" t="s">
        <v>1715</v>
      </c>
    </row>
    <row r="73" customFormat="false" ht="35.05" hidden="false" customHeight="false" outlineLevel="0" collapsed="false">
      <c r="A73" s="4" t="s">
        <v>1705</v>
      </c>
      <c r="B73" s="4" t="s">
        <v>380</v>
      </c>
      <c r="C73" s="4" t="s">
        <v>1716</v>
      </c>
      <c r="D73" s="4" t="s">
        <v>1717</v>
      </c>
      <c r="E73" s="4" t="s">
        <v>714</v>
      </c>
      <c r="F73" s="4" t="s">
        <v>1718</v>
      </c>
      <c r="G73" s="4" t="s">
        <v>1719</v>
      </c>
      <c r="H73" s="4" t="s">
        <v>1720</v>
      </c>
    </row>
    <row r="74" customFormat="false" ht="35.05" hidden="false" customHeight="false" outlineLevel="0" collapsed="false">
      <c r="A74" s="5" t="s">
        <v>1705</v>
      </c>
      <c r="B74" s="5" t="s">
        <v>385</v>
      </c>
      <c r="C74" s="5" t="s">
        <v>1721</v>
      </c>
      <c r="D74" s="5" t="s">
        <v>1722</v>
      </c>
      <c r="E74" s="5" t="s">
        <v>1480</v>
      </c>
      <c r="F74" s="5" t="s">
        <v>1723</v>
      </c>
      <c r="G74" s="5" t="s">
        <v>1724</v>
      </c>
      <c r="H74" s="5" t="s">
        <v>1725</v>
      </c>
    </row>
    <row r="75" customFormat="false" ht="35.05" hidden="false" customHeight="false" outlineLevel="0" collapsed="false">
      <c r="A75" s="4" t="s">
        <v>1705</v>
      </c>
      <c r="B75" s="4" t="s">
        <v>389</v>
      </c>
      <c r="C75" s="4" t="s">
        <v>1726</v>
      </c>
      <c r="D75" s="4" t="s">
        <v>1717</v>
      </c>
      <c r="E75" s="4" t="s">
        <v>1047</v>
      </c>
      <c r="F75" s="4" t="s">
        <v>1727</v>
      </c>
      <c r="G75" s="4" t="s">
        <v>1728</v>
      </c>
      <c r="H75" s="4" t="s">
        <v>1729</v>
      </c>
    </row>
    <row r="76" customFormat="false" ht="35.05" hidden="false" customHeight="false" outlineLevel="0" collapsed="false">
      <c r="A76" s="5" t="s">
        <v>1730</v>
      </c>
      <c r="B76" s="5" t="s">
        <v>368</v>
      </c>
      <c r="C76" s="5" t="s">
        <v>1731</v>
      </c>
      <c r="D76" s="5" t="s">
        <v>1732</v>
      </c>
      <c r="E76" s="5" t="s">
        <v>1708</v>
      </c>
      <c r="F76" s="5" t="s">
        <v>1733</v>
      </c>
      <c r="G76" s="5" t="s">
        <v>1734</v>
      </c>
      <c r="H76" s="5" t="s">
        <v>1735</v>
      </c>
    </row>
    <row r="77" customFormat="false" ht="35.05" hidden="false" customHeight="false" outlineLevel="0" collapsed="false">
      <c r="A77" s="4" t="s">
        <v>1730</v>
      </c>
      <c r="B77" s="4" t="s">
        <v>374</v>
      </c>
      <c r="C77" s="4" t="s">
        <v>1736</v>
      </c>
      <c r="D77" s="4" t="s">
        <v>1737</v>
      </c>
      <c r="E77" s="4" t="s">
        <v>714</v>
      </c>
      <c r="F77" s="4" t="s">
        <v>1738</v>
      </c>
      <c r="G77" s="4" t="s">
        <v>1739</v>
      </c>
      <c r="H77" s="4" t="s">
        <v>1740</v>
      </c>
    </row>
    <row r="78" customFormat="false" ht="35.05" hidden="false" customHeight="false" outlineLevel="0" collapsed="false">
      <c r="A78" s="5" t="s">
        <v>1730</v>
      </c>
      <c r="B78" s="5" t="s">
        <v>380</v>
      </c>
      <c r="C78" s="5" t="s">
        <v>1741</v>
      </c>
      <c r="D78" s="5" t="s">
        <v>1742</v>
      </c>
      <c r="E78" s="5" t="s">
        <v>1480</v>
      </c>
      <c r="F78" s="5" t="s">
        <v>1743</v>
      </c>
      <c r="G78" s="5" t="s">
        <v>1739</v>
      </c>
      <c r="H78" s="5" t="s">
        <v>1744</v>
      </c>
    </row>
    <row r="79" customFormat="false" ht="35.05" hidden="false" customHeight="false" outlineLevel="0" collapsed="false">
      <c r="A79" s="4" t="s">
        <v>1730</v>
      </c>
      <c r="B79" s="4" t="s">
        <v>385</v>
      </c>
      <c r="C79" s="4" t="s">
        <v>1745</v>
      </c>
      <c r="D79" s="4" t="s">
        <v>1746</v>
      </c>
      <c r="E79" s="4" t="s">
        <v>1047</v>
      </c>
      <c r="F79" s="4" t="s">
        <v>1747</v>
      </c>
      <c r="G79" s="4" t="s">
        <v>1739</v>
      </c>
      <c r="H79" s="4" t="s">
        <v>1748</v>
      </c>
    </row>
    <row r="80" customFormat="false" ht="35.05" hidden="false" customHeight="false" outlineLevel="0" collapsed="false">
      <c r="A80" s="5" t="s">
        <v>1730</v>
      </c>
      <c r="B80" s="5" t="s">
        <v>389</v>
      </c>
      <c r="C80" s="5" t="s">
        <v>1749</v>
      </c>
      <c r="D80" s="5" t="s">
        <v>1750</v>
      </c>
      <c r="E80" s="5" t="s">
        <v>1708</v>
      </c>
      <c r="F80" s="5" t="s">
        <v>1751</v>
      </c>
      <c r="G80" s="5" t="s">
        <v>1739</v>
      </c>
      <c r="H80" s="5" t="s">
        <v>1752</v>
      </c>
    </row>
    <row r="81" customFormat="false" ht="35.05" hidden="false" customHeight="false" outlineLevel="0" collapsed="false">
      <c r="A81" s="4" t="s">
        <v>1753</v>
      </c>
      <c r="B81" s="4" t="s">
        <v>368</v>
      </c>
      <c r="C81" s="4" t="s">
        <v>1754</v>
      </c>
      <c r="D81" s="4" t="s">
        <v>1755</v>
      </c>
      <c r="E81" s="4" t="s">
        <v>1708</v>
      </c>
      <c r="F81" s="4" t="s">
        <v>1756</v>
      </c>
      <c r="G81" s="4" t="s">
        <v>1757</v>
      </c>
      <c r="H81" s="4" t="s">
        <v>1735</v>
      </c>
    </row>
    <row r="82" customFormat="false" ht="35.05" hidden="false" customHeight="false" outlineLevel="0" collapsed="false">
      <c r="A82" s="5" t="s">
        <v>1753</v>
      </c>
      <c r="B82" s="5" t="s">
        <v>374</v>
      </c>
      <c r="C82" s="5" t="s">
        <v>1758</v>
      </c>
      <c r="D82" s="5" t="s">
        <v>1759</v>
      </c>
      <c r="E82" s="5" t="s">
        <v>1480</v>
      </c>
      <c r="F82" s="5" t="s">
        <v>1760</v>
      </c>
      <c r="G82" s="5" t="s">
        <v>1757</v>
      </c>
      <c r="H82" s="5" t="s">
        <v>1744</v>
      </c>
    </row>
    <row r="83" customFormat="false" ht="35.05" hidden="false" customHeight="false" outlineLevel="0" collapsed="false">
      <c r="A83" s="4" t="s">
        <v>1753</v>
      </c>
      <c r="B83" s="4" t="s">
        <v>380</v>
      </c>
      <c r="C83" s="4" t="s">
        <v>1761</v>
      </c>
      <c r="D83" s="4" t="s">
        <v>1762</v>
      </c>
      <c r="E83" s="4" t="s">
        <v>1047</v>
      </c>
      <c r="F83" s="4" t="s">
        <v>1763</v>
      </c>
      <c r="G83" s="4" t="s">
        <v>1764</v>
      </c>
      <c r="H83" s="4" t="s">
        <v>1748</v>
      </c>
    </row>
    <row r="84" customFormat="false" ht="23.85" hidden="false" customHeight="false" outlineLevel="0" collapsed="false">
      <c r="A84" s="5" t="s">
        <v>1753</v>
      </c>
      <c r="B84" s="5" t="s">
        <v>385</v>
      </c>
      <c r="C84" s="5" t="s">
        <v>1765</v>
      </c>
      <c r="D84" s="5" t="s">
        <v>1766</v>
      </c>
      <c r="E84" s="5" t="s">
        <v>714</v>
      </c>
      <c r="F84" s="5" t="s">
        <v>1767</v>
      </c>
      <c r="G84" s="5" t="s">
        <v>1764</v>
      </c>
      <c r="H84" s="5" t="s">
        <v>1768</v>
      </c>
    </row>
    <row r="85" customFormat="false" ht="35.05" hidden="false" customHeight="false" outlineLevel="0" collapsed="false">
      <c r="A85" s="4" t="s">
        <v>1753</v>
      </c>
      <c r="B85" s="4" t="s">
        <v>389</v>
      </c>
      <c r="C85" s="4" t="s">
        <v>1769</v>
      </c>
      <c r="D85" s="4" t="s">
        <v>1742</v>
      </c>
      <c r="E85" s="4" t="s">
        <v>1708</v>
      </c>
      <c r="F85" s="4" t="s">
        <v>1770</v>
      </c>
      <c r="G85" s="4" t="s">
        <v>1764</v>
      </c>
      <c r="H85" s="4" t="s">
        <v>1752</v>
      </c>
    </row>
  </sheetData>
  <mergeCells count="4">
    <mergeCell ref="A1:G1"/>
    <mergeCell ref="A3:G3"/>
    <mergeCell ref="A17:G17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C3F7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" width="22"/>
    <col collapsed="false" customWidth="true" hidden="false" outlineLevel="0" max="3" min="3" style="2" width="38"/>
    <col collapsed="false" customWidth="true" hidden="false" outlineLevel="0" max="4" min="4" style="2" width="22"/>
    <col collapsed="false" customWidth="true" hidden="false" outlineLevel="0" max="5" min="5" style="2" width="30"/>
    <col collapsed="false" customWidth="true" hidden="false" outlineLevel="0" max="8" min="6" style="2" width="22"/>
  </cols>
  <sheetData>
    <row r="1" customFormat="false" ht="15" hidden="false" customHeight="true" outlineLevel="0" collapsed="false">
      <c r="A1" s="109" t="s">
        <v>1771</v>
      </c>
      <c r="B1" s="109"/>
      <c r="C1" s="109"/>
      <c r="D1" s="109"/>
      <c r="E1" s="109"/>
      <c r="F1" s="109"/>
      <c r="G1" s="109"/>
      <c r="H1" s="109"/>
    </row>
    <row r="3" customFormat="false" ht="15" hidden="false" customHeight="true" outlineLevel="0" collapsed="false">
      <c r="A3" s="110" t="s">
        <v>1772</v>
      </c>
      <c r="B3" s="110"/>
      <c r="C3" s="110"/>
      <c r="D3" s="110"/>
      <c r="E3" s="110"/>
      <c r="F3" s="110"/>
      <c r="G3" s="110"/>
      <c r="H3" s="110"/>
    </row>
    <row r="4" customFormat="false" ht="15" hidden="false" customHeight="true" outlineLevel="0" collapsed="false">
      <c r="A4" s="111" t="s">
        <v>1773</v>
      </c>
      <c r="B4" s="111" t="s">
        <v>1343</v>
      </c>
      <c r="C4" s="111" t="s">
        <v>1774</v>
      </c>
      <c r="D4" s="111" t="s">
        <v>1495</v>
      </c>
      <c r="E4" s="111" t="s">
        <v>318</v>
      </c>
      <c r="F4" s="111" t="s">
        <v>454</v>
      </c>
      <c r="G4" s="111" t="s">
        <v>290</v>
      </c>
    </row>
    <row r="5" customFormat="false" ht="15" hidden="false" customHeight="true" outlineLevel="0" collapsed="false">
      <c r="A5" s="72" t="s">
        <v>1775</v>
      </c>
      <c r="B5" s="72" t="s">
        <v>1776</v>
      </c>
      <c r="C5" s="72" t="s">
        <v>1777</v>
      </c>
      <c r="D5" s="72" t="s">
        <v>1778</v>
      </c>
      <c r="E5" s="72" t="s">
        <v>1779</v>
      </c>
      <c r="F5" s="72" t="s">
        <v>405</v>
      </c>
      <c r="G5" s="72" t="s">
        <v>980</v>
      </c>
    </row>
    <row r="6" customFormat="false" ht="15" hidden="false" customHeight="true" outlineLevel="0" collapsed="false">
      <c r="A6" s="74" t="s">
        <v>1780</v>
      </c>
      <c r="B6" s="74" t="s">
        <v>1781</v>
      </c>
      <c r="C6" s="74" t="s">
        <v>1777</v>
      </c>
      <c r="D6" s="74" t="s">
        <v>1782</v>
      </c>
      <c r="E6" s="74" t="s">
        <v>1783</v>
      </c>
      <c r="F6" s="74" t="s">
        <v>405</v>
      </c>
      <c r="G6" s="74" t="s">
        <v>980</v>
      </c>
    </row>
    <row r="7" customFormat="false" ht="15" hidden="false" customHeight="true" outlineLevel="0" collapsed="false">
      <c r="A7" s="72" t="s">
        <v>1784</v>
      </c>
      <c r="B7" s="72" t="s">
        <v>1781</v>
      </c>
      <c r="C7" s="72" t="s">
        <v>1777</v>
      </c>
      <c r="D7" s="72" t="s">
        <v>1785</v>
      </c>
      <c r="E7" s="72" t="s">
        <v>1786</v>
      </c>
      <c r="F7" s="72" t="s">
        <v>405</v>
      </c>
      <c r="G7" s="72" t="s">
        <v>980</v>
      </c>
    </row>
    <row r="8" customFormat="false" ht="15" hidden="false" customHeight="true" outlineLevel="0" collapsed="false">
      <c r="A8" s="74" t="s">
        <v>1787</v>
      </c>
      <c r="B8" s="74" t="s">
        <v>1781</v>
      </c>
      <c r="C8" s="74" t="s">
        <v>1777</v>
      </c>
      <c r="D8" s="74" t="s">
        <v>1788</v>
      </c>
      <c r="E8" s="74" t="s">
        <v>1789</v>
      </c>
      <c r="F8" s="74" t="s">
        <v>405</v>
      </c>
      <c r="G8" s="74" t="s">
        <v>980</v>
      </c>
    </row>
    <row r="9" customFormat="false" ht="15" hidden="false" customHeight="true" outlineLevel="0" collapsed="false">
      <c r="A9" s="72" t="s">
        <v>1790</v>
      </c>
      <c r="B9" s="72" t="s">
        <v>1781</v>
      </c>
      <c r="C9" s="72" t="s">
        <v>1777</v>
      </c>
      <c r="D9" s="72" t="s">
        <v>1791</v>
      </c>
      <c r="E9" s="72" t="s">
        <v>1792</v>
      </c>
      <c r="F9" s="72" t="s">
        <v>405</v>
      </c>
      <c r="G9" s="72" t="s">
        <v>980</v>
      </c>
    </row>
    <row r="10" customFormat="false" ht="15" hidden="false" customHeight="true" outlineLevel="0" collapsed="false">
      <c r="A10" s="74" t="s">
        <v>1793</v>
      </c>
      <c r="B10" s="74" t="s">
        <v>1781</v>
      </c>
      <c r="C10" s="74" t="s">
        <v>1777</v>
      </c>
      <c r="D10" s="74" t="s">
        <v>1794</v>
      </c>
      <c r="E10" s="74" t="s">
        <v>1795</v>
      </c>
      <c r="F10" s="74" t="s">
        <v>405</v>
      </c>
      <c r="G10" s="74" t="s">
        <v>980</v>
      </c>
    </row>
    <row r="11" customFormat="false" ht="15" hidden="false" customHeight="true" outlineLevel="0" collapsed="false">
      <c r="A11" s="72" t="s">
        <v>1796</v>
      </c>
      <c r="B11" s="72" t="s">
        <v>1797</v>
      </c>
      <c r="C11" s="72" t="s">
        <v>710</v>
      </c>
      <c r="D11" s="72" t="s">
        <v>1778</v>
      </c>
      <c r="E11" s="72" t="s">
        <v>1798</v>
      </c>
      <c r="F11" s="72" t="s">
        <v>405</v>
      </c>
      <c r="G11" s="72" t="s">
        <v>980</v>
      </c>
    </row>
    <row r="12" customFormat="false" ht="15" hidden="false" customHeight="true" outlineLevel="0" collapsed="false">
      <c r="A12" s="74" t="s">
        <v>1799</v>
      </c>
      <c r="B12" s="74" t="s">
        <v>1797</v>
      </c>
      <c r="C12" s="74" t="s">
        <v>710</v>
      </c>
      <c r="D12" s="74" t="s">
        <v>1800</v>
      </c>
      <c r="E12" s="74" t="s">
        <v>1801</v>
      </c>
      <c r="F12" s="74" t="s">
        <v>405</v>
      </c>
      <c r="G12" s="74" t="s">
        <v>980</v>
      </c>
    </row>
    <row r="13" customFormat="false" ht="15" hidden="false" customHeight="true" outlineLevel="0" collapsed="false">
      <c r="A13" s="72" t="s">
        <v>1802</v>
      </c>
      <c r="B13" s="72" t="s">
        <v>1797</v>
      </c>
      <c r="C13" s="72" t="s">
        <v>710</v>
      </c>
      <c r="D13" s="72" t="s">
        <v>1803</v>
      </c>
      <c r="E13" s="72" t="s">
        <v>1804</v>
      </c>
      <c r="F13" s="72" t="s">
        <v>405</v>
      </c>
      <c r="G13" s="72" t="s">
        <v>980</v>
      </c>
    </row>
    <row r="14" customFormat="false" ht="23.25" hidden="false" customHeight="true" outlineLevel="0" collapsed="false">
      <c r="A14" s="74" t="s">
        <v>1805</v>
      </c>
      <c r="B14" s="74" t="s">
        <v>1797</v>
      </c>
      <c r="C14" s="74" t="s">
        <v>710</v>
      </c>
      <c r="D14" s="74" t="s">
        <v>1806</v>
      </c>
      <c r="E14" s="74" t="s">
        <v>1807</v>
      </c>
      <c r="F14" s="74" t="s">
        <v>405</v>
      </c>
      <c r="G14" s="74" t="s">
        <v>980</v>
      </c>
    </row>
    <row r="15" customFormat="false" ht="15" hidden="false" customHeight="true" outlineLevel="0" collapsed="false">
      <c r="A15" s="72" t="s">
        <v>1808</v>
      </c>
      <c r="B15" s="72" t="s">
        <v>1797</v>
      </c>
      <c r="C15" s="72" t="s">
        <v>713</v>
      </c>
      <c r="D15" s="72" t="s">
        <v>1778</v>
      </c>
      <c r="E15" s="72" t="s">
        <v>1809</v>
      </c>
      <c r="F15" s="72" t="s">
        <v>405</v>
      </c>
      <c r="G15" s="72" t="s">
        <v>980</v>
      </c>
    </row>
    <row r="16" customFormat="false" ht="15" hidden="false" customHeight="true" outlineLevel="0" collapsed="false">
      <c r="A16" s="74" t="s">
        <v>1810</v>
      </c>
      <c r="B16" s="74" t="s">
        <v>1797</v>
      </c>
      <c r="C16" s="74" t="s">
        <v>713</v>
      </c>
      <c r="D16" s="74" t="s">
        <v>1811</v>
      </c>
      <c r="E16" s="74" t="s">
        <v>1812</v>
      </c>
      <c r="F16" s="74" t="s">
        <v>405</v>
      </c>
      <c r="G16" s="74" t="s">
        <v>980</v>
      </c>
    </row>
    <row r="17" customFormat="false" ht="15" hidden="false" customHeight="true" outlineLevel="0" collapsed="false">
      <c r="A17" s="72" t="s">
        <v>1813</v>
      </c>
      <c r="B17" s="72" t="s">
        <v>1797</v>
      </c>
      <c r="C17" s="72" t="s">
        <v>713</v>
      </c>
      <c r="D17" s="72" t="s">
        <v>1800</v>
      </c>
      <c r="E17" s="72" t="s">
        <v>1814</v>
      </c>
      <c r="F17" s="72" t="s">
        <v>405</v>
      </c>
      <c r="G17" s="72" t="s">
        <v>980</v>
      </c>
    </row>
    <row r="18" customFormat="false" ht="23.25" hidden="false" customHeight="true" outlineLevel="0" collapsed="false">
      <c r="A18" s="74" t="s">
        <v>1815</v>
      </c>
      <c r="B18" s="74" t="s">
        <v>1815</v>
      </c>
      <c r="C18" s="74" t="s">
        <v>1081</v>
      </c>
      <c r="D18" s="74" t="s">
        <v>1816</v>
      </c>
      <c r="E18" s="74" t="s">
        <v>1817</v>
      </c>
      <c r="F18" s="74" t="s">
        <v>405</v>
      </c>
      <c r="G18" s="74" t="s">
        <v>980</v>
      </c>
    </row>
    <row r="19" customFormat="false" ht="15" hidden="false" customHeight="true" outlineLevel="0" collapsed="false">
      <c r="A19" s="72" t="s">
        <v>1818</v>
      </c>
      <c r="B19" s="72" t="s">
        <v>1818</v>
      </c>
      <c r="C19" s="72" t="s">
        <v>1081</v>
      </c>
      <c r="D19" s="72" t="s">
        <v>1778</v>
      </c>
      <c r="E19" s="72" t="s">
        <v>1819</v>
      </c>
      <c r="F19" s="72" t="s">
        <v>405</v>
      </c>
      <c r="G19" s="72" t="s">
        <v>980</v>
      </c>
    </row>
    <row r="20" customFormat="false" ht="15" hidden="false" customHeight="true" outlineLevel="0" collapsed="false">
      <c r="A20" s="74" t="s">
        <v>1820</v>
      </c>
      <c r="B20" s="74" t="s">
        <v>1797</v>
      </c>
      <c r="C20" s="74" t="s">
        <v>714</v>
      </c>
      <c r="D20" s="74" t="s">
        <v>1821</v>
      </c>
      <c r="E20" s="74" t="s">
        <v>1822</v>
      </c>
      <c r="F20" s="74" t="s">
        <v>993</v>
      </c>
      <c r="G20" s="74" t="s">
        <v>980</v>
      </c>
    </row>
    <row r="22" customFormat="false" ht="15" hidden="false" customHeight="true" outlineLevel="0" collapsed="false">
      <c r="A22" s="110" t="s">
        <v>1823</v>
      </c>
      <c r="B22" s="110"/>
      <c r="C22" s="110"/>
      <c r="D22" s="110"/>
      <c r="E22" s="110"/>
      <c r="F22" s="110"/>
      <c r="G22" s="110"/>
      <c r="H22" s="110"/>
    </row>
    <row r="23" customFormat="false" ht="15" hidden="false" customHeight="true" outlineLevel="0" collapsed="false">
      <c r="A23" s="111" t="s">
        <v>1495</v>
      </c>
      <c r="B23" s="111" t="s">
        <v>1343</v>
      </c>
      <c r="C23" s="111" t="s">
        <v>1703</v>
      </c>
      <c r="D23" s="111" t="s">
        <v>1824</v>
      </c>
      <c r="E23" s="111" t="s">
        <v>318</v>
      </c>
    </row>
    <row r="24" customFormat="false" ht="23.25" hidden="false" customHeight="true" outlineLevel="0" collapsed="false">
      <c r="A24" s="72" t="s">
        <v>1778</v>
      </c>
      <c r="B24" s="72" t="s">
        <v>1825</v>
      </c>
      <c r="C24" s="72" t="s">
        <v>1826</v>
      </c>
      <c r="D24" s="72" t="s">
        <v>1827</v>
      </c>
      <c r="E24" s="72" t="s">
        <v>1828</v>
      </c>
    </row>
    <row r="25" customFormat="false" ht="34.5" hidden="false" customHeight="true" outlineLevel="0" collapsed="false">
      <c r="A25" s="74" t="s">
        <v>1829</v>
      </c>
      <c r="B25" s="74" t="s">
        <v>1830</v>
      </c>
      <c r="C25" s="74" t="s">
        <v>1831</v>
      </c>
      <c r="D25" s="74" t="s">
        <v>1832</v>
      </c>
      <c r="E25" s="74" t="s">
        <v>1833</v>
      </c>
    </row>
    <row r="26" customFormat="false" ht="23.25" hidden="false" customHeight="true" outlineLevel="0" collapsed="false">
      <c r="A26" s="72" t="s">
        <v>1834</v>
      </c>
      <c r="B26" s="72" t="s">
        <v>1835</v>
      </c>
      <c r="C26" s="72" t="s">
        <v>1836</v>
      </c>
      <c r="D26" s="72" t="s">
        <v>1837</v>
      </c>
      <c r="E26" s="72" t="s">
        <v>1838</v>
      </c>
    </row>
    <row r="27" customFormat="false" ht="15" hidden="false" customHeight="true" outlineLevel="0" collapsed="false">
      <c r="A27" s="74" t="s">
        <v>1839</v>
      </c>
      <c r="B27" s="74" t="s">
        <v>1835</v>
      </c>
      <c r="C27" s="74" t="s">
        <v>1840</v>
      </c>
      <c r="D27" s="74" t="s">
        <v>1841</v>
      </c>
      <c r="E27" s="74" t="s">
        <v>1842</v>
      </c>
    </row>
    <row r="28" customFormat="false" ht="15" hidden="false" customHeight="true" outlineLevel="0" collapsed="false">
      <c r="A28" s="72" t="s">
        <v>1843</v>
      </c>
      <c r="B28" s="72" t="s">
        <v>1844</v>
      </c>
      <c r="C28" s="72" t="s">
        <v>1845</v>
      </c>
      <c r="D28" s="72" t="s">
        <v>1846</v>
      </c>
      <c r="E28" s="72" t="s">
        <v>1847</v>
      </c>
    </row>
    <row r="29" customFormat="false" ht="23.25" hidden="false" customHeight="true" outlineLevel="0" collapsed="false">
      <c r="A29" s="74" t="s">
        <v>1848</v>
      </c>
      <c r="B29" s="74" t="s">
        <v>1825</v>
      </c>
      <c r="C29" s="74" t="s">
        <v>1849</v>
      </c>
      <c r="D29" s="74" t="s">
        <v>1850</v>
      </c>
      <c r="E29" s="74" t="s">
        <v>1851</v>
      </c>
    </row>
    <row r="30" customFormat="false" ht="15" hidden="false" customHeight="true" outlineLevel="0" collapsed="false">
      <c r="A30" s="72" t="s">
        <v>1852</v>
      </c>
      <c r="B30" s="72" t="s">
        <v>1830</v>
      </c>
      <c r="C30" s="72" t="s">
        <v>1853</v>
      </c>
      <c r="D30" s="72" t="s">
        <v>1854</v>
      </c>
      <c r="E30" s="72" t="s">
        <v>1855</v>
      </c>
    </row>
    <row r="31" customFormat="false" ht="15" hidden="false" customHeight="true" outlineLevel="0" collapsed="false">
      <c r="A31" s="74" t="s">
        <v>1856</v>
      </c>
      <c r="B31" s="74" t="s">
        <v>1844</v>
      </c>
      <c r="C31" s="74" t="s">
        <v>1857</v>
      </c>
      <c r="D31" s="74" t="s">
        <v>1858</v>
      </c>
      <c r="E31" s="74" t="s">
        <v>1859</v>
      </c>
    </row>
  </sheetData>
  <mergeCells count="3">
    <mergeCell ref="A1:H1"/>
    <mergeCell ref="A3:H3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" width="18"/>
    <col collapsed="false" customWidth="true" hidden="false" outlineLevel="0" max="3" min="3" style="2" width="30"/>
    <col collapsed="false" customWidth="true" hidden="false" outlineLevel="0" max="4" min="4" style="2" width="55"/>
    <col collapsed="false" customWidth="true" hidden="false" outlineLevel="0" max="7" min="5" style="2" width="18"/>
  </cols>
  <sheetData>
    <row r="1" customFormat="false" ht="15" hidden="false" customHeight="true" outlineLevel="0" collapsed="false">
      <c r="A1" s="112" t="s">
        <v>1860</v>
      </c>
      <c r="B1" s="112"/>
      <c r="C1" s="112"/>
      <c r="D1" s="112"/>
      <c r="E1" s="112"/>
      <c r="F1" s="112"/>
      <c r="G1" s="112"/>
    </row>
    <row r="3" customFormat="false" ht="15" hidden="false" customHeight="true" outlineLevel="0" collapsed="false">
      <c r="A3" s="113" t="s">
        <v>1861</v>
      </c>
      <c r="B3" s="113"/>
      <c r="C3" s="113"/>
      <c r="D3" s="113"/>
      <c r="E3" s="113"/>
      <c r="F3" s="113"/>
      <c r="G3" s="113"/>
    </row>
    <row r="4" customFormat="false" ht="15" hidden="false" customHeight="true" outlineLevel="0" collapsed="false">
      <c r="A4" s="114" t="s">
        <v>598</v>
      </c>
      <c r="B4" s="114" t="s">
        <v>312</v>
      </c>
      <c r="C4" s="114" t="s">
        <v>1061</v>
      </c>
      <c r="D4" s="114" t="s">
        <v>975</v>
      </c>
      <c r="E4" s="114" t="s">
        <v>1060</v>
      </c>
      <c r="F4" s="114" t="s">
        <v>1065</v>
      </c>
      <c r="G4" s="114" t="s">
        <v>1862</v>
      </c>
    </row>
    <row r="5" customFormat="false" ht="15" hidden="false" customHeight="true" outlineLevel="0" collapsed="false">
      <c r="A5" s="72" t="s">
        <v>368</v>
      </c>
      <c r="B5" s="72" t="s">
        <v>1081</v>
      </c>
      <c r="C5" s="72" t="s">
        <v>1863</v>
      </c>
      <c r="D5" s="72" t="s">
        <v>1864</v>
      </c>
      <c r="E5" s="72" t="s">
        <v>1865</v>
      </c>
      <c r="F5" s="72" t="s">
        <v>488</v>
      </c>
      <c r="G5" s="72" t="s">
        <v>980</v>
      </c>
    </row>
    <row r="6" customFormat="false" ht="15" hidden="false" customHeight="true" outlineLevel="0" collapsed="false">
      <c r="A6" s="74" t="s">
        <v>374</v>
      </c>
      <c r="B6" s="74" t="s">
        <v>1081</v>
      </c>
      <c r="C6" s="74" t="s">
        <v>1866</v>
      </c>
      <c r="D6" s="74" t="s">
        <v>1867</v>
      </c>
      <c r="E6" s="74" t="s">
        <v>1868</v>
      </c>
      <c r="F6" s="74" t="s">
        <v>488</v>
      </c>
      <c r="G6" s="74" t="s">
        <v>980</v>
      </c>
    </row>
    <row r="7" customFormat="false" ht="15" hidden="false" customHeight="true" outlineLevel="0" collapsed="false">
      <c r="A7" s="72" t="s">
        <v>380</v>
      </c>
      <c r="B7" s="72" t="s">
        <v>497</v>
      </c>
      <c r="C7" s="72" t="s">
        <v>1869</v>
      </c>
      <c r="D7" s="72" t="s">
        <v>1870</v>
      </c>
      <c r="E7" s="72" t="s">
        <v>1871</v>
      </c>
      <c r="F7" s="72" t="s">
        <v>488</v>
      </c>
      <c r="G7" s="72" t="s">
        <v>980</v>
      </c>
    </row>
    <row r="8" customFormat="false" ht="15" hidden="false" customHeight="true" outlineLevel="0" collapsed="false">
      <c r="A8" s="74" t="s">
        <v>385</v>
      </c>
      <c r="B8" s="74" t="s">
        <v>713</v>
      </c>
      <c r="C8" s="74" t="s">
        <v>1872</v>
      </c>
      <c r="D8" s="74" t="s">
        <v>1873</v>
      </c>
      <c r="E8" s="74" t="s">
        <v>1874</v>
      </c>
      <c r="F8" s="74" t="s">
        <v>488</v>
      </c>
      <c r="G8" s="74" t="s">
        <v>980</v>
      </c>
    </row>
    <row r="9" customFormat="false" ht="15" hidden="false" customHeight="true" outlineLevel="0" collapsed="false">
      <c r="A9" s="72" t="s">
        <v>389</v>
      </c>
      <c r="B9" s="72" t="s">
        <v>1875</v>
      </c>
      <c r="C9" s="72" t="s">
        <v>1876</v>
      </c>
      <c r="D9" s="72" t="s">
        <v>1877</v>
      </c>
      <c r="E9" s="72" t="s">
        <v>1878</v>
      </c>
      <c r="F9" s="72" t="s">
        <v>1879</v>
      </c>
      <c r="G9" s="72" t="s">
        <v>980</v>
      </c>
    </row>
    <row r="10" customFormat="false" ht="15" hidden="false" customHeight="true" outlineLevel="0" collapsed="false">
      <c r="A10" s="74" t="s">
        <v>394</v>
      </c>
      <c r="B10" s="74" t="s">
        <v>1875</v>
      </c>
      <c r="C10" s="74" t="s">
        <v>1880</v>
      </c>
      <c r="D10" s="74" t="s">
        <v>1881</v>
      </c>
      <c r="E10" s="74" t="s">
        <v>1882</v>
      </c>
      <c r="F10" s="74" t="s">
        <v>1879</v>
      </c>
      <c r="G10" s="74" t="s">
        <v>980</v>
      </c>
    </row>
    <row r="11" customFormat="false" ht="15" hidden="false" customHeight="true" outlineLevel="0" collapsed="false">
      <c r="A11" s="72" t="s">
        <v>397</v>
      </c>
      <c r="B11" s="72" t="s">
        <v>484</v>
      </c>
      <c r="C11" s="72" t="s">
        <v>1883</v>
      </c>
      <c r="D11" s="72" t="s">
        <v>1884</v>
      </c>
      <c r="E11" s="72" t="s">
        <v>1885</v>
      </c>
      <c r="F11" s="72" t="s">
        <v>482</v>
      </c>
      <c r="G11" s="72" t="s">
        <v>980</v>
      </c>
    </row>
    <row r="12" customFormat="false" ht="15" hidden="false" customHeight="true" outlineLevel="0" collapsed="false">
      <c r="A12" s="74" t="s">
        <v>401</v>
      </c>
      <c r="B12" s="74" t="s">
        <v>714</v>
      </c>
      <c r="C12" s="74" t="s">
        <v>1886</v>
      </c>
      <c r="D12" s="74" t="s">
        <v>1887</v>
      </c>
      <c r="E12" s="74" t="s">
        <v>1888</v>
      </c>
      <c r="F12" s="74" t="s">
        <v>1889</v>
      </c>
      <c r="G12" s="74" t="s">
        <v>980</v>
      </c>
    </row>
    <row r="13" customFormat="false" ht="15" hidden="false" customHeight="true" outlineLevel="0" collapsed="false">
      <c r="A13" s="72" t="s">
        <v>408</v>
      </c>
      <c r="B13" s="72" t="s">
        <v>1890</v>
      </c>
      <c r="C13" s="72" t="s">
        <v>1891</v>
      </c>
      <c r="D13" s="72" t="s">
        <v>1892</v>
      </c>
      <c r="E13" s="72" t="s">
        <v>1893</v>
      </c>
      <c r="F13" s="72" t="s">
        <v>1879</v>
      </c>
      <c r="G13" s="72" t="s">
        <v>980</v>
      </c>
    </row>
    <row r="14" customFormat="false" ht="15" hidden="false" customHeight="true" outlineLevel="0" collapsed="false">
      <c r="A14" s="74" t="s">
        <v>413</v>
      </c>
      <c r="B14" s="74" t="s">
        <v>1890</v>
      </c>
      <c r="C14" s="74" t="s">
        <v>1894</v>
      </c>
      <c r="D14" s="74" t="s">
        <v>1895</v>
      </c>
      <c r="E14" s="74" t="s">
        <v>1896</v>
      </c>
      <c r="F14" s="74" t="s">
        <v>1897</v>
      </c>
      <c r="G14" s="74" t="s">
        <v>980</v>
      </c>
    </row>
    <row r="16" customFormat="false" ht="15" hidden="false" customHeight="true" outlineLevel="0" collapsed="false">
      <c r="A16" s="113" t="s">
        <v>1898</v>
      </c>
      <c r="B16" s="113"/>
      <c r="C16" s="113"/>
      <c r="D16" s="113"/>
      <c r="E16" s="113"/>
      <c r="F16" s="113"/>
      <c r="G16" s="113"/>
    </row>
    <row r="17" customFormat="false" ht="15" hidden="false" customHeight="true" outlineLevel="0" collapsed="false">
      <c r="A17" s="114" t="s">
        <v>598</v>
      </c>
      <c r="B17" s="114" t="s">
        <v>312</v>
      </c>
      <c r="C17" s="114" t="s">
        <v>1061</v>
      </c>
      <c r="D17" s="114" t="s">
        <v>975</v>
      </c>
      <c r="E17" s="114" t="s">
        <v>444</v>
      </c>
      <c r="F17" s="114" t="s">
        <v>1065</v>
      </c>
      <c r="G17" s="114" t="s">
        <v>1862</v>
      </c>
    </row>
    <row r="18" customFormat="false" ht="15" hidden="false" customHeight="true" outlineLevel="0" collapsed="false">
      <c r="A18" s="72" t="s">
        <v>368</v>
      </c>
      <c r="B18" s="72" t="s">
        <v>1081</v>
      </c>
      <c r="C18" s="72" t="s">
        <v>1899</v>
      </c>
      <c r="D18" s="72" t="s">
        <v>1900</v>
      </c>
      <c r="E18" s="72" t="s">
        <v>1901</v>
      </c>
      <c r="F18" s="72" t="s">
        <v>488</v>
      </c>
      <c r="G18" s="72" t="s">
        <v>980</v>
      </c>
    </row>
    <row r="19" customFormat="false" ht="15" hidden="false" customHeight="true" outlineLevel="0" collapsed="false">
      <c r="A19" s="74" t="s">
        <v>374</v>
      </c>
      <c r="B19" s="74" t="s">
        <v>1081</v>
      </c>
      <c r="C19" s="74" t="s">
        <v>1902</v>
      </c>
      <c r="D19" s="74" t="s">
        <v>1903</v>
      </c>
      <c r="E19" s="74" t="s">
        <v>1901</v>
      </c>
      <c r="F19" s="74" t="s">
        <v>488</v>
      </c>
      <c r="G19" s="74" t="s">
        <v>980</v>
      </c>
    </row>
    <row r="20" customFormat="false" ht="23.25" hidden="false" customHeight="true" outlineLevel="0" collapsed="false">
      <c r="A20" s="72" t="s">
        <v>380</v>
      </c>
      <c r="B20" s="72" t="s">
        <v>497</v>
      </c>
      <c r="C20" s="72" t="s">
        <v>1904</v>
      </c>
      <c r="D20" s="72" t="s">
        <v>1905</v>
      </c>
      <c r="E20" s="72" t="s">
        <v>1901</v>
      </c>
      <c r="F20" s="72" t="s">
        <v>1906</v>
      </c>
      <c r="G20" s="72" t="s">
        <v>980</v>
      </c>
    </row>
    <row r="21" customFormat="false" ht="15" hidden="false" customHeight="true" outlineLevel="0" collapsed="false">
      <c r="A21" s="74" t="s">
        <v>385</v>
      </c>
      <c r="B21" s="74" t="s">
        <v>713</v>
      </c>
      <c r="C21" s="74" t="s">
        <v>1907</v>
      </c>
      <c r="D21" s="74" t="s">
        <v>1908</v>
      </c>
      <c r="E21" s="74" t="s">
        <v>1901</v>
      </c>
      <c r="F21" s="74" t="s">
        <v>484</v>
      </c>
      <c r="G21" s="74" t="s">
        <v>980</v>
      </c>
    </row>
    <row r="22" customFormat="false" ht="15" hidden="false" customHeight="true" outlineLevel="0" collapsed="false">
      <c r="A22" s="72" t="s">
        <v>389</v>
      </c>
      <c r="B22" s="72" t="s">
        <v>714</v>
      </c>
      <c r="C22" s="72" t="s">
        <v>1909</v>
      </c>
      <c r="D22" s="72" t="s">
        <v>1910</v>
      </c>
      <c r="E22" s="72" t="s">
        <v>1901</v>
      </c>
      <c r="F22" s="72" t="s">
        <v>484</v>
      </c>
      <c r="G22" s="72" t="s">
        <v>980</v>
      </c>
    </row>
    <row r="23" customFormat="false" ht="15" hidden="false" customHeight="true" outlineLevel="0" collapsed="false">
      <c r="A23" s="74" t="s">
        <v>394</v>
      </c>
      <c r="B23" s="74" t="s">
        <v>336</v>
      </c>
      <c r="C23" s="74" t="s">
        <v>1911</v>
      </c>
      <c r="D23" s="74" t="s">
        <v>1912</v>
      </c>
      <c r="E23" s="74" t="s">
        <v>1901</v>
      </c>
      <c r="F23" s="74" t="s">
        <v>1913</v>
      </c>
      <c r="G23" s="74" t="s">
        <v>980</v>
      </c>
    </row>
    <row r="24" customFormat="false" ht="15" hidden="false" customHeight="true" outlineLevel="0" collapsed="false">
      <c r="A24" s="72" t="s">
        <v>397</v>
      </c>
      <c r="B24" s="72" t="s">
        <v>325</v>
      </c>
      <c r="C24" s="72" t="s">
        <v>1914</v>
      </c>
      <c r="D24" s="72" t="s">
        <v>1915</v>
      </c>
      <c r="E24" s="72" t="s">
        <v>1901</v>
      </c>
      <c r="F24" s="72" t="s">
        <v>488</v>
      </c>
      <c r="G24" s="72" t="s">
        <v>980</v>
      </c>
    </row>
    <row r="25" customFormat="false" ht="15" hidden="false" customHeight="true" outlineLevel="0" collapsed="false">
      <c r="A25" s="74" t="s">
        <v>401</v>
      </c>
      <c r="B25" s="74" t="s">
        <v>1890</v>
      </c>
      <c r="C25" s="74" t="s">
        <v>1916</v>
      </c>
      <c r="D25" s="74" t="s">
        <v>1917</v>
      </c>
      <c r="E25" s="74" t="s">
        <v>1918</v>
      </c>
      <c r="F25" s="74" t="s">
        <v>1879</v>
      </c>
      <c r="G25" s="74" t="s">
        <v>980</v>
      </c>
    </row>
    <row r="26" customFormat="false" ht="15" hidden="false" customHeight="true" outlineLevel="0" collapsed="false">
      <c r="A26" s="72" t="s">
        <v>408</v>
      </c>
      <c r="B26" s="72" t="s">
        <v>1890</v>
      </c>
      <c r="C26" s="72" t="s">
        <v>1919</v>
      </c>
      <c r="D26" s="72" t="s">
        <v>1920</v>
      </c>
      <c r="E26" s="72" t="s">
        <v>1918</v>
      </c>
      <c r="F26" s="72" t="s">
        <v>1921</v>
      </c>
      <c r="G26" s="72" t="s">
        <v>980</v>
      </c>
    </row>
    <row r="27" customFormat="false" ht="15" hidden="false" customHeight="true" outlineLevel="0" collapsed="false">
      <c r="A27" s="74" t="s">
        <v>413</v>
      </c>
      <c r="B27" s="74" t="s">
        <v>717</v>
      </c>
      <c r="C27" s="74" t="s">
        <v>1922</v>
      </c>
      <c r="D27" s="74" t="s">
        <v>1923</v>
      </c>
      <c r="E27" s="74" t="s">
        <v>1918</v>
      </c>
      <c r="F27" s="74" t="s">
        <v>484</v>
      </c>
      <c r="G27" s="74" t="s">
        <v>980</v>
      </c>
    </row>
    <row r="29" customFormat="false" ht="15" hidden="false" customHeight="true" outlineLevel="0" collapsed="false">
      <c r="A29" s="113" t="s">
        <v>1924</v>
      </c>
      <c r="B29" s="113"/>
      <c r="C29" s="113"/>
      <c r="D29" s="113"/>
      <c r="E29" s="113"/>
      <c r="F29" s="113"/>
      <c r="G29" s="113"/>
    </row>
    <row r="30" customFormat="false" ht="15" hidden="false" customHeight="true" outlineLevel="0" collapsed="false">
      <c r="A30" s="114" t="s">
        <v>598</v>
      </c>
      <c r="B30" s="114" t="s">
        <v>312</v>
      </c>
      <c r="C30" s="114" t="s">
        <v>1061</v>
      </c>
      <c r="D30" s="114" t="s">
        <v>975</v>
      </c>
      <c r="E30" s="114" t="s">
        <v>444</v>
      </c>
      <c r="F30" s="114" t="s">
        <v>1065</v>
      </c>
      <c r="G30" s="114" t="s">
        <v>1862</v>
      </c>
    </row>
    <row r="31" customFormat="false" ht="15" hidden="false" customHeight="true" outlineLevel="0" collapsed="false">
      <c r="A31" s="72" t="s">
        <v>368</v>
      </c>
      <c r="B31" s="72" t="s">
        <v>1890</v>
      </c>
      <c r="C31" s="72" t="s">
        <v>1925</v>
      </c>
      <c r="D31" s="72" t="s">
        <v>1926</v>
      </c>
      <c r="E31" s="72" t="s">
        <v>1927</v>
      </c>
      <c r="F31" s="72" t="s">
        <v>1928</v>
      </c>
      <c r="G31" s="72" t="s">
        <v>980</v>
      </c>
    </row>
    <row r="32" customFormat="false" ht="15" hidden="false" customHeight="true" outlineLevel="0" collapsed="false">
      <c r="A32" s="74" t="s">
        <v>374</v>
      </c>
      <c r="B32" s="74" t="s">
        <v>1081</v>
      </c>
      <c r="C32" s="74" t="s">
        <v>1929</v>
      </c>
      <c r="D32" s="74" t="s">
        <v>1930</v>
      </c>
      <c r="E32" s="74" t="s">
        <v>1931</v>
      </c>
      <c r="F32" s="74" t="s">
        <v>488</v>
      </c>
      <c r="G32" s="74" t="s">
        <v>980</v>
      </c>
    </row>
    <row r="33" customFormat="false" ht="15" hidden="false" customHeight="true" outlineLevel="0" collapsed="false">
      <c r="A33" s="72" t="s">
        <v>380</v>
      </c>
      <c r="B33" s="72" t="s">
        <v>497</v>
      </c>
      <c r="C33" s="72" t="s">
        <v>1932</v>
      </c>
      <c r="D33" s="72" t="s">
        <v>1933</v>
      </c>
      <c r="E33" s="72" t="s">
        <v>1931</v>
      </c>
      <c r="F33" s="72" t="s">
        <v>488</v>
      </c>
      <c r="G33" s="72" t="s">
        <v>980</v>
      </c>
    </row>
    <row r="34" customFormat="false" ht="15" hidden="false" customHeight="true" outlineLevel="0" collapsed="false">
      <c r="A34" s="74" t="s">
        <v>385</v>
      </c>
      <c r="B34" s="74" t="s">
        <v>713</v>
      </c>
      <c r="C34" s="74" t="s">
        <v>1934</v>
      </c>
      <c r="D34" s="74" t="s">
        <v>1935</v>
      </c>
      <c r="E34" s="74" t="s">
        <v>1936</v>
      </c>
      <c r="F34" s="74" t="s">
        <v>1937</v>
      </c>
      <c r="G34" s="74" t="s">
        <v>980</v>
      </c>
    </row>
    <row r="35" customFormat="false" ht="15" hidden="false" customHeight="true" outlineLevel="0" collapsed="false">
      <c r="A35" s="72" t="s">
        <v>389</v>
      </c>
      <c r="B35" s="72" t="s">
        <v>336</v>
      </c>
      <c r="C35" s="72" t="s">
        <v>1938</v>
      </c>
      <c r="D35" s="72" t="s">
        <v>1939</v>
      </c>
      <c r="E35" s="72" t="s">
        <v>1936</v>
      </c>
      <c r="F35" s="72" t="s">
        <v>1940</v>
      </c>
      <c r="G35" s="72" t="s">
        <v>980</v>
      </c>
    </row>
    <row r="36" customFormat="false" ht="15" hidden="false" customHeight="true" outlineLevel="0" collapsed="false">
      <c r="A36" s="74" t="s">
        <v>394</v>
      </c>
      <c r="B36" s="74" t="s">
        <v>336</v>
      </c>
      <c r="C36" s="74" t="s">
        <v>1941</v>
      </c>
      <c r="D36" s="74" t="s">
        <v>1942</v>
      </c>
      <c r="E36" s="74" t="s">
        <v>1936</v>
      </c>
      <c r="F36" s="74" t="s">
        <v>1928</v>
      </c>
      <c r="G36" s="74" t="s">
        <v>980</v>
      </c>
    </row>
    <row r="37" customFormat="false" ht="15" hidden="false" customHeight="true" outlineLevel="0" collapsed="false">
      <c r="A37" s="72" t="s">
        <v>397</v>
      </c>
      <c r="B37" s="72" t="s">
        <v>325</v>
      </c>
      <c r="C37" s="72" t="s">
        <v>1943</v>
      </c>
      <c r="D37" s="72" t="s">
        <v>1944</v>
      </c>
      <c r="E37" s="72" t="s">
        <v>1936</v>
      </c>
      <c r="F37" s="72" t="s">
        <v>488</v>
      </c>
      <c r="G37" s="72" t="s">
        <v>980</v>
      </c>
    </row>
    <row r="38" customFormat="false" ht="23.25" hidden="false" customHeight="true" outlineLevel="0" collapsed="false">
      <c r="A38" s="74" t="s">
        <v>401</v>
      </c>
      <c r="B38" s="74" t="s">
        <v>1890</v>
      </c>
      <c r="C38" s="74" t="s">
        <v>1945</v>
      </c>
      <c r="D38" s="74" t="s">
        <v>1946</v>
      </c>
      <c r="E38" s="74" t="s">
        <v>1947</v>
      </c>
      <c r="F38" s="74" t="s">
        <v>1948</v>
      </c>
      <c r="G38" s="74" t="s">
        <v>980</v>
      </c>
    </row>
    <row r="39" customFormat="false" ht="15" hidden="false" customHeight="true" outlineLevel="0" collapsed="false">
      <c r="A39" s="72" t="s">
        <v>408</v>
      </c>
      <c r="B39" s="72" t="s">
        <v>484</v>
      </c>
      <c r="C39" s="72" t="s">
        <v>1949</v>
      </c>
      <c r="D39" s="72" t="s">
        <v>1950</v>
      </c>
      <c r="E39" s="72" t="s">
        <v>1951</v>
      </c>
      <c r="F39" s="72" t="s">
        <v>1952</v>
      </c>
      <c r="G39" s="72" t="s">
        <v>980</v>
      </c>
    </row>
    <row r="40" customFormat="false" ht="15" hidden="false" customHeight="true" outlineLevel="0" collapsed="false">
      <c r="A40" s="74" t="s">
        <v>413</v>
      </c>
      <c r="B40" s="74" t="s">
        <v>717</v>
      </c>
      <c r="C40" s="74" t="s">
        <v>1953</v>
      </c>
      <c r="D40" s="74" t="s">
        <v>1954</v>
      </c>
      <c r="E40" s="74" t="s">
        <v>1955</v>
      </c>
      <c r="F40" s="74" t="s">
        <v>484</v>
      </c>
      <c r="G40" s="74" t="s">
        <v>980</v>
      </c>
    </row>
    <row r="42" customFormat="false" ht="15" hidden="false" customHeight="true" outlineLevel="0" collapsed="false">
      <c r="A42" s="113" t="s">
        <v>1956</v>
      </c>
      <c r="B42" s="113"/>
      <c r="C42" s="113"/>
      <c r="D42" s="113"/>
      <c r="E42" s="113"/>
      <c r="F42" s="113"/>
      <c r="G42" s="113"/>
    </row>
    <row r="43" customFormat="false" ht="15" hidden="false" customHeight="true" outlineLevel="0" collapsed="false">
      <c r="A43" s="114" t="s">
        <v>598</v>
      </c>
      <c r="B43" s="114" t="s">
        <v>1061</v>
      </c>
      <c r="C43" s="114" t="s">
        <v>975</v>
      </c>
      <c r="D43" s="114" t="s">
        <v>1065</v>
      </c>
      <c r="E43" s="114" t="s">
        <v>1862</v>
      </c>
    </row>
    <row r="44" customFormat="false" ht="23.25" hidden="false" customHeight="true" outlineLevel="0" collapsed="false">
      <c r="A44" s="72" t="s">
        <v>368</v>
      </c>
      <c r="B44" s="72" t="s">
        <v>1957</v>
      </c>
      <c r="C44" s="72" t="s">
        <v>1958</v>
      </c>
      <c r="D44" s="72" t="s">
        <v>1948</v>
      </c>
      <c r="E44" s="72" t="s">
        <v>980</v>
      </c>
    </row>
    <row r="45" customFormat="false" ht="23.25" hidden="false" customHeight="true" outlineLevel="0" collapsed="false">
      <c r="A45" s="74" t="s">
        <v>374</v>
      </c>
      <c r="B45" s="74" t="s">
        <v>1959</v>
      </c>
      <c r="C45" s="74" t="s">
        <v>1960</v>
      </c>
      <c r="D45" s="74" t="s">
        <v>1961</v>
      </c>
      <c r="E45" s="74" t="s">
        <v>980</v>
      </c>
    </row>
    <row r="46" customFormat="false" ht="23.25" hidden="false" customHeight="true" outlineLevel="0" collapsed="false">
      <c r="A46" s="72" t="s">
        <v>380</v>
      </c>
      <c r="B46" s="72" t="s">
        <v>1962</v>
      </c>
      <c r="C46" s="72" t="s">
        <v>1963</v>
      </c>
      <c r="D46" s="72" t="s">
        <v>1928</v>
      </c>
      <c r="E46" s="72" t="s">
        <v>980</v>
      </c>
    </row>
    <row r="47" customFormat="false" ht="34.5" hidden="false" customHeight="true" outlineLevel="0" collapsed="false">
      <c r="A47" s="74" t="s">
        <v>385</v>
      </c>
      <c r="B47" s="74" t="s">
        <v>1964</v>
      </c>
      <c r="C47" s="74" t="s">
        <v>1965</v>
      </c>
      <c r="D47" s="74" t="s">
        <v>1952</v>
      </c>
      <c r="E47" s="74" t="s">
        <v>980</v>
      </c>
    </row>
    <row r="48" customFormat="false" ht="23.25" hidden="false" customHeight="true" outlineLevel="0" collapsed="false">
      <c r="A48" s="72" t="s">
        <v>389</v>
      </c>
      <c r="B48" s="72" t="s">
        <v>1966</v>
      </c>
      <c r="C48" s="72" t="s">
        <v>1967</v>
      </c>
      <c r="D48" s="72" t="s">
        <v>1913</v>
      </c>
      <c r="E48" s="72" t="s">
        <v>980</v>
      </c>
    </row>
    <row r="49" customFormat="false" ht="34.5" hidden="false" customHeight="true" outlineLevel="0" collapsed="false">
      <c r="A49" s="74" t="s">
        <v>394</v>
      </c>
      <c r="B49" s="74" t="s">
        <v>1968</v>
      </c>
      <c r="C49" s="74" t="s">
        <v>1969</v>
      </c>
      <c r="D49" s="74" t="s">
        <v>1928</v>
      </c>
      <c r="E49" s="74" t="s">
        <v>980</v>
      </c>
    </row>
    <row r="51" customFormat="false" ht="15" hidden="false" customHeight="true" outlineLevel="0" collapsed="false">
      <c r="A51" s="113" t="s">
        <v>1970</v>
      </c>
      <c r="B51" s="113"/>
      <c r="C51" s="113"/>
      <c r="D51" s="113"/>
      <c r="E51" s="113"/>
      <c r="F51" s="113"/>
      <c r="G51" s="113"/>
    </row>
    <row r="52" customFormat="false" ht="15" hidden="false" customHeight="true" outlineLevel="0" collapsed="false">
      <c r="A52" s="114" t="s">
        <v>598</v>
      </c>
      <c r="B52" s="114" t="s">
        <v>1061</v>
      </c>
      <c r="C52" s="114" t="s">
        <v>975</v>
      </c>
      <c r="D52" s="114" t="s">
        <v>1065</v>
      </c>
      <c r="E52" s="114" t="s">
        <v>1862</v>
      </c>
    </row>
    <row r="53" customFormat="false" ht="34.5" hidden="false" customHeight="true" outlineLevel="0" collapsed="false">
      <c r="A53" s="72" t="s">
        <v>368</v>
      </c>
      <c r="B53" s="72" t="s">
        <v>1971</v>
      </c>
      <c r="C53" s="72" t="s">
        <v>1972</v>
      </c>
      <c r="D53" s="72" t="s">
        <v>1973</v>
      </c>
      <c r="E53" s="72" t="s">
        <v>980</v>
      </c>
    </row>
    <row r="54" customFormat="false" ht="34.5" hidden="false" customHeight="true" outlineLevel="0" collapsed="false">
      <c r="A54" s="74" t="s">
        <v>374</v>
      </c>
      <c r="B54" s="74" t="s">
        <v>1974</v>
      </c>
      <c r="C54" s="74" t="s">
        <v>1975</v>
      </c>
      <c r="D54" s="74" t="s">
        <v>1928</v>
      </c>
      <c r="E54" s="74" t="s">
        <v>980</v>
      </c>
    </row>
    <row r="55" customFormat="false" ht="34.5" hidden="false" customHeight="true" outlineLevel="0" collapsed="false">
      <c r="A55" s="72" t="s">
        <v>380</v>
      </c>
      <c r="B55" s="72" t="s">
        <v>1976</v>
      </c>
      <c r="C55" s="72" t="s">
        <v>1977</v>
      </c>
      <c r="D55" s="72" t="s">
        <v>1928</v>
      </c>
      <c r="E55" s="72" t="s">
        <v>980</v>
      </c>
    </row>
    <row r="56" customFormat="false" ht="23.25" hidden="false" customHeight="true" outlineLevel="0" collapsed="false">
      <c r="A56" s="74" t="s">
        <v>385</v>
      </c>
      <c r="B56" s="74" t="s">
        <v>1978</v>
      </c>
      <c r="C56" s="74" t="s">
        <v>1979</v>
      </c>
      <c r="D56" s="74" t="s">
        <v>1937</v>
      </c>
      <c r="E56" s="74" t="s">
        <v>980</v>
      </c>
    </row>
    <row r="57" customFormat="false" ht="34.5" hidden="false" customHeight="true" outlineLevel="0" collapsed="false">
      <c r="A57" s="72" t="s">
        <v>389</v>
      </c>
      <c r="B57" s="72" t="s">
        <v>1980</v>
      </c>
      <c r="C57" s="72" t="s">
        <v>1981</v>
      </c>
      <c r="D57" s="72" t="s">
        <v>1982</v>
      </c>
      <c r="E57" s="72" t="s">
        <v>980</v>
      </c>
    </row>
  </sheetData>
  <mergeCells count="6">
    <mergeCell ref="A1:G1"/>
    <mergeCell ref="A3:G3"/>
    <mergeCell ref="A16:G16"/>
    <mergeCell ref="A29:G29"/>
    <mergeCell ref="A42:G42"/>
    <mergeCell ref="A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2" width="22"/>
    <col collapsed="false" customWidth="true" hidden="false" outlineLevel="0" max="4" min="4" style="2" width="42"/>
    <col collapsed="false" customWidth="true" hidden="false" outlineLevel="0" max="7" min="5" style="2" width="22"/>
  </cols>
  <sheetData>
    <row r="1" customFormat="false" ht="15" hidden="false" customHeight="true" outlineLevel="0" collapsed="false">
      <c r="A1" s="112" t="s">
        <v>1983</v>
      </c>
      <c r="B1" s="112"/>
      <c r="C1" s="112"/>
      <c r="D1" s="112"/>
      <c r="E1" s="112"/>
      <c r="F1" s="112"/>
      <c r="G1" s="112"/>
    </row>
    <row r="2" customFormat="false" ht="15" hidden="false" customHeight="true" outlineLevel="0" collapsed="false">
      <c r="A2" s="115" t="s">
        <v>252</v>
      </c>
      <c r="B2" s="115" t="s">
        <v>526</v>
      </c>
      <c r="C2" s="115" t="s">
        <v>314</v>
      </c>
      <c r="D2" s="115" t="s">
        <v>1984</v>
      </c>
      <c r="E2" s="115" t="s">
        <v>544</v>
      </c>
      <c r="F2" s="115" t="s">
        <v>621</v>
      </c>
      <c r="G2" s="115" t="s">
        <v>1985</v>
      </c>
    </row>
    <row r="3" customFormat="false" ht="15" hidden="false" customHeight="true" outlineLevel="0" collapsed="false">
      <c r="A3" s="72" t="s">
        <v>1986</v>
      </c>
      <c r="B3" s="76" t="n">
        <v>0.04</v>
      </c>
      <c r="C3" s="83" t="n">
        <f aca="false">B3*'1. Input'!B4</f>
        <v>520000000</v>
      </c>
      <c r="D3" s="72" t="s">
        <v>1987</v>
      </c>
      <c r="E3" s="83" t="n">
        <f aca="false">0.02*'1. Input'!B15</f>
        <v>170000000</v>
      </c>
      <c r="F3" s="72" t="s">
        <v>1988</v>
      </c>
      <c r="G3" s="72" t="s">
        <v>1989</v>
      </c>
    </row>
    <row r="4" customFormat="false" ht="15" hidden="false" customHeight="true" outlineLevel="0" collapsed="false">
      <c r="A4" s="74" t="s">
        <v>1990</v>
      </c>
      <c r="B4" s="77" t="n">
        <v>0.14</v>
      </c>
      <c r="C4" s="78" t="n">
        <f aca="false">B4*'1. Input'!B4</f>
        <v>1820000000</v>
      </c>
      <c r="D4" s="74" t="s">
        <v>1991</v>
      </c>
      <c r="E4" s="78" t="n">
        <f aca="false">0.12*'1. Input'!B15</f>
        <v>1020000000</v>
      </c>
      <c r="F4" s="74" t="s">
        <v>1992</v>
      </c>
      <c r="G4" s="74" t="s">
        <v>1993</v>
      </c>
    </row>
    <row r="5" customFormat="false" ht="15" hidden="false" customHeight="true" outlineLevel="0" collapsed="false">
      <c r="A5" s="72" t="s">
        <v>1994</v>
      </c>
      <c r="B5" s="76" t="n">
        <v>0.22</v>
      </c>
      <c r="C5" s="83" t="n">
        <f aca="false">B5*'1. Input'!B4</f>
        <v>2860000000</v>
      </c>
      <c r="D5" s="72" t="s">
        <v>1995</v>
      </c>
      <c r="E5" s="83" t="n">
        <f aca="false">0.24*'1. Input'!B15</f>
        <v>2040000000</v>
      </c>
      <c r="F5" s="72" t="s">
        <v>1996</v>
      </c>
      <c r="G5" s="72" t="s">
        <v>1997</v>
      </c>
    </row>
    <row r="6" customFormat="false" ht="15" hidden="false" customHeight="true" outlineLevel="0" collapsed="false">
      <c r="A6" s="74" t="s">
        <v>1998</v>
      </c>
      <c r="B6" s="77" t="n">
        <v>0.24</v>
      </c>
      <c r="C6" s="78" t="n">
        <f aca="false">B6*'1. Input'!B4</f>
        <v>3120000000</v>
      </c>
      <c r="D6" s="74" t="s">
        <v>1999</v>
      </c>
      <c r="E6" s="78" t="n">
        <f aca="false">0.28*'1. Input'!B15</f>
        <v>2380000000</v>
      </c>
      <c r="F6" s="74" t="s">
        <v>2000</v>
      </c>
      <c r="G6" s="74" t="s">
        <v>2001</v>
      </c>
    </row>
    <row r="7" customFormat="false" ht="15" hidden="false" customHeight="true" outlineLevel="0" collapsed="false">
      <c r="A7" s="72" t="s">
        <v>2002</v>
      </c>
      <c r="B7" s="76" t="n">
        <v>0.22</v>
      </c>
      <c r="C7" s="83" t="n">
        <f aca="false">B7*'1. Input'!B4</f>
        <v>2860000000</v>
      </c>
      <c r="D7" s="72" t="s">
        <v>2003</v>
      </c>
      <c r="E7" s="83" t="n">
        <f aca="false">0.24*'1. Input'!B15</f>
        <v>2040000000</v>
      </c>
      <c r="F7" s="72" t="s">
        <v>1996</v>
      </c>
      <c r="G7" s="72" t="s">
        <v>2004</v>
      </c>
    </row>
    <row r="8" customFormat="false" ht="15" hidden="false" customHeight="true" outlineLevel="0" collapsed="false">
      <c r="A8" s="74" t="s">
        <v>2005</v>
      </c>
      <c r="B8" s="77" t="n">
        <v>0.1</v>
      </c>
      <c r="C8" s="78" t="n">
        <f aca="false">B8*'1. Input'!B4</f>
        <v>1300000000</v>
      </c>
      <c r="D8" s="74" t="s">
        <v>2006</v>
      </c>
      <c r="E8" s="78" t="n">
        <f aca="false">0.08*'1. Input'!B15</f>
        <v>680000000</v>
      </c>
      <c r="F8" s="74" t="s">
        <v>2007</v>
      </c>
      <c r="G8" s="74" t="s">
        <v>2008</v>
      </c>
    </row>
    <row r="9" customFormat="false" ht="15" hidden="false" customHeight="true" outlineLevel="0" collapsed="false">
      <c r="A9" s="72" t="s">
        <v>2009</v>
      </c>
      <c r="B9" s="76" t="n">
        <v>0.04</v>
      </c>
      <c r="C9" s="83" t="n">
        <f aca="false">B9*'1. Input'!B4</f>
        <v>520000000</v>
      </c>
      <c r="D9" s="72" t="s">
        <v>2010</v>
      </c>
      <c r="E9" s="83" t="n">
        <f aca="false">0.02*'1. Input'!B15</f>
        <v>170000000</v>
      </c>
      <c r="F9" s="72" t="s">
        <v>2011</v>
      </c>
      <c r="G9" s="72" t="s">
        <v>2012</v>
      </c>
    </row>
    <row r="10" customFormat="false" ht="15" hidden="false" customHeight="true" outlineLevel="0" collapsed="false">
      <c r="A10" s="84" t="s">
        <v>642</v>
      </c>
      <c r="B10" s="85" t="n">
        <f aca="false">SUM(B3:B9)</f>
        <v>1</v>
      </c>
      <c r="C10" s="86" t="n">
        <f aca="false">SUM(C3:C9)</f>
        <v>13000000000</v>
      </c>
      <c r="D10" s="84"/>
      <c r="E10" s="84"/>
      <c r="F10" s="84"/>
      <c r="G10" s="8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2" width="20"/>
    <col collapsed="false" customWidth="true" hidden="false" outlineLevel="0" max="4" min="4" style="2" width="42"/>
    <col collapsed="false" customWidth="true" hidden="false" outlineLevel="0" max="7" min="5" style="2" width="20"/>
  </cols>
  <sheetData>
    <row r="1" customFormat="false" ht="15" hidden="false" customHeight="true" outlineLevel="0" collapsed="false">
      <c r="A1" s="116" t="s">
        <v>2013</v>
      </c>
      <c r="B1" s="116"/>
      <c r="C1" s="116"/>
      <c r="D1" s="116"/>
      <c r="E1" s="116"/>
      <c r="F1" s="116"/>
      <c r="G1" s="116"/>
    </row>
    <row r="2" customFormat="false" ht="15" hidden="false" customHeight="true" outlineLevel="0" collapsed="false">
      <c r="A2" s="117" t="s">
        <v>2014</v>
      </c>
      <c r="B2" s="117" t="s">
        <v>2015</v>
      </c>
      <c r="C2" s="117" t="s">
        <v>351</v>
      </c>
      <c r="D2" s="117" t="s">
        <v>600</v>
      </c>
      <c r="E2" s="117" t="s">
        <v>603</v>
      </c>
      <c r="F2" s="117" t="s">
        <v>290</v>
      </c>
      <c r="G2" s="117" t="s">
        <v>318</v>
      </c>
    </row>
    <row r="3" customFormat="false" ht="15" hidden="false" customHeight="true" outlineLevel="0" collapsed="false">
      <c r="A3" s="72" t="s">
        <v>2016</v>
      </c>
      <c r="B3" s="72" t="s">
        <v>2017</v>
      </c>
      <c r="C3" s="72" t="s">
        <v>2018</v>
      </c>
      <c r="D3" s="72" t="s">
        <v>2019</v>
      </c>
      <c r="E3" s="72" t="s">
        <v>619</v>
      </c>
      <c r="F3" s="72" t="s">
        <v>2020</v>
      </c>
      <c r="G3" s="72" t="s">
        <v>2021</v>
      </c>
    </row>
    <row r="4" customFormat="false" ht="15" hidden="false" customHeight="true" outlineLevel="0" collapsed="false">
      <c r="A4" s="74" t="s">
        <v>2016</v>
      </c>
      <c r="B4" s="74" t="s">
        <v>2022</v>
      </c>
      <c r="C4" s="74" t="s">
        <v>2023</v>
      </c>
      <c r="D4" s="74" t="s">
        <v>2024</v>
      </c>
      <c r="E4" s="74" t="s">
        <v>606</v>
      </c>
      <c r="F4" s="74" t="s">
        <v>2020</v>
      </c>
      <c r="G4" s="74" t="s">
        <v>2025</v>
      </c>
    </row>
    <row r="5" customFormat="false" ht="15" hidden="false" customHeight="true" outlineLevel="0" collapsed="false">
      <c r="A5" s="72" t="s">
        <v>2016</v>
      </c>
      <c r="B5" s="72" t="s">
        <v>2026</v>
      </c>
      <c r="C5" s="72" t="s">
        <v>2027</v>
      </c>
      <c r="D5" s="72" t="s">
        <v>2028</v>
      </c>
      <c r="E5" s="72" t="s">
        <v>606</v>
      </c>
      <c r="F5" s="72" t="s">
        <v>2020</v>
      </c>
      <c r="G5" s="72" t="s">
        <v>2029</v>
      </c>
    </row>
    <row r="6" customFormat="false" ht="15" hidden="false" customHeight="true" outlineLevel="0" collapsed="false">
      <c r="A6" s="74" t="s">
        <v>2030</v>
      </c>
      <c r="B6" s="74" t="s">
        <v>162</v>
      </c>
      <c r="C6" s="74" t="s">
        <v>2027</v>
      </c>
      <c r="D6" s="74" t="s">
        <v>2031</v>
      </c>
      <c r="E6" s="74" t="s">
        <v>606</v>
      </c>
      <c r="F6" s="74" t="s">
        <v>2020</v>
      </c>
      <c r="G6" s="74" t="s">
        <v>2032</v>
      </c>
    </row>
    <row r="7" customFormat="false" ht="15" hidden="false" customHeight="true" outlineLevel="0" collapsed="false">
      <c r="A7" s="72" t="s">
        <v>2030</v>
      </c>
      <c r="B7" s="72" t="s">
        <v>610</v>
      </c>
      <c r="C7" s="72" t="s">
        <v>174</v>
      </c>
      <c r="D7" s="72" t="s">
        <v>720</v>
      </c>
      <c r="E7" s="72" t="s">
        <v>606</v>
      </c>
      <c r="F7" s="72" t="s">
        <v>2020</v>
      </c>
      <c r="G7" s="72" t="s">
        <v>2032</v>
      </c>
    </row>
    <row r="8" customFormat="false" ht="15" hidden="false" customHeight="true" outlineLevel="0" collapsed="false">
      <c r="A8" s="74" t="s">
        <v>2033</v>
      </c>
      <c r="B8" s="74" t="s">
        <v>612</v>
      </c>
      <c r="C8" s="74" t="s">
        <v>174</v>
      </c>
      <c r="D8" s="74" t="s">
        <v>2034</v>
      </c>
      <c r="E8" s="74" t="s">
        <v>606</v>
      </c>
      <c r="F8" s="74" t="s">
        <v>2020</v>
      </c>
      <c r="G8" s="74" t="s">
        <v>2035</v>
      </c>
    </row>
    <row r="10" customFormat="false" ht="15" hidden="false" customHeight="true" outlineLevel="0" collapsed="false">
      <c r="A10" s="118" t="s">
        <v>2036</v>
      </c>
      <c r="B10" s="118"/>
      <c r="C10" s="118"/>
      <c r="D10" s="118"/>
      <c r="E10" s="118"/>
      <c r="F10" s="118"/>
      <c r="G10" s="118"/>
    </row>
    <row r="11" customFormat="false" ht="15" hidden="false" customHeight="true" outlineLevel="0" collapsed="false">
      <c r="A11" s="119" t="s">
        <v>2037</v>
      </c>
      <c r="B11" s="119"/>
      <c r="C11" s="119"/>
      <c r="D11" s="119"/>
      <c r="E11" s="119"/>
      <c r="F11" s="119"/>
      <c r="G11" s="119"/>
    </row>
  </sheetData>
  <mergeCells count="3">
    <mergeCell ref="A1:G1"/>
    <mergeCell ref="A10:G10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8FF"/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2" width="24"/>
    <col collapsed="false" customWidth="true" hidden="false" outlineLevel="0" max="10" min="8" style="0" width="24"/>
  </cols>
  <sheetData>
    <row r="1" customFormat="false" ht="15" hidden="false" customHeight="true" outlineLevel="0" collapsed="false">
      <c r="A1" s="120" t="s">
        <v>2038</v>
      </c>
      <c r="B1" s="120"/>
      <c r="C1" s="120"/>
      <c r="D1" s="120"/>
      <c r="E1" s="120"/>
      <c r="F1" s="120"/>
      <c r="G1" s="120"/>
    </row>
    <row r="3" customFormat="false" ht="15" hidden="false" customHeight="true" outlineLevel="0" collapsed="false">
      <c r="A3" s="121" t="s">
        <v>2039</v>
      </c>
      <c r="B3" s="121"/>
      <c r="C3" s="121"/>
      <c r="D3" s="121"/>
      <c r="E3" s="121"/>
      <c r="F3" s="121"/>
      <c r="G3" s="121"/>
    </row>
    <row r="4" customFormat="false" ht="15" hidden="false" customHeight="true" outlineLevel="0" collapsed="false">
      <c r="A4" s="122" t="s">
        <v>808</v>
      </c>
      <c r="B4" s="122" t="s">
        <v>1159</v>
      </c>
      <c r="C4" s="122" t="s">
        <v>1160</v>
      </c>
      <c r="D4" s="122" t="s">
        <v>1161</v>
      </c>
      <c r="E4" s="122" t="s">
        <v>621</v>
      </c>
      <c r="F4" s="122" t="s">
        <v>2040</v>
      </c>
      <c r="G4" s="122" t="s">
        <v>1208</v>
      </c>
    </row>
    <row r="5" customFormat="false" ht="23.25" hidden="false" customHeight="true" outlineLevel="0" collapsed="false">
      <c r="A5" s="72" t="s">
        <v>2041</v>
      </c>
      <c r="B5" s="72" t="s">
        <v>2042</v>
      </c>
      <c r="C5" s="72" t="s">
        <v>2043</v>
      </c>
      <c r="D5" s="72" t="n">
        <f aca="false">0.07*'1. Input'!B15*0.35/6</f>
        <v>34708333.3333333</v>
      </c>
      <c r="E5" s="72" t="s">
        <v>2044</v>
      </c>
      <c r="F5" s="72" t="s">
        <v>2045</v>
      </c>
      <c r="G5" s="72" t="s">
        <v>2046</v>
      </c>
    </row>
    <row r="6" customFormat="false" ht="23.25" hidden="false" customHeight="true" outlineLevel="0" collapsed="false">
      <c r="A6" s="74" t="s">
        <v>2047</v>
      </c>
      <c r="B6" s="74" t="s">
        <v>2048</v>
      </c>
      <c r="C6" s="74" t="s">
        <v>2049</v>
      </c>
      <c r="D6" s="74" t="n">
        <f aca="false">0.07*'1. Input'!B15*0.25/6</f>
        <v>24791666.6666667</v>
      </c>
      <c r="E6" s="74" t="s">
        <v>2050</v>
      </c>
      <c r="F6" s="74" t="s">
        <v>2051</v>
      </c>
      <c r="G6" s="74" t="s">
        <v>1820</v>
      </c>
    </row>
    <row r="7" customFormat="false" ht="23.25" hidden="false" customHeight="true" outlineLevel="0" collapsed="false">
      <c r="A7" s="72" t="s">
        <v>2052</v>
      </c>
      <c r="B7" s="72" t="s">
        <v>2053</v>
      </c>
      <c r="C7" s="72" t="s">
        <v>2054</v>
      </c>
      <c r="D7" s="72" t="n">
        <f aca="false">0.07*'1. Input'!B15*0.2/6</f>
        <v>19833333.3333333</v>
      </c>
      <c r="E7" s="72" t="s">
        <v>2055</v>
      </c>
      <c r="F7" s="72" t="s">
        <v>2056</v>
      </c>
      <c r="G7" s="72" t="s">
        <v>1820</v>
      </c>
    </row>
    <row r="8" customFormat="false" ht="23.25" hidden="false" customHeight="true" outlineLevel="0" collapsed="false">
      <c r="A8" s="74" t="s">
        <v>2057</v>
      </c>
      <c r="B8" s="74" t="s">
        <v>2058</v>
      </c>
      <c r="C8" s="74" t="s">
        <v>2059</v>
      </c>
      <c r="D8" s="74" t="n">
        <f aca="false">0.07*'1. Input'!B15*0.2/6</f>
        <v>19833333.3333333</v>
      </c>
      <c r="E8" s="74" t="s">
        <v>2060</v>
      </c>
      <c r="F8" s="74" t="s">
        <v>2061</v>
      </c>
      <c r="G8" s="74" t="s">
        <v>1820</v>
      </c>
    </row>
    <row r="10" customFormat="false" ht="15" hidden="false" customHeight="true" outlineLevel="0" collapsed="false">
      <c r="A10" s="121" t="s">
        <v>2062</v>
      </c>
      <c r="B10" s="121"/>
      <c r="C10" s="121"/>
      <c r="D10" s="121"/>
      <c r="E10" s="121"/>
      <c r="F10" s="121"/>
      <c r="G10" s="121"/>
    </row>
    <row r="11" customFormat="false" ht="15" hidden="false" customHeight="true" outlineLevel="0" collapsed="false">
      <c r="A11" s="122" t="s">
        <v>973</v>
      </c>
      <c r="B11" s="122" t="s">
        <v>974</v>
      </c>
      <c r="C11" s="122" t="s">
        <v>975</v>
      </c>
      <c r="D11" s="122" t="s">
        <v>454</v>
      </c>
      <c r="E11" s="122" t="s">
        <v>290</v>
      </c>
    </row>
    <row r="12" customFormat="false" ht="15" hidden="false" customHeight="true" outlineLevel="0" collapsed="false">
      <c r="A12" s="72" t="s">
        <v>368</v>
      </c>
      <c r="B12" s="72" t="s">
        <v>2063</v>
      </c>
      <c r="C12" s="72" t="s">
        <v>2064</v>
      </c>
      <c r="D12" s="72" t="s">
        <v>405</v>
      </c>
      <c r="E12" s="72" t="s">
        <v>980</v>
      </c>
    </row>
    <row r="13" customFormat="false" ht="15" hidden="false" customHeight="true" outlineLevel="0" collapsed="false">
      <c r="A13" s="74" t="s">
        <v>374</v>
      </c>
      <c r="B13" s="74" t="s">
        <v>2065</v>
      </c>
      <c r="C13" s="74" t="s">
        <v>2066</v>
      </c>
      <c r="D13" s="74" t="s">
        <v>993</v>
      </c>
      <c r="E13" s="74" t="s">
        <v>980</v>
      </c>
    </row>
    <row r="14" customFormat="false" ht="23.25" hidden="false" customHeight="true" outlineLevel="0" collapsed="false">
      <c r="A14" s="72" t="s">
        <v>380</v>
      </c>
      <c r="B14" s="72" t="s">
        <v>2067</v>
      </c>
      <c r="C14" s="72" t="s">
        <v>2068</v>
      </c>
      <c r="D14" s="72" t="s">
        <v>993</v>
      </c>
      <c r="E14" s="72" t="s">
        <v>980</v>
      </c>
    </row>
    <row r="15" customFormat="false" ht="23.25" hidden="false" customHeight="true" outlineLevel="0" collapsed="false">
      <c r="A15" s="74" t="s">
        <v>385</v>
      </c>
      <c r="B15" s="74" t="s">
        <v>2069</v>
      </c>
      <c r="C15" s="74" t="s">
        <v>2070</v>
      </c>
      <c r="D15" s="74" t="s">
        <v>1225</v>
      </c>
      <c r="E15" s="74" t="s">
        <v>980</v>
      </c>
    </row>
    <row r="16" customFormat="false" ht="15" hidden="false" customHeight="true" outlineLevel="0" collapsed="false">
      <c r="A16" s="72" t="s">
        <v>389</v>
      </c>
      <c r="B16" s="72" t="s">
        <v>2071</v>
      </c>
      <c r="C16" s="72" t="s">
        <v>2072</v>
      </c>
      <c r="D16" s="72" t="s">
        <v>1225</v>
      </c>
      <c r="E16" s="72" t="s">
        <v>980</v>
      </c>
    </row>
    <row r="17" customFormat="false" ht="23.25" hidden="false" customHeight="true" outlineLevel="0" collapsed="false">
      <c r="A17" s="74" t="s">
        <v>394</v>
      </c>
      <c r="B17" s="74" t="s">
        <v>2073</v>
      </c>
      <c r="C17" s="74" t="s">
        <v>2074</v>
      </c>
      <c r="D17" s="74" t="s">
        <v>1011</v>
      </c>
      <c r="E17" s="74" t="s">
        <v>980</v>
      </c>
    </row>
    <row r="18" customFormat="false" ht="23.25" hidden="false" customHeight="true" outlineLevel="0" collapsed="false">
      <c r="A18" s="72" t="s">
        <v>397</v>
      </c>
      <c r="B18" s="72" t="s">
        <v>2075</v>
      </c>
      <c r="C18" s="72" t="s">
        <v>2076</v>
      </c>
      <c r="D18" s="72" t="s">
        <v>993</v>
      </c>
      <c r="E18" s="72" t="s">
        <v>980</v>
      </c>
    </row>
    <row r="20" customFormat="false" ht="15" hidden="false" customHeight="false" outlineLevel="0" collapsed="false">
      <c r="A20" s="6" t="s">
        <v>2077</v>
      </c>
    </row>
    <row r="21" customFormat="false" ht="15" hidden="false" customHeight="false" outlineLevel="0" collapsed="false">
      <c r="A21" s="3" t="s">
        <v>361</v>
      </c>
      <c r="B21" s="3" t="s">
        <v>2078</v>
      </c>
      <c r="C21" s="3" t="s">
        <v>1545</v>
      </c>
      <c r="D21" s="3" t="s">
        <v>2079</v>
      </c>
      <c r="E21" s="3" t="s">
        <v>949</v>
      </c>
      <c r="F21" s="3" t="s">
        <v>2080</v>
      </c>
      <c r="G21" s="3" t="s">
        <v>366</v>
      </c>
      <c r="H21" s="3" t="s">
        <v>2081</v>
      </c>
      <c r="I21" s="3" t="s">
        <v>621</v>
      </c>
    </row>
    <row r="22" customFormat="false" ht="57.45" hidden="false" customHeight="false" outlineLevel="0" collapsed="false">
      <c r="A22" s="4" t="n">
        <v>1</v>
      </c>
      <c r="B22" s="4" t="s">
        <v>2082</v>
      </c>
      <c r="C22" s="4" t="s">
        <v>2083</v>
      </c>
      <c r="D22" s="4" t="s">
        <v>2084</v>
      </c>
      <c r="E22" s="4" t="s">
        <v>2085</v>
      </c>
      <c r="F22" s="4" t="s">
        <v>2086</v>
      </c>
      <c r="G22" s="4" t="s">
        <v>2087</v>
      </c>
      <c r="H22" s="4" t="s">
        <v>2088</v>
      </c>
      <c r="I22" s="4" t="s">
        <v>2089</v>
      </c>
    </row>
    <row r="23" customFormat="false" ht="46.25" hidden="false" customHeight="false" outlineLevel="0" collapsed="false">
      <c r="A23" s="5" t="n">
        <v>2</v>
      </c>
      <c r="B23" s="5" t="s">
        <v>2090</v>
      </c>
      <c r="C23" s="5" t="s">
        <v>2091</v>
      </c>
      <c r="D23" s="5" t="s">
        <v>2092</v>
      </c>
      <c r="E23" s="5" t="s">
        <v>2093</v>
      </c>
      <c r="F23" s="5" t="s">
        <v>2094</v>
      </c>
      <c r="G23" s="5" t="s">
        <v>2095</v>
      </c>
      <c r="H23" s="5" t="s">
        <v>2096</v>
      </c>
      <c r="I23" s="5" t="s">
        <v>2097</v>
      </c>
    </row>
    <row r="24" customFormat="false" ht="46.25" hidden="false" customHeight="false" outlineLevel="0" collapsed="false">
      <c r="A24" s="4" t="n">
        <v>3</v>
      </c>
      <c r="B24" s="4" t="s">
        <v>2098</v>
      </c>
      <c r="C24" s="4" t="s">
        <v>2099</v>
      </c>
      <c r="D24" s="4" t="s">
        <v>2100</v>
      </c>
      <c r="E24" s="4" t="s">
        <v>2101</v>
      </c>
      <c r="F24" s="4" t="s">
        <v>2102</v>
      </c>
      <c r="G24" s="4" t="s">
        <v>2103</v>
      </c>
      <c r="H24" s="4" t="s">
        <v>2104</v>
      </c>
      <c r="I24" s="4" t="s">
        <v>2105</v>
      </c>
    </row>
    <row r="25" customFormat="false" ht="46.25" hidden="false" customHeight="false" outlineLevel="0" collapsed="false">
      <c r="A25" s="5" t="n">
        <v>4</v>
      </c>
      <c r="B25" s="5" t="s">
        <v>2106</v>
      </c>
      <c r="C25" s="5" t="s">
        <v>2107</v>
      </c>
      <c r="D25" s="5" t="s">
        <v>2108</v>
      </c>
      <c r="E25" s="5" t="s">
        <v>2109</v>
      </c>
      <c r="F25" s="5" t="s">
        <v>2110</v>
      </c>
      <c r="G25" s="5" t="s">
        <v>2111</v>
      </c>
      <c r="H25" s="5" t="s">
        <v>2112</v>
      </c>
      <c r="I25" s="5" t="s">
        <v>2113</v>
      </c>
    </row>
    <row r="26" customFormat="false" ht="35.05" hidden="false" customHeight="false" outlineLevel="0" collapsed="false">
      <c r="A26" s="4" t="n">
        <v>5</v>
      </c>
      <c r="B26" s="4" t="s">
        <v>2114</v>
      </c>
      <c r="C26" s="4" t="s">
        <v>2115</v>
      </c>
      <c r="D26" s="4" t="s">
        <v>2116</v>
      </c>
      <c r="E26" s="4" t="s">
        <v>1792</v>
      </c>
      <c r="F26" s="4" t="s">
        <v>2117</v>
      </c>
      <c r="G26" s="4" t="s">
        <v>2118</v>
      </c>
      <c r="H26" s="4" t="s">
        <v>346</v>
      </c>
      <c r="I26" s="4" t="s">
        <v>2119</v>
      </c>
    </row>
    <row r="27" customFormat="false" ht="46.25" hidden="false" customHeight="false" outlineLevel="0" collapsed="false">
      <c r="A27" s="5" t="n">
        <v>6</v>
      </c>
      <c r="B27" s="5" t="s">
        <v>2120</v>
      </c>
      <c r="C27" s="5" t="s">
        <v>2121</v>
      </c>
      <c r="D27" s="5" t="s">
        <v>2122</v>
      </c>
      <c r="E27" s="5" t="s">
        <v>2123</v>
      </c>
      <c r="F27" s="5" t="s">
        <v>2124</v>
      </c>
      <c r="G27" s="5" t="s">
        <v>2125</v>
      </c>
      <c r="H27" s="5" t="s">
        <v>2126</v>
      </c>
      <c r="I27" s="5" t="s">
        <v>2127</v>
      </c>
    </row>
    <row r="28" customFormat="false" ht="57.45" hidden="false" customHeight="false" outlineLevel="0" collapsed="false">
      <c r="A28" s="4" t="n">
        <v>7</v>
      </c>
      <c r="B28" s="4" t="s">
        <v>2128</v>
      </c>
      <c r="C28" s="4" t="s">
        <v>2129</v>
      </c>
      <c r="D28" s="4" t="s">
        <v>2130</v>
      </c>
      <c r="E28" s="4" t="s">
        <v>2131</v>
      </c>
      <c r="F28" s="4" t="s">
        <v>2132</v>
      </c>
      <c r="G28" s="4" t="s">
        <v>2133</v>
      </c>
      <c r="H28" s="4" t="s">
        <v>2134</v>
      </c>
      <c r="I28" s="4" t="s">
        <v>2135</v>
      </c>
    </row>
    <row r="29" customFormat="false" ht="46.25" hidden="false" customHeight="false" outlineLevel="0" collapsed="false">
      <c r="A29" s="5" t="n">
        <v>8</v>
      </c>
      <c r="B29" s="5" t="s">
        <v>2136</v>
      </c>
      <c r="C29" s="5" t="s">
        <v>2137</v>
      </c>
      <c r="D29" s="5" t="s">
        <v>2138</v>
      </c>
      <c r="E29" s="5" t="s">
        <v>2139</v>
      </c>
      <c r="F29" s="5" t="s">
        <v>2140</v>
      </c>
      <c r="G29" s="5" t="s">
        <v>2125</v>
      </c>
      <c r="H29" s="5" t="s">
        <v>2141</v>
      </c>
      <c r="I29" s="5" t="s">
        <v>2142</v>
      </c>
    </row>
    <row r="32" customFormat="false" ht="15" hidden="false" customHeight="false" outlineLevel="0" collapsed="false">
      <c r="A32" s="6" t="s">
        <v>2143</v>
      </c>
    </row>
    <row r="33" customFormat="false" ht="15" hidden="false" customHeight="false" outlineLevel="0" collapsed="false">
      <c r="A33" s="3" t="s">
        <v>444</v>
      </c>
      <c r="B33" s="3" t="s">
        <v>2144</v>
      </c>
      <c r="C33" s="3" t="s">
        <v>2145</v>
      </c>
      <c r="D33" s="3" t="s">
        <v>2146</v>
      </c>
      <c r="E33" s="3" t="s">
        <v>1702</v>
      </c>
      <c r="F33" s="3" t="s">
        <v>621</v>
      </c>
      <c r="G33" s="3" t="s">
        <v>318</v>
      </c>
    </row>
    <row r="34" customFormat="false" ht="23.85" hidden="false" customHeight="false" outlineLevel="0" collapsed="false">
      <c r="A34" s="4" t="s">
        <v>2147</v>
      </c>
      <c r="B34" s="4" t="s">
        <v>2148</v>
      </c>
      <c r="C34" s="4" t="s">
        <v>2090</v>
      </c>
      <c r="D34" s="4" t="s">
        <v>2149</v>
      </c>
      <c r="E34" s="4" t="s">
        <v>2150</v>
      </c>
      <c r="F34" s="4" t="s">
        <v>2151</v>
      </c>
      <c r="G34" s="4" t="s">
        <v>2152</v>
      </c>
    </row>
    <row r="35" customFormat="false" ht="23.85" hidden="false" customHeight="false" outlineLevel="0" collapsed="false">
      <c r="A35" s="5" t="s">
        <v>1918</v>
      </c>
      <c r="B35" s="5" t="s">
        <v>1089</v>
      </c>
      <c r="C35" s="5" t="s">
        <v>2153</v>
      </c>
      <c r="D35" s="5" t="s">
        <v>2154</v>
      </c>
      <c r="E35" s="5" t="s">
        <v>2155</v>
      </c>
      <c r="F35" s="5" t="s">
        <v>2156</v>
      </c>
      <c r="G35" s="5" t="s">
        <v>2157</v>
      </c>
    </row>
    <row r="36" customFormat="false" ht="23.85" hidden="false" customHeight="false" outlineLevel="0" collapsed="false">
      <c r="A36" s="4" t="s">
        <v>2158</v>
      </c>
      <c r="B36" s="4" t="s">
        <v>2159</v>
      </c>
      <c r="C36" s="4" t="s">
        <v>2098</v>
      </c>
      <c r="D36" s="4" t="s">
        <v>2160</v>
      </c>
      <c r="E36" s="4" t="s">
        <v>2161</v>
      </c>
      <c r="F36" s="4" t="s">
        <v>2162</v>
      </c>
      <c r="G36" s="4" t="s">
        <v>2163</v>
      </c>
    </row>
    <row r="37" customFormat="false" ht="23.85" hidden="false" customHeight="false" outlineLevel="0" collapsed="false">
      <c r="A37" s="5" t="s">
        <v>2164</v>
      </c>
      <c r="B37" s="5" t="s">
        <v>2165</v>
      </c>
      <c r="C37" s="5" t="s">
        <v>2166</v>
      </c>
      <c r="D37" s="5" t="s">
        <v>2167</v>
      </c>
      <c r="E37" s="5" t="s">
        <v>2168</v>
      </c>
      <c r="F37" s="5" t="s">
        <v>2169</v>
      </c>
      <c r="G37" s="5" t="s">
        <v>2163</v>
      </c>
    </row>
    <row r="38" customFormat="false" ht="23.85" hidden="false" customHeight="false" outlineLevel="0" collapsed="false">
      <c r="A38" s="4" t="s">
        <v>2170</v>
      </c>
      <c r="B38" s="4" t="s">
        <v>2148</v>
      </c>
      <c r="C38" s="4" t="s">
        <v>2171</v>
      </c>
      <c r="D38" s="4" t="s">
        <v>2172</v>
      </c>
      <c r="E38" s="4" t="s">
        <v>2173</v>
      </c>
      <c r="F38" s="4" t="s">
        <v>2174</v>
      </c>
      <c r="G38" s="4" t="s">
        <v>2125</v>
      </c>
    </row>
    <row r="39" customFormat="false" ht="23.85" hidden="false" customHeight="false" outlineLevel="0" collapsed="false">
      <c r="A39" s="5" t="s">
        <v>2175</v>
      </c>
      <c r="B39" s="5" t="s">
        <v>2148</v>
      </c>
      <c r="C39" s="5" t="s">
        <v>2176</v>
      </c>
      <c r="D39" s="5" t="s">
        <v>2177</v>
      </c>
      <c r="E39" s="5" t="s">
        <v>2178</v>
      </c>
      <c r="F39" s="5" t="s">
        <v>2142</v>
      </c>
      <c r="G39" s="5" t="s">
        <v>2179</v>
      </c>
    </row>
    <row r="42" customFormat="false" ht="15" hidden="false" customHeight="false" outlineLevel="0" collapsed="false">
      <c r="A42" s="6" t="s">
        <v>2180</v>
      </c>
    </row>
    <row r="43" customFormat="false" ht="15" hidden="false" customHeight="false" outlineLevel="0" collapsed="false">
      <c r="A43" s="3" t="s">
        <v>808</v>
      </c>
      <c r="B43" s="3" t="s">
        <v>2181</v>
      </c>
      <c r="C43" s="3" t="s">
        <v>2182</v>
      </c>
      <c r="D43" s="3" t="s">
        <v>2183</v>
      </c>
      <c r="E43" s="3" t="s">
        <v>2184</v>
      </c>
      <c r="F43" s="3" t="s">
        <v>2185</v>
      </c>
      <c r="G43" s="3" t="s">
        <v>1231</v>
      </c>
      <c r="H43" s="3" t="s">
        <v>2186</v>
      </c>
      <c r="I43" s="3" t="s">
        <v>2187</v>
      </c>
      <c r="J43" s="3" t="s">
        <v>2188</v>
      </c>
    </row>
    <row r="44" customFormat="false" ht="46.25" hidden="false" customHeight="false" outlineLevel="0" collapsed="false">
      <c r="A44" s="4" t="s">
        <v>2041</v>
      </c>
      <c r="B44" s="4" t="s">
        <v>2189</v>
      </c>
      <c r="C44" s="4" t="s">
        <v>2190</v>
      </c>
      <c r="D44" s="4" t="s">
        <v>2191</v>
      </c>
      <c r="E44" s="4" t="s">
        <v>2192</v>
      </c>
      <c r="F44" s="4" t="s">
        <v>2193</v>
      </c>
      <c r="G44" s="4" t="s">
        <v>2194</v>
      </c>
      <c r="H44" s="4" t="n">
        <f aca="false">0.07*8500000000*0.35/6/30</f>
        <v>1156944.44444444</v>
      </c>
      <c r="I44" s="4" t="s">
        <v>2195</v>
      </c>
      <c r="J44" s="4" t="s">
        <v>2196</v>
      </c>
    </row>
    <row r="45" customFormat="false" ht="35.05" hidden="false" customHeight="false" outlineLevel="0" collapsed="false">
      <c r="A45" s="5" t="s">
        <v>2047</v>
      </c>
      <c r="B45" s="5" t="s">
        <v>2197</v>
      </c>
      <c r="C45" s="5" t="s">
        <v>2198</v>
      </c>
      <c r="D45" s="5" t="s">
        <v>2191</v>
      </c>
      <c r="E45" s="5" t="s">
        <v>2199</v>
      </c>
      <c r="F45" s="5" t="s">
        <v>2200</v>
      </c>
      <c r="G45" s="5" t="s">
        <v>2201</v>
      </c>
      <c r="H45" s="5" t="n">
        <f aca="false">0.07*8500000000*0.25/6/30</f>
        <v>826388.888888889</v>
      </c>
      <c r="I45" s="5" t="s">
        <v>2195</v>
      </c>
      <c r="J45" s="5" t="s">
        <v>2196</v>
      </c>
    </row>
    <row r="46" customFormat="false" ht="35.05" hidden="false" customHeight="false" outlineLevel="0" collapsed="false">
      <c r="A46" s="4" t="s">
        <v>2052</v>
      </c>
      <c r="B46" s="4" t="s">
        <v>2202</v>
      </c>
      <c r="C46" s="4" t="s">
        <v>2203</v>
      </c>
      <c r="D46" s="4" t="s">
        <v>2204</v>
      </c>
      <c r="E46" s="4" t="s">
        <v>2205</v>
      </c>
      <c r="F46" s="4" t="s">
        <v>2206</v>
      </c>
      <c r="G46" s="4" t="s">
        <v>2207</v>
      </c>
      <c r="H46" s="4" t="n">
        <f aca="false">0.07*8500000000*0.2/6/30</f>
        <v>661111.111111111</v>
      </c>
      <c r="I46" s="4" t="s">
        <v>2208</v>
      </c>
      <c r="J46" s="4" t="s">
        <v>2196</v>
      </c>
    </row>
    <row r="47" customFormat="false" ht="35.05" hidden="false" customHeight="false" outlineLevel="0" collapsed="false">
      <c r="A47" s="5" t="s">
        <v>2057</v>
      </c>
      <c r="B47" s="5" t="s">
        <v>2209</v>
      </c>
      <c r="C47" s="5" t="s">
        <v>2210</v>
      </c>
      <c r="D47" s="5" t="s">
        <v>2211</v>
      </c>
      <c r="E47" s="5" t="s">
        <v>2212</v>
      </c>
      <c r="F47" s="5" t="s">
        <v>2213</v>
      </c>
      <c r="G47" s="5" t="s">
        <v>2214</v>
      </c>
      <c r="H47" s="5" t="n">
        <f aca="false">0.07*8500000000*0.2/6/30</f>
        <v>661111.111111111</v>
      </c>
      <c r="I47" s="5" t="s">
        <v>2215</v>
      </c>
      <c r="J47" s="5" t="s">
        <v>2216</v>
      </c>
    </row>
    <row r="50" customFormat="false" ht="15" hidden="false" customHeight="false" outlineLevel="0" collapsed="false">
      <c r="A50" s="6" t="s">
        <v>2217</v>
      </c>
    </row>
    <row r="51" customFormat="false" ht="15" hidden="false" customHeight="false" outlineLevel="0" collapsed="false">
      <c r="A51" s="3" t="s">
        <v>2218</v>
      </c>
      <c r="B51" s="3" t="s">
        <v>2219</v>
      </c>
      <c r="C51" s="3" t="s">
        <v>2220</v>
      </c>
      <c r="D51" s="3" t="s">
        <v>2221</v>
      </c>
      <c r="E51" s="3" t="s">
        <v>2222</v>
      </c>
    </row>
    <row r="52" customFormat="false" ht="57.45" hidden="false" customHeight="false" outlineLevel="0" collapsed="false">
      <c r="A52" s="4" t="s">
        <v>2223</v>
      </c>
      <c r="B52" s="4" t="s">
        <v>428</v>
      </c>
      <c r="C52" s="4" t="s">
        <v>2224</v>
      </c>
      <c r="D52" s="4" t="s">
        <v>2225</v>
      </c>
      <c r="E52" s="4" t="s">
        <v>2226</v>
      </c>
    </row>
    <row r="53" customFormat="false" ht="46.25" hidden="false" customHeight="false" outlineLevel="0" collapsed="false">
      <c r="A53" s="5" t="s">
        <v>2227</v>
      </c>
      <c r="B53" s="5" t="s">
        <v>428</v>
      </c>
      <c r="C53" s="5" t="s">
        <v>2228</v>
      </c>
      <c r="D53" s="5" t="s">
        <v>2229</v>
      </c>
      <c r="E53" s="5" t="s">
        <v>2226</v>
      </c>
    </row>
    <row r="54" customFormat="false" ht="46.25" hidden="false" customHeight="false" outlineLevel="0" collapsed="false">
      <c r="A54" s="4" t="s">
        <v>2230</v>
      </c>
      <c r="B54" s="4" t="s">
        <v>428</v>
      </c>
      <c r="C54" s="4" t="s">
        <v>2231</v>
      </c>
      <c r="D54" s="4" t="s">
        <v>2232</v>
      </c>
      <c r="E54" s="4" t="s">
        <v>2233</v>
      </c>
    </row>
    <row r="55" customFormat="false" ht="46.25" hidden="false" customHeight="false" outlineLevel="0" collapsed="false">
      <c r="A55" s="5" t="s">
        <v>2234</v>
      </c>
      <c r="B55" s="5" t="s">
        <v>428</v>
      </c>
      <c r="C55" s="5" t="s">
        <v>2235</v>
      </c>
      <c r="D55" s="5" t="s">
        <v>2236</v>
      </c>
      <c r="E55" s="5" t="s">
        <v>2237</v>
      </c>
    </row>
    <row r="56" customFormat="false" ht="46.25" hidden="false" customHeight="false" outlineLevel="0" collapsed="false">
      <c r="A56" s="4" t="s">
        <v>2238</v>
      </c>
      <c r="B56" s="4" t="s">
        <v>428</v>
      </c>
      <c r="C56" s="4" t="s">
        <v>2239</v>
      </c>
      <c r="D56" s="4" t="s">
        <v>2240</v>
      </c>
      <c r="E56" s="4" t="s">
        <v>2241</v>
      </c>
    </row>
    <row r="57" customFormat="false" ht="35.05" hidden="false" customHeight="false" outlineLevel="0" collapsed="false">
      <c r="A57" s="5" t="s">
        <v>2242</v>
      </c>
      <c r="B57" s="5" t="s">
        <v>428</v>
      </c>
      <c r="C57" s="5" t="s">
        <v>2243</v>
      </c>
      <c r="D57" s="5" t="s">
        <v>2244</v>
      </c>
      <c r="E57" s="5" t="s">
        <v>2245</v>
      </c>
    </row>
    <row r="58" customFormat="false" ht="35.05" hidden="false" customHeight="false" outlineLevel="0" collapsed="false">
      <c r="A58" s="4" t="s">
        <v>2246</v>
      </c>
      <c r="B58" s="4" t="s">
        <v>428</v>
      </c>
      <c r="C58" s="4" t="s">
        <v>2247</v>
      </c>
      <c r="D58" s="4" t="s">
        <v>2248</v>
      </c>
      <c r="E58" s="4" t="s">
        <v>2249</v>
      </c>
    </row>
    <row r="59" customFormat="false" ht="35.05" hidden="false" customHeight="false" outlineLevel="0" collapsed="false">
      <c r="A59" s="5" t="s">
        <v>2250</v>
      </c>
      <c r="B59" s="5" t="s">
        <v>428</v>
      </c>
      <c r="C59" s="5" t="s">
        <v>2251</v>
      </c>
      <c r="D59" s="5" t="s">
        <v>2252</v>
      </c>
      <c r="E59" s="5" t="s">
        <v>2253</v>
      </c>
    </row>
  </sheetData>
  <mergeCells count="3">
    <mergeCell ref="A1:G1"/>
    <mergeCell ref="A3:G3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2" width="18"/>
    <col collapsed="false" customWidth="true" hidden="false" outlineLevel="0" max="4" min="4" style="2" width="25"/>
    <col collapsed="false" customWidth="true" hidden="false" outlineLevel="0" max="5" min="5" style="2" width="42"/>
    <col collapsed="false" customWidth="true" hidden="false" outlineLevel="0" max="6" min="6" style="2" width="32"/>
    <col collapsed="false" customWidth="true" hidden="false" outlineLevel="0" max="7" min="7" style="2" width="28"/>
    <col collapsed="false" customWidth="true" hidden="false" outlineLevel="0" max="8" min="8" style="2" width="18"/>
  </cols>
  <sheetData>
    <row r="1" customFormat="false" ht="15" hidden="false" customHeight="true" outlineLevel="0" collapsed="false">
      <c r="A1" s="123" t="s">
        <v>2254</v>
      </c>
      <c r="B1" s="123"/>
      <c r="C1" s="123"/>
      <c r="D1" s="123"/>
      <c r="E1" s="123"/>
      <c r="F1" s="123"/>
      <c r="G1" s="123"/>
      <c r="H1" s="123"/>
    </row>
    <row r="2" customFormat="false" ht="15" hidden="false" customHeight="true" outlineLevel="0" collapsed="false">
      <c r="A2" s="124" t="s">
        <v>387</v>
      </c>
      <c r="B2" s="124" t="s">
        <v>444</v>
      </c>
      <c r="C2" s="124" t="s">
        <v>252</v>
      </c>
      <c r="D2" s="124" t="s">
        <v>2255</v>
      </c>
      <c r="E2" s="124" t="s">
        <v>2256</v>
      </c>
      <c r="F2" s="124" t="s">
        <v>2257</v>
      </c>
      <c r="G2" s="124" t="s">
        <v>2258</v>
      </c>
      <c r="H2" s="124" t="s">
        <v>290</v>
      </c>
    </row>
    <row r="3" customFormat="false" ht="15" hidden="false" customHeight="true" outlineLevel="0" collapsed="false">
      <c r="A3" s="72" t="n">
        <v>1</v>
      </c>
      <c r="B3" s="72" t="s">
        <v>2259</v>
      </c>
      <c r="C3" s="72" t="s">
        <v>406</v>
      </c>
      <c r="D3" s="72" t="s">
        <v>2260</v>
      </c>
      <c r="E3" s="72" t="s">
        <v>2261</v>
      </c>
      <c r="F3" s="72" t="s">
        <v>2262</v>
      </c>
      <c r="G3" s="72" t="s">
        <v>2263</v>
      </c>
      <c r="H3" s="72" t="s">
        <v>980</v>
      </c>
    </row>
    <row r="4" customFormat="false" ht="15" hidden="false" customHeight="true" outlineLevel="0" collapsed="false">
      <c r="A4" s="74" t="n">
        <v>2</v>
      </c>
      <c r="B4" s="74" t="s">
        <v>2264</v>
      </c>
      <c r="C4" s="74" t="s">
        <v>406</v>
      </c>
      <c r="D4" s="74" t="s">
        <v>2265</v>
      </c>
      <c r="E4" s="74" t="s">
        <v>2266</v>
      </c>
      <c r="F4" s="74" t="s">
        <v>2267</v>
      </c>
      <c r="G4" s="74" t="s">
        <v>2268</v>
      </c>
      <c r="H4" s="74" t="s">
        <v>980</v>
      </c>
    </row>
    <row r="5" customFormat="false" ht="15" hidden="false" customHeight="true" outlineLevel="0" collapsed="false">
      <c r="A5" s="72" t="n">
        <v>3</v>
      </c>
      <c r="B5" s="72" t="s">
        <v>2269</v>
      </c>
      <c r="C5" s="72" t="s">
        <v>2270</v>
      </c>
      <c r="D5" s="72" t="s">
        <v>2271</v>
      </c>
      <c r="E5" s="72" t="s">
        <v>2272</v>
      </c>
      <c r="F5" s="72" t="s">
        <v>2273</v>
      </c>
      <c r="G5" s="72" t="s">
        <v>2274</v>
      </c>
      <c r="H5" s="72" t="s">
        <v>980</v>
      </c>
    </row>
    <row r="6" customFormat="false" ht="15" hidden="false" customHeight="true" outlineLevel="0" collapsed="false">
      <c r="A6" s="74" t="n">
        <v>4</v>
      </c>
      <c r="B6" s="74" t="s">
        <v>2275</v>
      </c>
      <c r="C6" s="74" t="s">
        <v>2270</v>
      </c>
      <c r="D6" s="74" t="s">
        <v>2276</v>
      </c>
      <c r="E6" s="74" t="s">
        <v>2277</v>
      </c>
      <c r="F6" s="74" t="s">
        <v>2278</v>
      </c>
      <c r="G6" s="74" t="s">
        <v>2279</v>
      </c>
      <c r="H6" s="74" t="s">
        <v>980</v>
      </c>
    </row>
    <row r="7" customFormat="false" ht="15" hidden="false" customHeight="true" outlineLevel="0" collapsed="false">
      <c r="A7" s="72" t="n">
        <v>5</v>
      </c>
      <c r="B7" s="72" t="s">
        <v>2280</v>
      </c>
      <c r="C7" s="72" t="s">
        <v>2281</v>
      </c>
      <c r="D7" s="72" t="s">
        <v>2282</v>
      </c>
      <c r="E7" s="72" t="s">
        <v>2283</v>
      </c>
      <c r="F7" s="72" t="s">
        <v>2284</v>
      </c>
      <c r="G7" s="72" t="s">
        <v>2285</v>
      </c>
      <c r="H7" s="72" t="s">
        <v>980</v>
      </c>
    </row>
    <row r="8" customFormat="false" ht="15" hidden="false" customHeight="true" outlineLevel="0" collapsed="false">
      <c r="A8" s="74" t="n">
        <v>6</v>
      </c>
      <c r="B8" s="74" t="s">
        <v>2286</v>
      </c>
      <c r="C8" s="74" t="s">
        <v>2281</v>
      </c>
      <c r="D8" s="74" t="s">
        <v>2287</v>
      </c>
      <c r="E8" s="74" t="s">
        <v>2288</v>
      </c>
      <c r="F8" s="74" t="s">
        <v>2289</v>
      </c>
      <c r="G8" s="74" t="s">
        <v>2290</v>
      </c>
      <c r="H8" s="74" t="s">
        <v>980</v>
      </c>
    </row>
    <row r="9" customFormat="false" ht="15" hidden="false" customHeight="true" outlineLevel="0" collapsed="false">
      <c r="A9" s="72" t="n">
        <v>7</v>
      </c>
      <c r="B9" s="72" t="s">
        <v>2291</v>
      </c>
      <c r="C9" s="72" t="s">
        <v>2281</v>
      </c>
      <c r="D9" s="72" t="s">
        <v>2292</v>
      </c>
      <c r="E9" s="72" t="s">
        <v>2293</v>
      </c>
      <c r="F9" s="72" t="s">
        <v>2294</v>
      </c>
      <c r="G9" s="72" t="s">
        <v>2295</v>
      </c>
      <c r="H9" s="72" t="s">
        <v>980</v>
      </c>
    </row>
    <row r="10" customFormat="false" ht="15" hidden="false" customHeight="true" outlineLevel="0" collapsed="false">
      <c r="A10" s="74" t="n">
        <v>8</v>
      </c>
      <c r="B10" s="74" t="s">
        <v>2296</v>
      </c>
      <c r="C10" s="74" t="s">
        <v>2281</v>
      </c>
      <c r="D10" s="74" t="s">
        <v>2297</v>
      </c>
      <c r="E10" s="74" t="s">
        <v>2298</v>
      </c>
      <c r="F10" s="74" t="s">
        <v>2299</v>
      </c>
      <c r="G10" s="74" t="s">
        <v>2300</v>
      </c>
      <c r="H10" s="74" t="s">
        <v>980</v>
      </c>
    </row>
    <row r="11" customFormat="false" ht="15" hidden="false" customHeight="true" outlineLevel="0" collapsed="false">
      <c r="A11" s="72" t="n">
        <v>9</v>
      </c>
      <c r="B11" s="72" t="s">
        <v>2301</v>
      </c>
      <c r="C11" s="72" t="s">
        <v>2281</v>
      </c>
      <c r="D11" s="72" t="s">
        <v>2302</v>
      </c>
      <c r="E11" s="72" t="s">
        <v>2303</v>
      </c>
      <c r="F11" s="72" t="s">
        <v>2304</v>
      </c>
      <c r="G11" s="72" t="s">
        <v>2305</v>
      </c>
      <c r="H11" s="72" t="s">
        <v>980</v>
      </c>
    </row>
    <row r="12" customFormat="false" ht="15" hidden="false" customHeight="true" outlineLevel="0" collapsed="false">
      <c r="A12" s="74" t="n">
        <v>10</v>
      </c>
      <c r="B12" s="74" t="s">
        <v>2306</v>
      </c>
      <c r="C12" s="74" t="s">
        <v>2307</v>
      </c>
      <c r="D12" s="74" t="s">
        <v>2308</v>
      </c>
      <c r="E12" s="74" t="s">
        <v>2309</v>
      </c>
      <c r="F12" s="74" t="s">
        <v>2310</v>
      </c>
      <c r="G12" s="74" t="s">
        <v>2311</v>
      </c>
      <c r="H12" s="74" t="s">
        <v>980</v>
      </c>
    </row>
    <row r="13" customFormat="false" ht="15" hidden="false" customHeight="true" outlineLevel="0" collapsed="false">
      <c r="A13" s="72" t="n">
        <v>11</v>
      </c>
      <c r="B13" s="72" t="s">
        <v>2312</v>
      </c>
      <c r="C13" s="72" t="s">
        <v>2307</v>
      </c>
      <c r="D13" s="72" t="s">
        <v>2313</v>
      </c>
      <c r="E13" s="72" t="s">
        <v>2314</v>
      </c>
      <c r="F13" s="72" t="s">
        <v>2315</v>
      </c>
      <c r="G13" s="72" t="s">
        <v>2316</v>
      </c>
      <c r="H13" s="72" t="s">
        <v>980</v>
      </c>
    </row>
    <row r="14" customFormat="false" ht="15" hidden="false" customHeight="true" outlineLevel="0" collapsed="false">
      <c r="A14" s="74" t="n">
        <v>12</v>
      </c>
      <c r="B14" s="74" t="s">
        <v>2317</v>
      </c>
      <c r="C14" s="74" t="s">
        <v>2307</v>
      </c>
      <c r="D14" s="74" t="s">
        <v>2318</v>
      </c>
      <c r="E14" s="74" t="s">
        <v>2319</v>
      </c>
      <c r="F14" s="74" t="s">
        <v>2320</v>
      </c>
      <c r="G14" s="74" t="s">
        <v>2321</v>
      </c>
      <c r="H14" s="74" t="s">
        <v>980</v>
      </c>
    </row>
    <row r="15" customFormat="false" ht="15" hidden="false" customHeight="true" outlineLevel="0" collapsed="false">
      <c r="A15" s="72" t="n">
        <v>13</v>
      </c>
      <c r="B15" s="72" t="s">
        <v>2322</v>
      </c>
      <c r="C15" s="72" t="s">
        <v>2307</v>
      </c>
      <c r="D15" s="72" t="s">
        <v>2323</v>
      </c>
      <c r="E15" s="72" t="s">
        <v>2324</v>
      </c>
      <c r="F15" s="72" t="s">
        <v>2325</v>
      </c>
      <c r="G15" s="72" t="s">
        <v>2326</v>
      </c>
      <c r="H15" s="72" t="s">
        <v>980</v>
      </c>
    </row>
    <row r="16" customFormat="false" ht="15" hidden="false" customHeight="true" outlineLevel="0" collapsed="false">
      <c r="A16" s="74" t="n">
        <v>14</v>
      </c>
      <c r="B16" s="74" t="s">
        <v>2327</v>
      </c>
      <c r="C16" s="74" t="s">
        <v>2307</v>
      </c>
      <c r="D16" s="74" t="s">
        <v>2328</v>
      </c>
      <c r="E16" s="74" t="s">
        <v>2329</v>
      </c>
      <c r="F16" s="74" t="s">
        <v>2330</v>
      </c>
      <c r="G16" s="74" t="s">
        <v>2331</v>
      </c>
      <c r="H16" s="74" t="s">
        <v>980</v>
      </c>
    </row>
    <row r="17" customFormat="false" ht="15" hidden="false" customHeight="true" outlineLevel="0" collapsed="false">
      <c r="A17" s="72" t="n">
        <v>15</v>
      </c>
      <c r="B17" s="72" t="s">
        <v>2332</v>
      </c>
      <c r="C17" s="72" t="s">
        <v>2333</v>
      </c>
      <c r="D17" s="72" t="s">
        <v>2334</v>
      </c>
      <c r="E17" s="72" t="s">
        <v>2335</v>
      </c>
      <c r="F17" s="72" t="s">
        <v>2336</v>
      </c>
      <c r="G17" s="72" t="s">
        <v>2337</v>
      </c>
      <c r="H17" s="72" t="s">
        <v>980</v>
      </c>
    </row>
    <row r="18" customFormat="false" ht="15" hidden="false" customHeight="true" outlineLevel="0" collapsed="false">
      <c r="A18" s="74" t="n">
        <v>16</v>
      </c>
      <c r="B18" s="74" t="s">
        <v>2338</v>
      </c>
      <c r="C18" s="74" t="s">
        <v>2333</v>
      </c>
      <c r="D18" s="74" t="s">
        <v>2339</v>
      </c>
      <c r="E18" s="74" t="s">
        <v>2340</v>
      </c>
      <c r="F18" s="74" t="s">
        <v>2341</v>
      </c>
      <c r="G18" s="74" t="s">
        <v>2342</v>
      </c>
      <c r="H18" s="74" t="s">
        <v>980</v>
      </c>
    </row>
    <row r="19" customFormat="false" ht="15" hidden="false" customHeight="true" outlineLevel="0" collapsed="false">
      <c r="A19" s="72" t="n">
        <v>17</v>
      </c>
      <c r="B19" s="72" t="s">
        <v>2343</v>
      </c>
      <c r="C19" s="72" t="s">
        <v>2333</v>
      </c>
      <c r="D19" s="72" t="s">
        <v>2344</v>
      </c>
      <c r="E19" s="72" t="s">
        <v>2345</v>
      </c>
      <c r="F19" s="72" t="s">
        <v>2346</v>
      </c>
      <c r="G19" s="72" t="s">
        <v>2347</v>
      </c>
      <c r="H19" s="72" t="s">
        <v>980</v>
      </c>
    </row>
    <row r="20" customFormat="false" ht="15" hidden="false" customHeight="true" outlineLevel="0" collapsed="false">
      <c r="A20" s="74" t="n">
        <v>18</v>
      </c>
      <c r="B20" s="74" t="s">
        <v>2348</v>
      </c>
      <c r="C20" s="74" t="s">
        <v>2349</v>
      </c>
      <c r="D20" s="74" t="s">
        <v>2350</v>
      </c>
      <c r="E20" s="74" t="s">
        <v>2351</v>
      </c>
      <c r="F20" s="74" t="s">
        <v>2352</v>
      </c>
      <c r="G20" s="74" t="s">
        <v>2353</v>
      </c>
      <c r="H20" s="74" t="s">
        <v>980</v>
      </c>
    </row>
    <row r="21" customFormat="false" ht="15" hidden="false" customHeight="true" outlineLevel="0" collapsed="false">
      <c r="A21" s="72" t="n">
        <v>19</v>
      </c>
      <c r="B21" s="72" t="s">
        <v>2354</v>
      </c>
      <c r="C21" s="72" t="s">
        <v>2349</v>
      </c>
      <c r="D21" s="72" t="s">
        <v>2355</v>
      </c>
      <c r="E21" s="72" t="s">
        <v>2356</v>
      </c>
      <c r="F21" s="72" t="s">
        <v>2357</v>
      </c>
      <c r="G21" s="72" t="s">
        <v>2358</v>
      </c>
      <c r="H21" s="72" t="s">
        <v>980</v>
      </c>
    </row>
    <row r="22" customFormat="false" ht="15" hidden="false" customHeight="true" outlineLevel="0" collapsed="false">
      <c r="A22" s="74" t="n">
        <v>20</v>
      </c>
      <c r="B22" s="74" t="s">
        <v>2359</v>
      </c>
      <c r="C22" s="74" t="s">
        <v>2349</v>
      </c>
      <c r="D22" s="74" t="s">
        <v>2360</v>
      </c>
      <c r="E22" s="74" t="s">
        <v>2361</v>
      </c>
      <c r="F22" s="74" t="s">
        <v>2362</v>
      </c>
      <c r="G22" s="74" t="s">
        <v>2363</v>
      </c>
      <c r="H22" s="74" t="s">
        <v>980</v>
      </c>
    </row>
    <row r="23" customFormat="false" ht="15" hidden="false" customHeight="true" outlineLevel="0" collapsed="false">
      <c r="A23" s="72" t="n">
        <v>21</v>
      </c>
      <c r="B23" s="72" t="s">
        <v>2364</v>
      </c>
      <c r="C23" s="72" t="s">
        <v>2349</v>
      </c>
      <c r="D23" s="72" t="s">
        <v>2365</v>
      </c>
      <c r="E23" s="72" t="s">
        <v>2366</v>
      </c>
      <c r="F23" s="72" t="s">
        <v>2367</v>
      </c>
      <c r="G23" s="72" t="s">
        <v>2368</v>
      </c>
      <c r="H23" s="72" t="s">
        <v>980</v>
      </c>
    </row>
    <row r="24" customFormat="false" ht="15" hidden="false" customHeight="true" outlineLevel="0" collapsed="false">
      <c r="A24" s="74" t="n">
        <v>22</v>
      </c>
      <c r="B24" s="74" t="s">
        <v>2369</v>
      </c>
      <c r="C24" s="74" t="s">
        <v>2349</v>
      </c>
      <c r="D24" s="74" t="s">
        <v>2370</v>
      </c>
      <c r="E24" s="74" t="s">
        <v>2371</v>
      </c>
      <c r="F24" s="74" t="s">
        <v>2372</v>
      </c>
      <c r="G24" s="74" t="s">
        <v>2373</v>
      </c>
      <c r="H24" s="74" t="s">
        <v>980</v>
      </c>
    </row>
    <row r="25" customFormat="false" ht="15" hidden="false" customHeight="true" outlineLevel="0" collapsed="false">
      <c r="A25" s="72" t="n">
        <v>23</v>
      </c>
      <c r="B25" s="72" t="s">
        <v>2374</v>
      </c>
      <c r="C25" s="72" t="s">
        <v>2375</v>
      </c>
      <c r="D25" s="72" t="s">
        <v>2376</v>
      </c>
      <c r="E25" s="72" t="s">
        <v>2377</v>
      </c>
      <c r="F25" s="72" t="s">
        <v>2378</v>
      </c>
      <c r="G25" s="72" t="s">
        <v>2379</v>
      </c>
      <c r="H25" s="72" t="s">
        <v>980</v>
      </c>
    </row>
    <row r="26" customFormat="false" ht="23.25" hidden="false" customHeight="true" outlineLevel="0" collapsed="false">
      <c r="A26" s="74" t="n">
        <v>24</v>
      </c>
      <c r="B26" s="74" t="s">
        <v>2380</v>
      </c>
      <c r="C26" s="74" t="s">
        <v>2381</v>
      </c>
      <c r="D26" s="74" t="s">
        <v>908</v>
      </c>
      <c r="E26" s="74" t="s">
        <v>2382</v>
      </c>
      <c r="F26" s="74" t="s">
        <v>2383</v>
      </c>
      <c r="G26" s="74" t="s">
        <v>2384</v>
      </c>
      <c r="H26" s="74" t="s">
        <v>980</v>
      </c>
    </row>
    <row r="27" customFormat="false" ht="15" hidden="false" customHeight="true" outlineLevel="0" collapsed="false">
      <c r="A27" s="72" t="n">
        <v>25</v>
      </c>
      <c r="B27" s="72" t="s">
        <v>2385</v>
      </c>
      <c r="C27" s="72" t="s">
        <v>2381</v>
      </c>
      <c r="D27" s="72" t="s">
        <v>1528</v>
      </c>
      <c r="E27" s="72" t="s">
        <v>2386</v>
      </c>
      <c r="F27" s="72" t="s">
        <v>2387</v>
      </c>
      <c r="G27" s="72" t="s">
        <v>2388</v>
      </c>
      <c r="H27" s="72" t="s">
        <v>980</v>
      </c>
    </row>
    <row r="28" customFormat="false" ht="15" hidden="false" customHeight="true" outlineLevel="0" collapsed="false">
      <c r="A28" s="74" t="n">
        <v>26</v>
      </c>
      <c r="B28" s="74" t="s">
        <v>2389</v>
      </c>
      <c r="C28" s="74" t="s">
        <v>2381</v>
      </c>
      <c r="D28" s="74" t="s">
        <v>2390</v>
      </c>
      <c r="E28" s="74" t="s">
        <v>2391</v>
      </c>
      <c r="F28" s="74" t="s">
        <v>2392</v>
      </c>
      <c r="G28" s="74" t="s">
        <v>2393</v>
      </c>
      <c r="H28" s="74" t="s">
        <v>980</v>
      </c>
    </row>
    <row r="29" customFormat="false" ht="15" hidden="false" customHeight="true" outlineLevel="0" collapsed="false">
      <c r="A29" s="72" t="n">
        <v>27</v>
      </c>
      <c r="B29" s="72" t="s">
        <v>2394</v>
      </c>
      <c r="C29" s="72" t="s">
        <v>2395</v>
      </c>
      <c r="D29" s="72" t="s">
        <v>2396</v>
      </c>
      <c r="E29" s="72" t="s">
        <v>2397</v>
      </c>
      <c r="F29" s="72" t="s">
        <v>2398</v>
      </c>
      <c r="G29" s="72" t="s">
        <v>2399</v>
      </c>
      <c r="H29" s="72" t="s">
        <v>980</v>
      </c>
    </row>
    <row r="30" customFormat="false" ht="23.25" hidden="false" customHeight="true" outlineLevel="0" collapsed="false">
      <c r="A30" s="74" t="n">
        <v>28</v>
      </c>
      <c r="B30" s="74" t="s">
        <v>2400</v>
      </c>
      <c r="C30" s="74" t="s">
        <v>2395</v>
      </c>
      <c r="D30" s="74" t="s">
        <v>2401</v>
      </c>
      <c r="E30" s="74" t="s">
        <v>2402</v>
      </c>
      <c r="F30" s="74" t="s">
        <v>2403</v>
      </c>
      <c r="G30" s="74" t="s">
        <v>2404</v>
      </c>
      <c r="H30" s="74" t="s">
        <v>980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28"/>
    <col collapsed="false" customWidth="true" hidden="false" outlineLevel="0" max="13" min="3" style="2" width="12"/>
    <col collapsed="false" customWidth="true" hidden="false" outlineLevel="0" max="14" min="14" style="2" width="3"/>
  </cols>
  <sheetData>
    <row r="1" customFormat="false" ht="36" hidden="false" customHeight="true" outlineLevel="0" collapsed="false">
      <c r="B1" s="125" t="s">
        <v>2405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customFormat="false" ht="30" hidden="false" customHeight="true" outlineLevel="0" collapsed="false">
      <c r="B2" s="126" t="s">
        <v>2406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customFormat="false" ht="36" hidden="false" customHeight="true" outlineLevel="0" collapsed="false">
      <c r="B3" s="127" t="s">
        <v>2407</v>
      </c>
      <c r="C3" s="127" t="s">
        <v>2408</v>
      </c>
      <c r="D3" s="127" t="s">
        <v>2409</v>
      </c>
      <c r="E3" s="127" t="s">
        <v>2410</v>
      </c>
      <c r="F3" s="127" t="s">
        <v>2411</v>
      </c>
      <c r="G3" s="127" t="s">
        <v>2412</v>
      </c>
      <c r="H3" s="127" t="s">
        <v>2413</v>
      </c>
      <c r="I3" s="127" t="s">
        <v>2414</v>
      </c>
      <c r="J3" s="127" t="s">
        <v>2415</v>
      </c>
      <c r="K3" s="127" t="s">
        <v>289</v>
      </c>
      <c r="L3" s="127" t="s">
        <v>2416</v>
      </c>
      <c r="M3" s="127" t="s">
        <v>2417</v>
      </c>
    </row>
    <row r="4" customFormat="false" ht="24" hidden="false" customHeight="true" outlineLevel="0" collapsed="false">
      <c r="B4" s="128" t="s">
        <v>2418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</row>
    <row r="5" customFormat="false" ht="18" hidden="false" customHeight="true" outlineLevel="0" collapsed="false">
      <c r="B5" s="129" t="s">
        <v>2419</v>
      </c>
      <c r="C5" s="130" t="n">
        <v>0</v>
      </c>
      <c r="D5" s="130" t="n">
        <v>0</v>
      </c>
      <c r="E5" s="130" t="n">
        <v>0</v>
      </c>
      <c r="F5" s="130" t="n">
        <v>0</v>
      </c>
      <c r="G5" s="130" t="n">
        <v>0</v>
      </c>
      <c r="H5" s="130" t="n">
        <v>0</v>
      </c>
      <c r="I5" s="131" t="n">
        <f aca="false">SUM(C5:H5)</f>
        <v>0</v>
      </c>
      <c r="J5" s="132" t="n">
        <v>0</v>
      </c>
      <c r="K5" s="133" t="n">
        <f aca="false">IF(J5&gt;0,I5/J5,0)</f>
        <v>0</v>
      </c>
      <c r="L5" s="133" t="str">
        <f aca="false">IF(J5&gt;0,I5/J5,"N/A")</f>
        <v>N/A</v>
      </c>
      <c r="M5" s="134" t="s">
        <v>428</v>
      </c>
      <c r="N5" s="9"/>
    </row>
    <row r="6" customFormat="false" ht="18" hidden="false" customHeight="true" outlineLevel="0" collapsed="false">
      <c r="B6" s="129" t="s">
        <v>2420</v>
      </c>
      <c r="C6" s="130" t="n">
        <v>0</v>
      </c>
      <c r="D6" s="130" t="n">
        <v>0</v>
      </c>
      <c r="E6" s="130" t="n">
        <v>0</v>
      </c>
      <c r="F6" s="130" t="n">
        <v>0</v>
      </c>
      <c r="G6" s="130" t="n">
        <v>0</v>
      </c>
      <c r="H6" s="130" t="n">
        <v>0</v>
      </c>
      <c r="I6" s="131" t="n">
        <f aca="false">SUM(C6:H6)</f>
        <v>0</v>
      </c>
      <c r="J6" s="132" t="n">
        <v>0</v>
      </c>
      <c r="K6" s="133" t="n">
        <f aca="false">IF(J6&gt;0,I6/J6,0)</f>
        <v>0</v>
      </c>
      <c r="L6" s="133" t="str">
        <f aca="false">IF(J6&gt;0,I6/J6,"N/A")</f>
        <v>N/A</v>
      </c>
      <c r="M6" s="134" t="s">
        <v>428</v>
      </c>
      <c r="N6" s="9"/>
    </row>
    <row r="7" customFormat="false" ht="18" hidden="false" customHeight="true" outlineLevel="0" collapsed="false">
      <c r="B7" s="129" t="s">
        <v>2421</v>
      </c>
      <c r="C7" s="130" t="n">
        <v>0</v>
      </c>
      <c r="D7" s="130" t="n">
        <v>0</v>
      </c>
      <c r="E7" s="130" t="n">
        <v>0</v>
      </c>
      <c r="F7" s="130" t="n">
        <v>0</v>
      </c>
      <c r="G7" s="130" t="n">
        <v>0</v>
      </c>
      <c r="H7" s="130" t="n">
        <v>0</v>
      </c>
      <c r="I7" s="131" t="n">
        <f aca="false">SUM(C7:H7)</f>
        <v>0</v>
      </c>
      <c r="J7" s="132" t="n">
        <v>0</v>
      </c>
      <c r="K7" s="133" t="n">
        <f aca="false">IF(J7&gt;0,I7/J7,0)</f>
        <v>0</v>
      </c>
      <c r="L7" s="133" t="str">
        <f aca="false">IF(J7&gt;0,I7/J7,"N/A")</f>
        <v>N/A</v>
      </c>
      <c r="M7" s="134" t="s">
        <v>428</v>
      </c>
      <c r="N7" s="9"/>
    </row>
    <row r="8" customFormat="false" ht="18" hidden="false" customHeight="true" outlineLevel="0" collapsed="false">
      <c r="B8" s="129" t="s">
        <v>2422</v>
      </c>
      <c r="C8" s="135" t="n">
        <v>0</v>
      </c>
      <c r="D8" s="135" t="n">
        <v>0</v>
      </c>
      <c r="E8" s="135" t="n">
        <v>0</v>
      </c>
      <c r="F8" s="135" t="n">
        <v>0</v>
      </c>
      <c r="G8" s="135" t="n">
        <v>0</v>
      </c>
      <c r="H8" s="135" t="n">
        <v>0</v>
      </c>
      <c r="I8" s="136" t="n">
        <f aca="false">SUM(C8:H8)</f>
        <v>0</v>
      </c>
      <c r="J8" s="137" t="n">
        <v>0.06</v>
      </c>
      <c r="K8" s="133" t="n">
        <f aca="false">IF(J8&gt;0,I8/J8,0)</f>
        <v>0</v>
      </c>
      <c r="L8" s="133" t="n">
        <f aca="false">IF(J8&gt;0,I8/J8,"N/A")</f>
        <v>0</v>
      </c>
      <c r="M8" s="138" t="s">
        <v>2423</v>
      </c>
      <c r="N8" s="9"/>
    </row>
    <row r="9" customFormat="false" ht="18" hidden="false" customHeight="true" outlineLevel="0" collapsed="false">
      <c r="B9" s="129" t="s">
        <v>2424</v>
      </c>
      <c r="C9" s="130" t="n">
        <v>0</v>
      </c>
      <c r="D9" s="130" t="n">
        <v>0</v>
      </c>
      <c r="E9" s="130" t="n">
        <v>0</v>
      </c>
      <c r="F9" s="130" t="n">
        <v>0</v>
      </c>
      <c r="G9" s="130" t="n">
        <v>0</v>
      </c>
      <c r="H9" s="130" t="n">
        <v>0</v>
      </c>
      <c r="I9" s="131" t="n">
        <f aca="false">SUM(C9:H9)</f>
        <v>0</v>
      </c>
      <c r="J9" s="132" t="n">
        <v>0</v>
      </c>
      <c r="K9" s="133" t="n">
        <f aca="false">IF(J9&gt;0,I9/J9,0)</f>
        <v>0</v>
      </c>
      <c r="L9" s="133" t="str">
        <f aca="false">IF(J9&gt;0,I9/J9,"N/A")</f>
        <v>N/A</v>
      </c>
      <c r="M9" s="134" t="s">
        <v>428</v>
      </c>
      <c r="N9" s="9"/>
    </row>
    <row r="10" customFormat="false" ht="18" hidden="false" customHeight="true" outlineLevel="0" collapsed="false">
      <c r="B10" s="129" t="s">
        <v>2425</v>
      </c>
      <c r="C10" s="130" t="n">
        <v>0</v>
      </c>
      <c r="D10" s="130" t="n">
        <v>0</v>
      </c>
      <c r="E10" s="130" t="n">
        <v>0</v>
      </c>
      <c r="F10" s="130" t="n">
        <v>0</v>
      </c>
      <c r="G10" s="130" t="n">
        <v>0</v>
      </c>
      <c r="H10" s="130" t="n">
        <v>0</v>
      </c>
      <c r="I10" s="131" t="n">
        <f aca="false">SUM(C10:H10)</f>
        <v>0</v>
      </c>
      <c r="J10" s="132" t="n">
        <v>0</v>
      </c>
      <c r="K10" s="133" t="n">
        <f aca="false">IF(J10&gt;0,I10/J10,0)</f>
        <v>0</v>
      </c>
      <c r="L10" s="133" t="str">
        <f aca="false">IF(J10&gt;0,I10/J10,"N/A")</f>
        <v>N/A</v>
      </c>
      <c r="M10" s="134" t="s">
        <v>428</v>
      </c>
      <c r="N10" s="9"/>
    </row>
    <row r="11" customFormat="false" ht="18" hidden="false" customHeight="true" outlineLevel="0" collapsed="false">
      <c r="B11" s="129" t="s">
        <v>2426</v>
      </c>
      <c r="C11" s="130" t="n">
        <v>0</v>
      </c>
      <c r="D11" s="130" t="n">
        <v>0</v>
      </c>
      <c r="E11" s="130" t="n">
        <v>0</v>
      </c>
      <c r="F11" s="130" t="n">
        <v>0</v>
      </c>
      <c r="G11" s="130" t="n">
        <v>0</v>
      </c>
      <c r="H11" s="130" t="n">
        <v>0</v>
      </c>
      <c r="I11" s="131" t="n">
        <f aca="false">SUM(C11:H11)</f>
        <v>0</v>
      </c>
      <c r="J11" s="132" t="n">
        <v>0</v>
      </c>
      <c r="K11" s="133" t="n">
        <f aca="false">IF(J11&gt;0,I11/J11,0)</f>
        <v>0</v>
      </c>
      <c r="L11" s="133" t="str">
        <f aca="false">IF(J11&gt;0,I11/J11,"N/A")</f>
        <v>N/A</v>
      </c>
      <c r="M11" s="134" t="s">
        <v>428</v>
      </c>
      <c r="N11" s="9"/>
    </row>
    <row r="12" customFormat="false" ht="18" hidden="false" customHeight="true" outlineLevel="0" collapsed="false">
      <c r="B12" s="129" t="s">
        <v>2427</v>
      </c>
      <c r="C12" s="130" t="n">
        <v>0</v>
      </c>
      <c r="D12" s="130" t="n">
        <v>0</v>
      </c>
      <c r="E12" s="130" t="n">
        <v>0</v>
      </c>
      <c r="F12" s="130" t="n">
        <v>0</v>
      </c>
      <c r="G12" s="130" t="n">
        <v>0</v>
      </c>
      <c r="H12" s="130" t="n">
        <v>0</v>
      </c>
      <c r="I12" s="131" t="n">
        <f aca="false">SUM(C12:H12)</f>
        <v>0</v>
      </c>
      <c r="J12" s="132" t="n">
        <v>180000</v>
      </c>
      <c r="K12" s="133" t="n">
        <f aca="false">IF(J12&gt;0,I12/J12,0)</f>
        <v>0</v>
      </c>
      <c r="L12" s="133" t="n">
        <f aca="false">IF(J12&gt;0,I12/J12,"N/A")</f>
        <v>0</v>
      </c>
      <c r="M12" s="138" t="s">
        <v>2428</v>
      </c>
      <c r="N12" s="9"/>
    </row>
    <row r="13" customFormat="false" ht="18" hidden="false" customHeight="true" outlineLevel="0" collapsed="false">
      <c r="B13" s="129" t="s">
        <v>2429</v>
      </c>
      <c r="C13" s="135" t="n">
        <v>0</v>
      </c>
      <c r="D13" s="135" t="n">
        <v>0</v>
      </c>
      <c r="E13" s="135" t="n">
        <v>0</v>
      </c>
      <c r="F13" s="135" t="n">
        <v>0</v>
      </c>
      <c r="G13" s="135" t="n">
        <v>0</v>
      </c>
      <c r="H13" s="135" t="n">
        <v>0</v>
      </c>
      <c r="I13" s="136" t="n">
        <f aca="false">SUM(C13:H13)</f>
        <v>0</v>
      </c>
      <c r="J13" s="137" t="n">
        <v>0.5</v>
      </c>
      <c r="K13" s="133" t="n">
        <f aca="false">IF(J13&gt;0,I13/J13,0)</f>
        <v>0</v>
      </c>
      <c r="L13" s="133" t="n">
        <f aca="false">IF(J13&gt;0,I13/J13,"N/A")</f>
        <v>0</v>
      </c>
      <c r="M13" s="138" t="s">
        <v>2430</v>
      </c>
      <c r="N13" s="9"/>
    </row>
    <row r="14" customFormat="false" ht="18" hidden="false" customHeight="true" outlineLevel="0" collapsed="false">
      <c r="B14" s="129" t="s">
        <v>2431</v>
      </c>
      <c r="C14" s="130" t="n">
        <v>0</v>
      </c>
      <c r="D14" s="130" t="n">
        <v>0</v>
      </c>
      <c r="E14" s="130" t="n">
        <v>0</v>
      </c>
      <c r="F14" s="130" t="n">
        <v>0</v>
      </c>
      <c r="G14" s="130" t="n">
        <v>0</v>
      </c>
      <c r="H14" s="130" t="n">
        <v>0</v>
      </c>
      <c r="I14" s="131" t="n">
        <f aca="false">SUM(C14:H14)</f>
        <v>0</v>
      </c>
      <c r="J14" s="132" t="n">
        <v>0</v>
      </c>
      <c r="K14" s="133" t="n">
        <f aca="false">IF(J14&gt;0,I14/J14,0)</f>
        <v>0</v>
      </c>
      <c r="L14" s="133" t="str">
        <f aca="false">IF(J14&gt;0,I14/J14,"N/A")</f>
        <v>N/A</v>
      </c>
      <c r="M14" s="134" t="s">
        <v>428</v>
      </c>
      <c r="N14" s="9"/>
    </row>
    <row r="15" customFormat="false" ht="18" hidden="false" customHeight="true" outlineLevel="0" collapsed="false">
      <c r="B15" s="129" t="s">
        <v>2432</v>
      </c>
      <c r="C15" s="130" t="n">
        <v>0</v>
      </c>
      <c r="D15" s="130" t="n">
        <v>0</v>
      </c>
      <c r="E15" s="130" t="n">
        <v>0</v>
      </c>
      <c r="F15" s="130" t="n">
        <v>0</v>
      </c>
      <c r="G15" s="130" t="n">
        <v>0</v>
      </c>
      <c r="H15" s="130" t="n">
        <v>0</v>
      </c>
      <c r="I15" s="131" t="n">
        <f aca="false">SUM(C15:H15)</f>
        <v>0</v>
      </c>
      <c r="J15" s="132" t="n">
        <v>0</v>
      </c>
      <c r="K15" s="133" t="n">
        <f aca="false">IF(J15&gt;0,I15/J15,0)</f>
        <v>0</v>
      </c>
      <c r="L15" s="133" t="str">
        <f aca="false">IF(J15&gt;0,I15/J15,"N/A")</f>
        <v>N/A</v>
      </c>
      <c r="M15" s="134" t="s">
        <v>428</v>
      </c>
      <c r="N15" s="9"/>
    </row>
    <row r="17" customFormat="false" ht="24" hidden="false" customHeight="true" outlineLevel="0" collapsed="false">
      <c r="B17" s="139" t="s">
        <v>2433</v>
      </c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</row>
    <row r="18" customFormat="false" ht="18" hidden="false" customHeight="true" outlineLevel="0" collapsed="false">
      <c r="B18" s="129" t="s">
        <v>2434</v>
      </c>
      <c r="C18" s="130" t="n">
        <v>0</v>
      </c>
      <c r="D18" s="130" t="n">
        <v>0</v>
      </c>
      <c r="E18" s="130" t="n">
        <v>0</v>
      </c>
      <c r="F18" s="130" t="n">
        <v>0</v>
      </c>
      <c r="G18" s="130" t="n">
        <v>0</v>
      </c>
      <c r="H18" s="130" t="n">
        <v>0</v>
      </c>
      <c r="I18" s="131" t="n">
        <f aca="false">SUM(C18:H18)</f>
        <v>0</v>
      </c>
      <c r="J18" s="132" t="n">
        <v>0</v>
      </c>
      <c r="K18" s="133" t="n">
        <f aca="false">IF(J18&gt;0,I18/J18,0)</f>
        <v>0</v>
      </c>
      <c r="L18" s="133" t="str">
        <f aca="false">IF(J18&gt;0,I18/J18,"N/A")</f>
        <v>N/A</v>
      </c>
      <c r="M18" s="134" t="s">
        <v>428</v>
      </c>
      <c r="N18" s="9"/>
    </row>
    <row r="19" customFormat="false" ht="18" hidden="false" customHeight="true" outlineLevel="0" collapsed="false">
      <c r="B19" s="129" t="s">
        <v>2435</v>
      </c>
      <c r="C19" s="130" t="n">
        <v>0</v>
      </c>
      <c r="D19" s="130" t="n">
        <v>0</v>
      </c>
      <c r="E19" s="130" t="n">
        <v>0</v>
      </c>
      <c r="F19" s="130" t="n">
        <v>0</v>
      </c>
      <c r="G19" s="130" t="n">
        <v>0</v>
      </c>
      <c r="H19" s="130" t="n">
        <v>0</v>
      </c>
      <c r="I19" s="131" t="n">
        <f aca="false">SUM(C19:H19)</f>
        <v>0</v>
      </c>
      <c r="J19" s="132" t="n">
        <v>0</v>
      </c>
      <c r="K19" s="133" t="n">
        <f aca="false">IF(J19&gt;0,I19/J19,0)</f>
        <v>0</v>
      </c>
      <c r="L19" s="133" t="str">
        <f aca="false">IF(J19&gt;0,I19/J19,"N/A")</f>
        <v>N/A</v>
      </c>
      <c r="M19" s="134" t="s">
        <v>428</v>
      </c>
      <c r="N19" s="9"/>
    </row>
    <row r="20" customFormat="false" ht="18" hidden="false" customHeight="true" outlineLevel="0" collapsed="false">
      <c r="B20" s="129" t="s">
        <v>2436</v>
      </c>
      <c r="C20" s="130" t="n">
        <v>0</v>
      </c>
      <c r="D20" s="130" t="n">
        <v>0</v>
      </c>
      <c r="E20" s="130" t="n">
        <v>0</v>
      </c>
      <c r="F20" s="130" t="n">
        <v>0</v>
      </c>
      <c r="G20" s="130" t="n">
        <v>0</v>
      </c>
      <c r="H20" s="130" t="n">
        <v>0</v>
      </c>
      <c r="I20" s="131" t="n">
        <f aca="false">SUM(C20:H20)</f>
        <v>0</v>
      </c>
      <c r="J20" s="132" t="n">
        <v>0</v>
      </c>
      <c r="K20" s="133" t="n">
        <f aca="false">IF(J20&gt;0,I20/J20,0)</f>
        <v>0</v>
      </c>
      <c r="L20" s="133" t="str">
        <f aca="false">IF(J20&gt;0,I20/J20,"N/A")</f>
        <v>N/A</v>
      </c>
      <c r="M20" s="134" t="s">
        <v>428</v>
      </c>
      <c r="N20" s="9"/>
    </row>
    <row r="21" customFormat="false" ht="18" hidden="false" customHeight="true" outlineLevel="0" collapsed="false">
      <c r="B21" s="129" t="s">
        <v>2437</v>
      </c>
      <c r="C21" s="135" t="n">
        <v>0</v>
      </c>
      <c r="D21" s="135" t="n">
        <v>0</v>
      </c>
      <c r="E21" s="135" t="n">
        <v>0</v>
      </c>
      <c r="F21" s="135" t="n">
        <v>0</v>
      </c>
      <c r="G21" s="135" t="n">
        <v>0</v>
      </c>
      <c r="H21" s="135" t="n">
        <v>0</v>
      </c>
      <c r="I21" s="136" t="n">
        <f aca="false">SUM(C21:H21)</f>
        <v>0</v>
      </c>
      <c r="J21" s="137" t="n">
        <v>0.015</v>
      </c>
      <c r="K21" s="133" t="n">
        <f aca="false">IF(J21&gt;0,I21/J21,0)</f>
        <v>0</v>
      </c>
      <c r="L21" s="133" t="n">
        <f aca="false">IF(J21&gt;0,I21/J21,"N/A")</f>
        <v>0</v>
      </c>
      <c r="M21" s="138" t="s">
        <v>2438</v>
      </c>
      <c r="N21" s="9"/>
    </row>
    <row r="22" customFormat="false" ht="18" hidden="false" customHeight="true" outlineLevel="0" collapsed="false">
      <c r="B22" s="129" t="s">
        <v>2439</v>
      </c>
      <c r="C22" s="130" t="n">
        <v>0</v>
      </c>
      <c r="D22" s="130" t="n">
        <v>0</v>
      </c>
      <c r="E22" s="130" t="n">
        <v>0</v>
      </c>
      <c r="F22" s="130" t="n">
        <v>0</v>
      </c>
      <c r="G22" s="130" t="n">
        <v>0</v>
      </c>
      <c r="H22" s="130" t="n">
        <v>0</v>
      </c>
      <c r="I22" s="131" t="n">
        <f aca="false">SUM(C22:H22)</f>
        <v>0</v>
      </c>
      <c r="J22" s="132" t="n">
        <v>0</v>
      </c>
      <c r="K22" s="133" t="n">
        <f aca="false">IF(J22&gt;0,I22/J22,0)</f>
        <v>0</v>
      </c>
      <c r="L22" s="133" t="str">
        <f aca="false">IF(J22&gt;0,I22/J22,"N/A")</f>
        <v>N/A</v>
      </c>
      <c r="M22" s="134" t="s">
        <v>428</v>
      </c>
      <c r="N22" s="9"/>
    </row>
    <row r="23" customFormat="false" ht="18" hidden="false" customHeight="true" outlineLevel="0" collapsed="false">
      <c r="B23" s="129" t="s">
        <v>2440</v>
      </c>
      <c r="C23" s="130" t="n">
        <v>0</v>
      </c>
      <c r="D23" s="130" t="n">
        <v>0</v>
      </c>
      <c r="E23" s="130" t="n">
        <v>0</v>
      </c>
      <c r="F23" s="130" t="n">
        <v>0</v>
      </c>
      <c r="G23" s="130" t="n">
        <v>0</v>
      </c>
      <c r="H23" s="130" t="n">
        <v>0</v>
      </c>
      <c r="I23" s="131" t="n">
        <f aca="false">SUM(C23:H23)</f>
        <v>0</v>
      </c>
      <c r="J23" s="132" t="n">
        <v>120000</v>
      </c>
      <c r="K23" s="133" t="n">
        <f aca="false">IF(J23&gt;0,I23/J23,0)</f>
        <v>0</v>
      </c>
      <c r="L23" s="133" t="n">
        <f aca="false">IF(J23&gt;0,I23/J23,"N/A")</f>
        <v>0</v>
      </c>
      <c r="M23" s="138" t="s">
        <v>2441</v>
      </c>
      <c r="N23" s="9"/>
    </row>
    <row r="24" customFormat="false" ht="18" hidden="false" customHeight="true" outlineLevel="0" collapsed="false">
      <c r="B24" s="129" t="s">
        <v>2442</v>
      </c>
      <c r="C24" s="135" t="n">
        <v>0</v>
      </c>
      <c r="D24" s="135" t="n">
        <v>0</v>
      </c>
      <c r="E24" s="135" t="n">
        <v>0</v>
      </c>
      <c r="F24" s="135" t="n">
        <v>0</v>
      </c>
      <c r="G24" s="135" t="n">
        <v>0</v>
      </c>
      <c r="H24" s="135" t="n">
        <v>0</v>
      </c>
      <c r="I24" s="136" t="n">
        <f aca="false">SUM(C24:H24)</f>
        <v>0</v>
      </c>
      <c r="J24" s="137" t="n">
        <v>0.45</v>
      </c>
      <c r="K24" s="133" t="n">
        <f aca="false">IF(J24&gt;0,I24/J24,0)</f>
        <v>0</v>
      </c>
      <c r="L24" s="133" t="n">
        <f aca="false">IF(J24&gt;0,I24/J24,"N/A")</f>
        <v>0</v>
      </c>
      <c r="M24" s="138" t="s">
        <v>2443</v>
      </c>
      <c r="N24" s="9"/>
    </row>
    <row r="25" customFormat="false" ht="18" hidden="false" customHeight="true" outlineLevel="0" collapsed="false">
      <c r="B25" s="129" t="s">
        <v>2444</v>
      </c>
      <c r="C25" s="130" t="n">
        <v>0</v>
      </c>
      <c r="D25" s="130" t="n">
        <v>0</v>
      </c>
      <c r="E25" s="130" t="n">
        <v>0</v>
      </c>
      <c r="F25" s="130" t="n">
        <v>0</v>
      </c>
      <c r="G25" s="130" t="n">
        <v>0</v>
      </c>
      <c r="H25" s="130" t="n">
        <v>0</v>
      </c>
      <c r="I25" s="131" t="n">
        <f aca="false">SUM(C25:H25)</f>
        <v>0</v>
      </c>
      <c r="J25" s="132" t="n">
        <v>0</v>
      </c>
      <c r="K25" s="133" t="n">
        <f aca="false">IF(J25&gt;0,I25/J25,0)</f>
        <v>0</v>
      </c>
      <c r="L25" s="133" t="str">
        <f aca="false">IF(J25&gt;0,I25/J25,"N/A")</f>
        <v>N/A</v>
      </c>
      <c r="M25" s="134" t="s">
        <v>428</v>
      </c>
      <c r="N25" s="9"/>
    </row>
    <row r="27" customFormat="false" ht="24" hidden="false" customHeight="true" outlineLevel="0" collapsed="false">
      <c r="B27" s="140" t="s">
        <v>2445</v>
      </c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</row>
    <row r="28" customFormat="false" ht="18" hidden="false" customHeight="true" outlineLevel="0" collapsed="false">
      <c r="B28" s="129" t="s">
        <v>2446</v>
      </c>
      <c r="C28" s="130" t="n">
        <v>0</v>
      </c>
      <c r="D28" s="130" t="n">
        <v>0</v>
      </c>
      <c r="E28" s="130" t="n">
        <v>0</v>
      </c>
      <c r="F28" s="130" t="n">
        <v>0</v>
      </c>
      <c r="G28" s="130" t="n">
        <v>0</v>
      </c>
      <c r="H28" s="130" t="n">
        <v>0</v>
      </c>
      <c r="I28" s="131" t="n">
        <f aca="false">SUM(C28:H28)</f>
        <v>0</v>
      </c>
      <c r="J28" s="132" t="n">
        <v>0</v>
      </c>
      <c r="K28" s="133" t="n">
        <f aca="false">IF(J28&gt;0,I28/J28,0)</f>
        <v>0</v>
      </c>
      <c r="L28" s="133" t="str">
        <f aca="false">IF(J28&gt;0,I28/J28,"N/A")</f>
        <v>N/A</v>
      </c>
      <c r="M28" s="134" t="s">
        <v>428</v>
      </c>
      <c r="N28" s="9"/>
    </row>
    <row r="29" customFormat="false" ht="18" hidden="false" customHeight="true" outlineLevel="0" collapsed="false">
      <c r="B29" s="129" t="s">
        <v>2447</v>
      </c>
      <c r="C29" s="130" t="n">
        <v>0</v>
      </c>
      <c r="D29" s="130" t="n">
        <v>0</v>
      </c>
      <c r="E29" s="130" t="n">
        <v>0</v>
      </c>
      <c r="F29" s="130" t="n">
        <v>0</v>
      </c>
      <c r="G29" s="130" t="n">
        <v>0</v>
      </c>
      <c r="H29" s="130" t="n">
        <v>0</v>
      </c>
      <c r="I29" s="131" t="n">
        <f aca="false">SUM(C29:H29)</f>
        <v>0</v>
      </c>
      <c r="J29" s="132" t="n">
        <v>0</v>
      </c>
      <c r="K29" s="133" t="n">
        <f aca="false">IF(J29&gt;0,I29/J29,0)</f>
        <v>0</v>
      </c>
      <c r="L29" s="133" t="str">
        <f aca="false">IF(J29&gt;0,I29/J29,"N/A")</f>
        <v>N/A</v>
      </c>
      <c r="M29" s="134" t="s">
        <v>428</v>
      </c>
      <c r="N29" s="9"/>
    </row>
    <row r="30" customFormat="false" ht="18" hidden="false" customHeight="true" outlineLevel="0" collapsed="false">
      <c r="B30" s="129" t="s">
        <v>2448</v>
      </c>
      <c r="C30" s="130" t="n">
        <v>0</v>
      </c>
      <c r="D30" s="130" t="n">
        <v>0</v>
      </c>
      <c r="E30" s="130" t="n">
        <v>0</v>
      </c>
      <c r="F30" s="130" t="n">
        <v>0</v>
      </c>
      <c r="G30" s="130" t="n">
        <v>0</v>
      </c>
      <c r="H30" s="130" t="n">
        <v>0</v>
      </c>
      <c r="I30" s="131" t="n">
        <f aca="false">SUM(C30:H30)</f>
        <v>0</v>
      </c>
      <c r="J30" s="132" t="n">
        <v>0</v>
      </c>
      <c r="K30" s="133" t="n">
        <f aca="false">IF(J30&gt;0,I30/J30,0)</f>
        <v>0</v>
      </c>
      <c r="L30" s="133" t="str">
        <f aca="false">IF(J30&gt;0,I30/J30,"N/A")</f>
        <v>N/A</v>
      </c>
      <c r="M30" s="134" t="s">
        <v>428</v>
      </c>
      <c r="N30" s="9"/>
    </row>
    <row r="31" customFormat="false" ht="18" hidden="false" customHeight="true" outlineLevel="0" collapsed="false">
      <c r="B31" s="129" t="s">
        <v>2449</v>
      </c>
      <c r="C31" s="130" t="n">
        <v>0</v>
      </c>
      <c r="D31" s="130" t="n">
        <v>0</v>
      </c>
      <c r="E31" s="130" t="n">
        <v>0</v>
      </c>
      <c r="F31" s="130" t="n">
        <v>0</v>
      </c>
      <c r="G31" s="130" t="n">
        <v>0</v>
      </c>
      <c r="H31" s="130" t="n">
        <v>0</v>
      </c>
      <c r="I31" s="131" t="n">
        <f aca="false">SUM(C31:H31)</f>
        <v>0</v>
      </c>
      <c r="J31" s="132" t="n">
        <v>90000</v>
      </c>
      <c r="K31" s="133" t="n">
        <f aca="false">IF(J31&gt;0,I31/J31,0)</f>
        <v>0</v>
      </c>
      <c r="L31" s="133" t="n">
        <f aca="false">IF(J31&gt;0,I31/J31,"N/A")</f>
        <v>0</v>
      </c>
      <c r="M31" s="138" t="s">
        <v>2450</v>
      </c>
      <c r="N31" s="9"/>
    </row>
    <row r="32" customFormat="false" ht="18" hidden="false" customHeight="true" outlineLevel="0" collapsed="false">
      <c r="B32" s="129" t="s">
        <v>2451</v>
      </c>
      <c r="C32" s="130" t="n">
        <v>0</v>
      </c>
      <c r="D32" s="130" t="n">
        <v>0</v>
      </c>
      <c r="E32" s="130" t="n">
        <v>0</v>
      </c>
      <c r="F32" s="130" t="n">
        <v>0</v>
      </c>
      <c r="G32" s="130" t="n">
        <v>0</v>
      </c>
      <c r="H32" s="130" t="n">
        <v>0</v>
      </c>
      <c r="I32" s="131" t="n">
        <f aca="false">SUM(C32:H32)</f>
        <v>0</v>
      </c>
      <c r="J32" s="132" t="n">
        <v>0</v>
      </c>
      <c r="K32" s="133" t="n">
        <f aca="false">IF(J32&gt;0,I32/J32,0)</f>
        <v>0</v>
      </c>
      <c r="L32" s="133" t="str">
        <f aca="false">IF(J32&gt;0,I32/J32,"N/A")</f>
        <v>N/A</v>
      </c>
      <c r="M32" s="134" t="s">
        <v>428</v>
      </c>
      <c r="N32" s="9"/>
    </row>
    <row r="33" customFormat="false" ht="18" hidden="false" customHeight="true" outlineLevel="0" collapsed="false">
      <c r="B33" s="129" t="s">
        <v>2452</v>
      </c>
      <c r="C33" s="130" t="n">
        <v>0</v>
      </c>
      <c r="D33" s="130" t="n">
        <v>0</v>
      </c>
      <c r="E33" s="130" t="n">
        <v>0</v>
      </c>
      <c r="F33" s="130" t="n">
        <v>0</v>
      </c>
      <c r="G33" s="130" t="n">
        <v>0</v>
      </c>
      <c r="H33" s="130" t="n">
        <v>0</v>
      </c>
      <c r="I33" s="131" t="n">
        <f aca="false">SUM(C33:H33)</f>
        <v>0</v>
      </c>
      <c r="J33" s="132" t="n">
        <v>0</v>
      </c>
      <c r="K33" s="133" t="n">
        <f aca="false">IF(J33&gt;0,I33/J33,0)</f>
        <v>0</v>
      </c>
      <c r="L33" s="133" t="str">
        <f aca="false">IF(J33&gt;0,I33/J33,"N/A")</f>
        <v>N/A</v>
      </c>
      <c r="M33" s="134" t="s">
        <v>428</v>
      </c>
      <c r="N33" s="9"/>
    </row>
    <row r="34" customFormat="false" ht="18" hidden="false" customHeight="true" outlineLevel="0" collapsed="false">
      <c r="B34" s="129" t="s">
        <v>2453</v>
      </c>
      <c r="C34" s="130" t="n">
        <v>0</v>
      </c>
      <c r="D34" s="130" t="n">
        <v>0</v>
      </c>
      <c r="E34" s="130" t="n">
        <v>0</v>
      </c>
      <c r="F34" s="130" t="n">
        <v>0</v>
      </c>
      <c r="G34" s="130" t="n">
        <v>0</v>
      </c>
      <c r="H34" s="130" t="n">
        <v>0</v>
      </c>
      <c r="I34" s="131" t="n">
        <f aca="false">SUM(C34:H34)</f>
        <v>0</v>
      </c>
      <c r="J34" s="132" t="n">
        <v>80000</v>
      </c>
      <c r="K34" s="133" t="n">
        <f aca="false">IF(J34&gt;0,I34/J34,0)</f>
        <v>0</v>
      </c>
      <c r="L34" s="133" t="n">
        <f aca="false">IF(J34&gt;0,I34/J34,"N/A")</f>
        <v>0</v>
      </c>
      <c r="M34" s="138" t="s">
        <v>2454</v>
      </c>
      <c r="N34" s="9"/>
    </row>
    <row r="36" customFormat="false" ht="24" hidden="false" customHeight="true" outlineLevel="0" collapsed="false">
      <c r="B36" s="141" t="s">
        <v>2455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</row>
    <row r="37" customFormat="false" ht="18" hidden="false" customHeight="true" outlineLevel="0" collapsed="false">
      <c r="B37" s="129" t="s">
        <v>2456</v>
      </c>
      <c r="C37" s="130" t="n">
        <v>0</v>
      </c>
      <c r="D37" s="130" t="n">
        <v>0</v>
      </c>
      <c r="E37" s="130" t="n">
        <v>0</v>
      </c>
      <c r="F37" s="130" t="n">
        <v>0</v>
      </c>
      <c r="G37" s="130" t="n">
        <v>0</v>
      </c>
      <c r="H37" s="130" t="n">
        <v>0</v>
      </c>
      <c r="I37" s="131" t="n">
        <f aca="false">SUM(C37:H37)</f>
        <v>0</v>
      </c>
      <c r="J37" s="132" t="n">
        <v>0</v>
      </c>
      <c r="K37" s="133" t="n">
        <f aca="false">IF(J37&gt;0,I37/J37,0)</f>
        <v>0</v>
      </c>
      <c r="L37" s="133" t="str">
        <f aca="false">IF(J37&gt;0,I37/J37,"N/A")</f>
        <v>N/A</v>
      </c>
      <c r="M37" s="134" t="s">
        <v>428</v>
      </c>
      <c r="N37" s="9"/>
    </row>
    <row r="38" customFormat="false" ht="18" hidden="false" customHeight="true" outlineLevel="0" collapsed="false">
      <c r="B38" s="129" t="s">
        <v>2457</v>
      </c>
      <c r="C38" s="130" t="n">
        <v>0</v>
      </c>
      <c r="D38" s="130" t="n">
        <v>0</v>
      </c>
      <c r="E38" s="130" t="n">
        <v>0</v>
      </c>
      <c r="F38" s="130" t="n">
        <v>0</v>
      </c>
      <c r="G38" s="130" t="n">
        <v>0</v>
      </c>
      <c r="H38" s="130" t="n">
        <v>0</v>
      </c>
      <c r="I38" s="131" t="n">
        <f aca="false">SUM(C38:H38)</f>
        <v>0</v>
      </c>
      <c r="J38" s="132" t="n">
        <v>0</v>
      </c>
      <c r="K38" s="133" t="n">
        <f aca="false">IF(J38&gt;0,I38/J38,0)</f>
        <v>0</v>
      </c>
      <c r="L38" s="133" t="str">
        <f aca="false">IF(J38&gt;0,I38/J38,"N/A")</f>
        <v>N/A</v>
      </c>
      <c r="M38" s="134" t="s">
        <v>428</v>
      </c>
      <c r="N38" s="9"/>
    </row>
    <row r="39" customFormat="false" ht="18" hidden="false" customHeight="true" outlineLevel="0" collapsed="false">
      <c r="B39" s="129" t="s">
        <v>2458</v>
      </c>
      <c r="C39" s="135" t="n">
        <v>0</v>
      </c>
      <c r="D39" s="135" t="n">
        <v>0</v>
      </c>
      <c r="E39" s="135" t="n">
        <v>0</v>
      </c>
      <c r="F39" s="135" t="n">
        <v>0</v>
      </c>
      <c r="G39" s="135" t="n">
        <v>0</v>
      </c>
      <c r="H39" s="135" t="n">
        <v>0</v>
      </c>
      <c r="I39" s="136" t="n">
        <f aca="false">SUM(C39:H39)</f>
        <v>0</v>
      </c>
      <c r="J39" s="137" t="n">
        <v>0.85</v>
      </c>
      <c r="K39" s="133" t="n">
        <f aca="false">IF(J39&gt;0,I39/J39,0)</f>
        <v>0</v>
      </c>
      <c r="L39" s="133" t="n">
        <f aca="false">IF(J39&gt;0,I39/J39,"N/A")</f>
        <v>0</v>
      </c>
      <c r="M39" s="138" t="s">
        <v>2459</v>
      </c>
      <c r="N39" s="9"/>
    </row>
    <row r="40" customFormat="false" ht="18" hidden="false" customHeight="true" outlineLevel="0" collapsed="false">
      <c r="B40" s="129" t="s">
        <v>2460</v>
      </c>
      <c r="C40" s="135" t="n">
        <v>0</v>
      </c>
      <c r="D40" s="135" t="n">
        <v>0</v>
      </c>
      <c r="E40" s="135" t="n">
        <v>0</v>
      </c>
      <c r="F40" s="135" t="n">
        <v>0</v>
      </c>
      <c r="G40" s="135" t="n">
        <v>0</v>
      </c>
      <c r="H40" s="135" t="n">
        <v>0</v>
      </c>
      <c r="I40" s="136" t="n">
        <f aca="false">SUM(C40:H40)</f>
        <v>0</v>
      </c>
      <c r="J40" s="137" t="n">
        <v>0.45</v>
      </c>
      <c r="K40" s="133" t="n">
        <f aca="false">IF(J40&gt;0,I40/J40,0)</f>
        <v>0</v>
      </c>
      <c r="L40" s="133" t="n">
        <f aca="false">IF(J40&gt;0,I40/J40,"N/A")</f>
        <v>0</v>
      </c>
      <c r="M40" s="138" t="s">
        <v>2443</v>
      </c>
      <c r="N40" s="9"/>
    </row>
    <row r="41" customFormat="false" ht="18" hidden="false" customHeight="true" outlineLevel="0" collapsed="false">
      <c r="B41" s="129" t="s">
        <v>2461</v>
      </c>
      <c r="C41" s="130" t="n">
        <v>0</v>
      </c>
      <c r="D41" s="130" t="n">
        <v>0</v>
      </c>
      <c r="E41" s="130" t="n">
        <v>0</v>
      </c>
      <c r="F41" s="130" t="n">
        <v>0</v>
      </c>
      <c r="G41" s="130" t="n">
        <v>0</v>
      </c>
      <c r="H41" s="130" t="n">
        <v>0</v>
      </c>
      <c r="I41" s="131" t="n">
        <f aca="false">SUM(C41:H41)</f>
        <v>0</v>
      </c>
      <c r="J41" s="132" t="n">
        <v>0</v>
      </c>
      <c r="K41" s="133" t="n">
        <f aca="false">IF(J41&gt;0,I41/J41,0)</f>
        <v>0</v>
      </c>
      <c r="L41" s="133" t="str">
        <f aca="false">IF(J41&gt;0,I41/J41,"N/A")</f>
        <v>N/A</v>
      </c>
      <c r="M41" s="134" t="s">
        <v>428</v>
      </c>
      <c r="N41" s="9"/>
    </row>
    <row r="42" customFormat="false" ht="18" hidden="false" customHeight="true" outlineLevel="0" collapsed="false">
      <c r="B42" s="129" t="s">
        <v>2462</v>
      </c>
      <c r="C42" s="135" t="n">
        <v>0</v>
      </c>
      <c r="D42" s="135" t="n">
        <v>0</v>
      </c>
      <c r="E42" s="135" t="n">
        <v>0</v>
      </c>
      <c r="F42" s="135" t="n">
        <v>0</v>
      </c>
      <c r="G42" s="135" t="n">
        <v>0</v>
      </c>
      <c r="H42" s="135" t="n">
        <v>0</v>
      </c>
      <c r="I42" s="136" t="n">
        <f aca="false">SUM(C42:H42)</f>
        <v>0</v>
      </c>
      <c r="J42" s="137" t="n">
        <v>0.3</v>
      </c>
      <c r="K42" s="133" t="n">
        <f aca="false">IF(J42&gt;0,I42/J42,0)</f>
        <v>0</v>
      </c>
      <c r="L42" s="133" t="n">
        <f aca="false">IF(J42&gt;0,I42/J42,"N/A")</f>
        <v>0</v>
      </c>
      <c r="M42" s="138" t="s">
        <v>2463</v>
      </c>
      <c r="N42" s="9"/>
    </row>
    <row r="43" customFormat="false" ht="18" hidden="false" customHeight="true" outlineLevel="0" collapsed="false">
      <c r="B43" s="129" t="s">
        <v>2464</v>
      </c>
      <c r="C43" s="130" t="n">
        <v>0</v>
      </c>
      <c r="D43" s="130" t="n">
        <v>0</v>
      </c>
      <c r="E43" s="130" t="n">
        <v>0</v>
      </c>
      <c r="F43" s="130" t="n">
        <v>0</v>
      </c>
      <c r="G43" s="130" t="n">
        <v>0</v>
      </c>
      <c r="H43" s="130" t="n">
        <v>0</v>
      </c>
      <c r="I43" s="131" t="n">
        <f aca="false">SUM(C43:H43)</f>
        <v>0</v>
      </c>
      <c r="J43" s="132" t="n">
        <v>0</v>
      </c>
      <c r="K43" s="133" t="n">
        <f aca="false">IF(J43&gt;0,I43/J43,0)</f>
        <v>0</v>
      </c>
      <c r="L43" s="133" t="str">
        <f aca="false">IF(J43&gt;0,I43/J43,"N/A")</f>
        <v>N/A</v>
      </c>
      <c r="M43" s="134" t="s">
        <v>428</v>
      </c>
      <c r="N43" s="9"/>
    </row>
    <row r="44" customFormat="false" ht="18" hidden="false" customHeight="true" outlineLevel="0" collapsed="false">
      <c r="B44" s="129" t="s">
        <v>2465</v>
      </c>
      <c r="C44" s="135" t="n">
        <v>0</v>
      </c>
      <c r="D44" s="135" t="n">
        <v>0</v>
      </c>
      <c r="E44" s="135" t="n">
        <v>0</v>
      </c>
      <c r="F44" s="135" t="n">
        <v>0</v>
      </c>
      <c r="G44" s="135" t="n">
        <v>0</v>
      </c>
      <c r="H44" s="135" t="n">
        <v>0</v>
      </c>
      <c r="I44" s="136" t="n">
        <f aca="false">SUM(C44:H44)</f>
        <v>0</v>
      </c>
      <c r="J44" s="137" t="n">
        <v>0.65</v>
      </c>
      <c r="K44" s="133" t="n">
        <f aca="false">IF(J44&gt;0,I44/J44,0)</f>
        <v>0</v>
      </c>
      <c r="L44" s="133" t="n">
        <f aca="false">IF(J44&gt;0,I44/J44,"N/A")</f>
        <v>0</v>
      </c>
      <c r="M44" s="138" t="s">
        <v>2466</v>
      </c>
      <c r="N44" s="9"/>
    </row>
    <row r="45" customFormat="false" ht="18" hidden="false" customHeight="true" outlineLevel="0" collapsed="false">
      <c r="B45" s="129" t="s">
        <v>2467</v>
      </c>
      <c r="C45" s="130" t="n">
        <v>0</v>
      </c>
      <c r="D45" s="130" t="n">
        <v>0</v>
      </c>
      <c r="E45" s="130" t="n">
        <v>0</v>
      </c>
      <c r="F45" s="130" t="n">
        <v>0</v>
      </c>
      <c r="G45" s="130" t="n">
        <v>0</v>
      </c>
      <c r="H45" s="130" t="n">
        <v>0</v>
      </c>
      <c r="I45" s="131" t="n">
        <f aca="false">SUM(C45:H45)</f>
        <v>0</v>
      </c>
      <c r="J45" s="132" t="n">
        <v>0</v>
      </c>
      <c r="K45" s="133" t="n">
        <f aca="false">IF(J45&gt;0,I45/J45,0)</f>
        <v>0</v>
      </c>
      <c r="L45" s="133" t="str">
        <f aca="false">IF(J45&gt;0,I45/J45,"N/A")</f>
        <v>N/A</v>
      </c>
      <c r="M45" s="134" t="s">
        <v>428</v>
      </c>
      <c r="N45" s="9"/>
    </row>
    <row r="46" customFormat="false" ht="18" hidden="false" customHeight="true" outlineLevel="0" collapsed="false">
      <c r="B46" s="129" t="s">
        <v>2468</v>
      </c>
      <c r="C46" s="130" t="n">
        <v>0</v>
      </c>
      <c r="D46" s="130" t="n">
        <v>0</v>
      </c>
      <c r="E46" s="130" t="n">
        <v>0</v>
      </c>
      <c r="F46" s="130" t="n">
        <v>0</v>
      </c>
      <c r="G46" s="130" t="n">
        <v>0</v>
      </c>
      <c r="H46" s="130" t="n">
        <v>0</v>
      </c>
      <c r="I46" s="131" t="n">
        <f aca="false">SUM(C46:H46)</f>
        <v>0</v>
      </c>
      <c r="J46" s="132" t="n">
        <v>0</v>
      </c>
      <c r="K46" s="133" t="n">
        <f aca="false">IF(J46&gt;0,I46/J46,0)</f>
        <v>0</v>
      </c>
      <c r="L46" s="133" t="str">
        <f aca="false">IF(J46&gt;0,I46/J46,"N/A")</f>
        <v>N/A</v>
      </c>
      <c r="M46" s="134" t="s">
        <v>428</v>
      </c>
      <c r="N46" s="9"/>
    </row>
    <row r="47" customFormat="false" ht="18" hidden="false" customHeight="true" outlineLevel="0" collapsed="false">
      <c r="B47" s="129" t="s">
        <v>2469</v>
      </c>
      <c r="C47" s="130" t="n">
        <v>0</v>
      </c>
      <c r="D47" s="130" t="n">
        <v>0</v>
      </c>
      <c r="E47" s="130" t="n">
        <v>0</v>
      </c>
      <c r="F47" s="130" t="n">
        <v>0</v>
      </c>
      <c r="G47" s="130" t="n">
        <v>0</v>
      </c>
      <c r="H47" s="130" t="n">
        <v>0</v>
      </c>
      <c r="I47" s="131" t="n">
        <f aca="false">SUM(C47:H47)</f>
        <v>0</v>
      </c>
      <c r="J47" s="132" t="n">
        <v>0</v>
      </c>
      <c r="K47" s="133" t="n">
        <f aca="false">IF(J47&gt;0,I47/J47,0)</f>
        <v>0</v>
      </c>
      <c r="L47" s="133" t="str">
        <f aca="false">IF(J47&gt;0,I47/J47,"N/A")</f>
        <v>N/A</v>
      </c>
      <c r="M47" s="134" t="s">
        <v>428</v>
      </c>
      <c r="N47" s="9"/>
    </row>
    <row r="48" customFormat="false" ht="18" hidden="false" customHeight="true" outlineLevel="0" collapsed="false">
      <c r="B48" s="129" t="s">
        <v>2470</v>
      </c>
      <c r="C48" s="135" t="n">
        <v>0</v>
      </c>
      <c r="D48" s="135" t="n">
        <v>0</v>
      </c>
      <c r="E48" s="135" t="n">
        <v>0</v>
      </c>
      <c r="F48" s="135" t="n">
        <v>0</v>
      </c>
      <c r="G48" s="135" t="n">
        <v>0</v>
      </c>
      <c r="H48" s="135" t="n">
        <v>0</v>
      </c>
      <c r="I48" s="136" t="n">
        <f aca="false">SUM(C48:H48)</f>
        <v>0</v>
      </c>
      <c r="J48" s="137" t="n">
        <v>0.35</v>
      </c>
      <c r="K48" s="133" t="n">
        <f aca="false">IF(J48&gt;0,I48/J48,0)</f>
        <v>0</v>
      </c>
      <c r="L48" s="133" t="n">
        <f aca="false">IF(J48&gt;0,I48/J48,"N/A")</f>
        <v>0</v>
      </c>
      <c r="M48" s="138" t="s">
        <v>2471</v>
      </c>
      <c r="N48" s="9"/>
    </row>
    <row r="50" customFormat="false" ht="24" hidden="false" customHeight="true" outlineLevel="0" collapsed="false">
      <c r="B50" s="142" t="s">
        <v>2472</v>
      </c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</row>
    <row r="51" customFormat="false" ht="18" hidden="false" customHeight="true" outlineLevel="0" collapsed="false">
      <c r="B51" s="129" t="s">
        <v>2473</v>
      </c>
      <c r="C51" s="143" t="n">
        <v>0</v>
      </c>
      <c r="D51" s="143" t="n">
        <v>0</v>
      </c>
      <c r="E51" s="143" t="n">
        <v>0</v>
      </c>
      <c r="F51" s="143" t="n">
        <v>0</v>
      </c>
      <c r="G51" s="143" t="n">
        <v>0</v>
      </c>
      <c r="H51" s="143" t="n">
        <v>0</v>
      </c>
      <c r="I51" s="144" t="n">
        <f aca="false">SUM(C51:H51)</f>
        <v>0</v>
      </c>
      <c r="J51" s="145" t="n">
        <v>1</v>
      </c>
      <c r="K51" s="133" t="n">
        <f aca="false">IF(J51&gt;0,I51/J51,0)</f>
        <v>0</v>
      </c>
      <c r="L51" s="133" t="n">
        <f aca="false">IF(J51&gt;0,I51/J51,"N/A")</f>
        <v>0</v>
      </c>
      <c r="M51" s="138" t="s">
        <v>2474</v>
      </c>
      <c r="N51" s="9"/>
    </row>
    <row r="52" customFormat="false" ht="18" hidden="false" customHeight="true" outlineLevel="0" collapsed="false">
      <c r="B52" s="129" t="s">
        <v>2475</v>
      </c>
      <c r="C52" s="130" t="n">
        <v>0</v>
      </c>
      <c r="D52" s="130" t="n">
        <v>0</v>
      </c>
      <c r="E52" s="130" t="n">
        <v>0</v>
      </c>
      <c r="F52" s="130" t="n">
        <v>0</v>
      </c>
      <c r="G52" s="130" t="n">
        <v>0</v>
      </c>
      <c r="H52" s="130" t="n">
        <v>0</v>
      </c>
      <c r="I52" s="131" t="n">
        <f aca="false">SUM(C52:H52)</f>
        <v>0</v>
      </c>
      <c r="J52" s="132" t="n">
        <v>0</v>
      </c>
      <c r="K52" s="133" t="n">
        <f aca="false">IF(J52&gt;0,I52/J52,0)</f>
        <v>0</v>
      </c>
      <c r="L52" s="133" t="str">
        <f aca="false">IF(J52&gt;0,I52/J52,"N/A")</f>
        <v>N/A</v>
      </c>
      <c r="M52" s="134" t="s">
        <v>428</v>
      </c>
      <c r="N52" s="9"/>
    </row>
    <row r="53" customFormat="false" ht="18" hidden="false" customHeight="true" outlineLevel="0" collapsed="false">
      <c r="B53" s="129" t="s">
        <v>2476</v>
      </c>
      <c r="C53" s="130" t="n">
        <v>0</v>
      </c>
      <c r="D53" s="130" t="n">
        <v>0</v>
      </c>
      <c r="E53" s="130" t="n">
        <v>0</v>
      </c>
      <c r="F53" s="130" t="n">
        <v>0</v>
      </c>
      <c r="G53" s="130" t="n">
        <v>0</v>
      </c>
      <c r="H53" s="130" t="n">
        <v>0</v>
      </c>
      <c r="I53" s="131" t="n">
        <f aca="false">SUM(C53:H53)</f>
        <v>0</v>
      </c>
      <c r="J53" s="132" t="n">
        <v>0</v>
      </c>
      <c r="K53" s="133" t="n">
        <f aca="false">IF(J53&gt;0,I53/J53,0)</f>
        <v>0</v>
      </c>
      <c r="L53" s="133" t="str">
        <f aca="false">IF(J53&gt;0,I53/J53,"N/A")</f>
        <v>N/A</v>
      </c>
      <c r="M53" s="134" t="s">
        <v>428</v>
      </c>
      <c r="N53" s="9"/>
    </row>
    <row r="54" customFormat="false" ht="18" hidden="false" customHeight="true" outlineLevel="0" collapsed="false">
      <c r="B54" s="129" t="s">
        <v>2477</v>
      </c>
      <c r="C54" s="130" t="n">
        <v>0</v>
      </c>
      <c r="D54" s="130" t="n">
        <v>0</v>
      </c>
      <c r="E54" s="130" t="n">
        <v>0</v>
      </c>
      <c r="F54" s="130" t="n">
        <v>0</v>
      </c>
      <c r="G54" s="130" t="n">
        <v>0</v>
      </c>
      <c r="H54" s="130" t="n">
        <v>0</v>
      </c>
      <c r="I54" s="131" t="n">
        <f aca="false">SUM(C54:H54)</f>
        <v>0</v>
      </c>
      <c r="J54" s="132" t="n">
        <v>0</v>
      </c>
      <c r="K54" s="133" t="n">
        <f aca="false">IF(J54&gt;0,I54/J54,0)</f>
        <v>0</v>
      </c>
      <c r="L54" s="133" t="str">
        <f aca="false">IF(J54&gt;0,I54/J54,"N/A")</f>
        <v>N/A</v>
      </c>
      <c r="M54" s="134" t="s">
        <v>428</v>
      </c>
      <c r="N54" s="9"/>
    </row>
    <row r="55" customFormat="false" ht="18" hidden="false" customHeight="true" outlineLevel="0" collapsed="false">
      <c r="B55" s="129" t="s">
        <v>2478</v>
      </c>
      <c r="C55" s="135" t="n">
        <v>0</v>
      </c>
      <c r="D55" s="135" t="n">
        <v>0</v>
      </c>
      <c r="E55" s="135" t="n">
        <v>0</v>
      </c>
      <c r="F55" s="135" t="n">
        <v>0</v>
      </c>
      <c r="G55" s="135" t="n">
        <v>0</v>
      </c>
      <c r="H55" s="135" t="n">
        <v>0</v>
      </c>
      <c r="I55" s="136" t="n">
        <f aca="false">SUM(C55:H55)</f>
        <v>0</v>
      </c>
      <c r="J55" s="137" t="n">
        <v>0.7</v>
      </c>
      <c r="K55" s="133" t="n">
        <f aca="false">IF(J55&gt;0,I55/J55,0)</f>
        <v>0</v>
      </c>
      <c r="L55" s="133" t="n">
        <f aca="false">IF(J55&gt;0,I55/J55,"N/A")</f>
        <v>0</v>
      </c>
      <c r="M55" s="138" t="s">
        <v>2466</v>
      </c>
      <c r="N55" s="9"/>
    </row>
    <row r="56" customFormat="false" ht="18" hidden="false" customHeight="true" outlineLevel="0" collapsed="false">
      <c r="B56" s="129" t="s">
        <v>2479</v>
      </c>
      <c r="C56" s="130" t="n">
        <v>0</v>
      </c>
      <c r="D56" s="130" t="n">
        <v>0</v>
      </c>
      <c r="E56" s="130" t="n">
        <v>0</v>
      </c>
      <c r="F56" s="130" t="n">
        <v>0</v>
      </c>
      <c r="G56" s="130" t="n">
        <v>0</v>
      </c>
      <c r="H56" s="130" t="n">
        <v>0</v>
      </c>
      <c r="I56" s="131" t="n">
        <f aca="false">SUM(C56:H56)</f>
        <v>0</v>
      </c>
      <c r="J56" s="132" t="n">
        <v>0</v>
      </c>
      <c r="K56" s="133" t="n">
        <f aca="false">IF(J56&gt;0,I56/J56,0)</f>
        <v>0</v>
      </c>
      <c r="L56" s="133" t="str">
        <f aca="false">IF(J56&gt;0,I56/J56,"N/A")</f>
        <v>N/A</v>
      </c>
      <c r="M56" s="134" t="s">
        <v>428</v>
      </c>
      <c r="N56" s="9"/>
    </row>
    <row r="57" customFormat="false" ht="18" hidden="false" customHeight="true" outlineLevel="0" collapsed="false">
      <c r="B57" s="129" t="s">
        <v>2480</v>
      </c>
      <c r="C57" s="130" t="n">
        <v>0</v>
      </c>
      <c r="D57" s="130" t="n">
        <v>0</v>
      </c>
      <c r="E57" s="130" t="n">
        <v>0</v>
      </c>
      <c r="F57" s="130" t="n">
        <v>0</v>
      </c>
      <c r="G57" s="130" t="n">
        <v>0</v>
      </c>
      <c r="H57" s="130" t="n">
        <v>0</v>
      </c>
      <c r="I57" s="131" t="n">
        <f aca="false">SUM(C57:H57)</f>
        <v>0</v>
      </c>
      <c r="J57" s="132" t="n">
        <v>0</v>
      </c>
      <c r="K57" s="133" t="n">
        <f aca="false">IF(J57&gt;0,I57/J57,0)</f>
        <v>0</v>
      </c>
      <c r="L57" s="133" t="str">
        <f aca="false">IF(J57&gt;0,I57/J57,"N/A")</f>
        <v>N/A</v>
      </c>
      <c r="M57" s="134" t="s">
        <v>428</v>
      </c>
      <c r="N57" s="9"/>
    </row>
  </sheetData>
  <mergeCells count="7">
    <mergeCell ref="B1:N1"/>
    <mergeCell ref="B2:N2"/>
    <mergeCell ref="B4:N4"/>
    <mergeCell ref="B17:N17"/>
    <mergeCell ref="B27:N27"/>
    <mergeCell ref="B36:N36"/>
    <mergeCell ref="B50:N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10"/>
    <col collapsed="false" customWidth="true" hidden="false" outlineLevel="0" max="3" min="3" style="2" width="20"/>
    <col collapsed="false" customWidth="true" hidden="false" outlineLevel="0" max="4" min="4" style="2" width="35"/>
    <col collapsed="false" customWidth="true" hidden="false" outlineLevel="0" max="5" min="5" style="2" width="12"/>
    <col collapsed="false" customWidth="true" hidden="false" outlineLevel="0" max="8" min="6" style="2" width="10"/>
    <col collapsed="false" customWidth="true" hidden="false" outlineLevel="0" max="9" min="9" style="2" width="3"/>
  </cols>
  <sheetData>
    <row r="1" customFormat="false" ht="36" hidden="false" customHeight="true" outlineLevel="0" collapsed="false">
      <c r="B1" s="125" t="s">
        <v>2481</v>
      </c>
      <c r="C1" s="125"/>
      <c r="D1" s="125"/>
      <c r="E1" s="125"/>
      <c r="F1" s="125"/>
      <c r="G1" s="125"/>
      <c r="H1" s="125"/>
      <c r="I1" s="125"/>
    </row>
    <row r="2" customFormat="false" ht="27.75" hidden="false" customHeight="true" outlineLevel="0" collapsed="false">
      <c r="B2" s="126" t="s">
        <v>2482</v>
      </c>
      <c r="C2" s="126"/>
      <c r="D2" s="126"/>
      <c r="E2" s="126"/>
      <c r="F2" s="126"/>
      <c r="G2" s="126"/>
      <c r="H2" s="126"/>
      <c r="I2" s="126"/>
    </row>
    <row r="3" customFormat="false" ht="21.75" hidden="false" customHeight="true" outlineLevel="0" collapsed="false">
      <c r="B3" s="127" t="s">
        <v>598</v>
      </c>
      <c r="C3" s="127" t="s">
        <v>2483</v>
      </c>
      <c r="D3" s="127" t="s">
        <v>1061</v>
      </c>
      <c r="E3" s="127" t="s">
        <v>2484</v>
      </c>
      <c r="F3" s="127" t="s">
        <v>1060</v>
      </c>
      <c r="G3" s="127" t="s">
        <v>1065</v>
      </c>
      <c r="H3" s="127" t="s">
        <v>290</v>
      </c>
      <c r="I3" s="127" t="s">
        <v>318</v>
      </c>
    </row>
    <row r="4" customFormat="false" ht="21.75" hidden="false" customHeight="true" outlineLevel="0" collapsed="false">
      <c r="B4" s="146" t="s">
        <v>2485</v>
      </c>
      <c r="C4" s="146"/>
      <c r="D4" s="146"/>
      <c r="E4" s="146"/>
      <c r="F4" s="146"/>
      <c r="G4" s="146"/>
      <c r="H4" s="146"/>
      <c r="I4" s="146"/>
    </row>
    <row r="5" customFormat="false" ht="27.75" hidden="false" customHeight="true" outlineLevel="0" collapsed="false">
      <c r="B5" s="147" t="n">
        <v>2</v>
      </c>
      <c r="C5" s="148" t="s">
        <v>1081</v>
      </c>
      <c r="D5" s="149" t="s">
        <v>2486</v>
      </c>
      <c r="E5" s="150" t="s">
        <v>2487</v>
      </c>
      <c r="F5" s="151" t="s">
        <v>1066</v>
      </c>
      <c r="G5" s="152" t="s">
        <v>2488</v>
      </c>
      <c r="H5" s="153" t="s">
        <v>980</v>
      </c>
      <c r="I5" s="154"/>
    </row>
    <row r="6" customFormat="false" ht="27.75" hidden="false" customHeight="true" outlineLevel="0" collapsed="false">
      <c r="B6" s="155" t="n">
        <v>3</v>
      </c>
      <c r="C6" s="156" t="s">
        <v>1081</v>
      </c>
      <c r="D6" s="20" t="s">
        <v>1866</v>
      </c>
      <c r="E6" s="157" t="s">
        <v>2489</v>
      </c>
      <c r="F6" s="158" t="s">
        <v>1072</v>
      </c>
      <c r="G6" s="26" t="s">
        <v>2488</v>
      </c>
      <c r="H6" s="159" t="s">
        <v>980</v>
      </c>
      <c r="I6" s="27"/>
    </row>
    <row r="7" customFormat="false" ht="27.75" hidden="false" customHeight="true" outlineLevel="0" collapsed="false">
      <c r="B7" s="147" t="n">
        <v>4</v>
      </c>
      <c r="C7" s="148" t="s">
        <v>497</v>
      </c>
      <c r="D7" s="149" t="s">
        <v>2490</v>
      </c>
      <c r="E7" s="150" t="s">
        <v>2491</v>
      </c>
      <c r="F7" s="151" t="s">
        <v>2492</v>
      </c>
      <c r="G7" s="152" t="s">
        <v>2488</v>
      </c>
      <c r="H7" s="153" t="s">
        <v>980</v>
      </c>
      <c r="I7" s="154"/>
    </row>
    <row r="8" customFormat="false" ht="27.75" hidden="false" customHeight="true" outlineLevel="0" collapsed="false">
      <c r="B8" s="155" t="n">
        <v>5</v>
      </c>
      <c r="C8" s="156" t="s">
        <v>497</v>
      </c>
      <c r="D8" s="20" t="s">
        <v>2493</v>
      </c>
      <c r="E8" s="157" t="s">
        <v>2494</v>
      </c>
      <c r="F8" s="158" t="s">
        <v>1078</v>
      </c>
      <c r="G8" s="26" t="s">
        <v>2488</v>
      </c>
      <c r="H8" s="159" t="s">
        <v>980</v>
      </c>
      <c r="I8" s="27"/>
    </row>
    <row r="9" customFormat="false" ht="27.75" hidden="false" customHeight="true" outlineLevel="0" collapsed="false">
      <c r="B9" s="147" t="n">
        <v>6</v>
      </c>
      <c r="C9" s="148" t="s">
        <v>713</v>
      </c>
      <c r="D9" s="149" t="s">
        <v>2495</v>
      </c>
      <c r="E9" s="150" t="s">
        <v>2496</v>
      </c>
      <c r="F9" s="151" t="s">
        <v>2497</v>
      </c>
      <c r="G9" s="152" t="s">
        <v>400</v>
      </c>
      <c r="H9" s="153" t="s">
        <v>980</v>
      </c>
      <c r="I9" s="154"/>
    </row>
    <row r="10" customFormat="false" ht="27.75" hidden="false" customHeight="true" outlineLevel="0" collapsed="false">
      <c r="B10" s="155" t="n">
        <v>7</v>
      </c>
      <c r="C10" s="156" t="s">
        <v>1477</v>
      </c>
      <c r="D10" s="20" t="s">
        <v>2498</v>
      </c>
      <c r="E10" s="157" t="s">
        <v>2499</v>
      </c>
      <c r="F10" s="158" t="s">
        <v>2500</v>
      </c>
      <c r="G10" s="26" t="s">
        <v>2501</v>
      </c>
      <c r="H10" s="159" t="s">
        <v>980</v>
      </c>
      <c r="I10" s="27"/>
    </row>
    <row r="11" customFormat="false" ht="27.75" hidden="false" customHeight="true" outlineLevel="0" collapsed="false">
      <c r="B11" s="147" t="n">
        <v>8</v>
      </c>
      <c r="C11" s="148" t="s">
        <v>2502</v>
      </c>
      <c r="D11" s="149" t="s">
        <v>2503</v>
      </c>
      <c r="E11" s="150" t="s">
        <v>2504</v>
      </c>
      <c r="F11" s="151" t="s">
        <v>1324</v>
      </c>
      <c r="G11" s="152" t="s">
        <v>2505</v>
      </c>
      <c r="H11" s="153" t="s">
        <v>980</v>
      </c>
      <c r="I11" s="154"/>
    </row>
    <row r="12" customFormat="false" ht="27.75" hidden="false" customHeight="true" outlineLevel="0" collapsed="false">
      <c r="B12" s="155" t="n">
        <v>9</v>
      </c>
      <c r="C12" s="156" t="s">
        <v>2502</v>
      </c>
      <c r="D12" s="20" t="s">
        <v>2506</v>
      </c>
      <c r="E12" s="157" t="s">
        <v>2507</v>
      </c>
      <c r="F12" s="158" t="s">
        <v>2508</v>
      </c>
      <c r="G12" s="26" t="s">
        <v>2509</v>
      </c>
      <c r="H12" s="159" t="s">
        <v>980</v>
      </c>
      <c r="I12" s="27"/>
    </row>
    <row r="13" customFormat="false" ht="21.75" hidden="false" customHeight="true" outlineLevel="0" collapsed="false">
      <c r="B13" s="160" t="s">
        <v>2510</v>
      </c>
      <c r="C13" s="160"/>
      <c r="D13" s="160"/>
      <c r="E13" s="160"/>
      <c r="F13" s="160"/>
      <c r="G13" s="160"/>
      <c r="H13" s="160"/>
      <c r="I13" s="160"/>
    </row>
    <row r="14" customFormat="false" ht="27.75" hidden="false" customHeight="true" outlineLevel="0" collapsed="false">
      <c r="B14" s="155" t="n">
        <v>11</v>
      </c>
      <c r="C14" s="156" t="s">
        <v>2502</v>
      </c>
      <c r="D14" s="20" t="s">
        <v>2511</v>
      </c>
      <c r="E14" s="157" t="s">
        <v>2512</v>
      </c>
      <c r="F14" s="158" t="s">
        <v>2513</v>
      </c>
      <c r="G14" s="26" t="s">
        <v>2509</v>
      </c>
      <c r="H14" s="159" t="s">
        <v>980</v>
      </c>
      <c r="I14" s="27"/>
    </row>
    <row r="15" customFormat="false" ht="27.75" hidden="false" customHeight="true" outlineLevel="0" collapsed="false">
      <c r="B15" s="147" t="n">
        <v>12</v>
      </c>
      <c r="C15" s="148" t="s">
        <v>1081</v>
      </c>
      <c r="D15" s="149" t="s">
        <v>2514</v>
      </c>
      <c r="E15" s="150" t="s">
        <v>2515</v>
      </c>
      <c r="F15" s="151" t="s">
        <v>2516</v>
      </c>
      <c r="G15" s="152" t="s">
        <v>2488</v>
      </c>
      <c r="H15" s="153" t="s">
        <v>980</v>
      </c>
      <c r="I15" s="154"/>
    </row>
    <row r="16" customFormat="false" ht="27.75" hidden="false" customHeight="true" outlineLevel="0" collapsed="false">
      <c r="B16" s="155" t="n">
        <v>13</v>
      </c>
      <c r="C16" s="156" t="s">
        <v>945</v>
      </c>
      <c r="D16" s="20" t="s">
        <v>2517</v>
      </c>
      <c r="E16" s="157" t="s">
        <v>2518</v>
      </c>
      <c r="F16" s="158" t="s">
        <v>2519</v>
      </c>
      <c r="G16" s="26" t="s">
        <v>2520</v>
      </c>
      <c r="H16" s="159" t="s">
        <v>980</v>
      </c>
      <c r="I16" s="27"/>
    </row>
    <row r="17" customFormat="false" ht="21.75" hidden="false" customHeight="true" outlineLevel="0" collapsed="false">
      <c r="B17" s="161" t="s">
        <v>2521</v>
      </c>
      <c r="C17" s="161"/>
      <c r="D17" s="161"/>
      <c r="E17" s="161"/>
      <c r="F17" s="161"/>
      <c r="G17" s="161"/>
      <c r="H17" s="161"/>
      <c r="I17" s="161"/>
    </row>
    <row r="18" customFormat="false" ht="27.75" hidden="false" customHeight="true" outlineLevel="0" collapsed="false">
      <c r="B18" s="155" t="n">
        <v>15</v>
      </c>
      <c r="C18" s="156" t="s">
        <v>2502</v>
      </c>
      <c r="D18" s="20" t="s">
        <v>2522</v>
      </c>
      <c r="E18" s="157" t="s">
        <v>2523</v>
      </c>
      <c r="F18" s="158" t="s">
        <v>1089</v>
      </c>
      <c r="G18" s="26" t="s">
        <v>2509</v>
      </c>
      <c r="H18" s="159" t="s">
        <v>980</v>
      </c>
      <c r="I18" s="27"/>
    </row>
    <row r="19" customFormat="false" ht="27.75" hidden="false" customHeight="true" outlineLevel="0" collapsed="false">
      <c r="B19" s="147" t="n">
        <v>16</v>
      </c>
      <c r="C19" s="148" t="s">
        <v>497</v>
      </c>
      <c r="D19" s="149" t="s">
        <v>2524</v>
      </c>
      <c r="E19" s="150" t="s">
        <v>2525</v>
      </c>
      <c r="F19" s="151" t="s">
        <v>2526</v>
      </c>
      <c r="G19" s="152" t="s">
        <v>2488</v>
      </c>
      <c r="H19" s="153" t="s">
        <v>980</v>
      </c>
      <c r="I19" s="154"/>
    </row>
    <row r="20" customFormat="false" ht="27.75" hidden="false" customHeight="true" outlineLevel="0" collapsed="false">
      <c r="B20" s="155" t="n">
        <v>17</v>
      </c>
      <c r="C20" s="156" t="s">
        <v>484</v>
      </c>
      <c r="D20" s="20" t="s">
        <v>2527</v>
      </c>
      <c r="E20" s="157" t="s">
        <v>2528</v>
      </c>
      <c r="F20" s="158" t="s">
        <v>1094</v>
      </c>
      <c r="G20" s="26" t="s">
        <v>482</v>
      </c>
      <c r="H20" s="159" t="s">
        <v>980</v>
      </c>
      <c r="I20" s="27"/>
    </row>
    <row r="21" customFormat="false" ht="27.75" hidden="false" customHeight="true" outlineLevel="0" collapsed="false">
      <c r="B21" s="147" t="n">
        <v>18</v>
      </c>
      <c r="C21" s="148" t="s">
        <v>945</v>
      </c>
      <c r="D21" s="149" t="s">
        <v>2529</v>
      </c>
      <c r="E21" s="150" t="s">
        <v>2530</v>
      </c>
      <c r="F21" s="151" t="s">
        <v>1094</v>
      </c>
      <c r="G21" s="152" t="s">
        <v>2520</v>
      </c>
      <c r="H21" s="153" t="s">
        <v>980</v>
      </c>
      <c r="I21" s="154"/>
    </row>
    <row r="22" customFormat="false" ht="27.75" hidden="false" customHeight="true" outlineLevel="0" collapsed="false">
      <c r="B22" s="155" t="n">
        <v>19</v>
      </c>
      <c r="C22" s="156" t="s">
        <v>2502</v>
      </c>
      <c r="D22" s="20" t="s">
        <v>1519</v>
      </c>
      <c r="E22" s="157" t="s">
        <v>2531</v>
      </c>
      <c r="F22" s="158" t="s">
        <v>1099</v>
      </c>
      <c r="G22" s="26" t="s">
        <v>2509</v>
      </c>
      <c r="H22" s="159" t="s">
        <v>980</v>
      </c>
      <c r="I22" s="27"/>
    </row>
    <row r="23" customFormat="false" ht="21.75" hidden="false" customHeight="true" outlineLevel="0" collapsed="false">
      <c r="B23" s="162" t="s">
        <v>2532</v>
      </c>
      <c r="C23" s="162"/>
      <c r="D23" s="162"/>
      <c r="E23" s="162"/>
      <c r="F23" s="162"/>
      <c r="G23" s="162"/>
      <c r="H23" s="162"/>
      <c r="I23" s="162"/>
    </row>
    <row r="24" customFormat="false" ht="27.75" hidden="false" customHeight="true" outlineLevel="0" collapsed="false">
      <c r="B24" s="155" t="n">
        <v>21</v>
      </c>
      <c r="C24" s="156" t="s">
        <v>1562</v>
      </c>
      <c r="D24" s="20" t="s">
        <v>2533</v>
      </c>
      <c r="E24" s="157" t="s">
        <v>2534</v>
      </c>
      <c r="F24" s="158" t="s">
        <v>1099</v>
      </c>
      <c r="G24" s="26" t="s">
        <v>2488</v>
      </c>
      <c r="H24" s="159" t="s">
        <v>980</v>
      </c>
      <c r="I24" s="27"/>
    </row>
    <row r="25" customFormat="false" ht="27.75" hidden="false" customHeight="true" outlineLevel="0" collapsed="false">
      <c r="B25" s="147" t="n">
        <v>22</v>
      </c>
      <c r="C25" s="148" t="s">
        <v>1081</v>
      </c>
      <c r="D25" s="149" t="s">
        <v>2535</v>
      </c>
      <c r="E25" s="150" t="s">
        <v>2536</v>
      </c>
      <c r="F25" s="151" t="s">
        <v>2537</v>
      </c>
      <c r="G25" s="152" t="s">
        <v>2488</v>
      </c>
      <c r="H25" s="153" t="s">
        <v>980</v>
      </c>
      <c r="I25" s="154"/>
    </row>
    <row r="26" customFormat="false" ht="27.75" hidden="false" customHeight="true" outlineLevel="0" collapsed="false">
      <c r="B26" s="155" t="n">
        <v>23</v>
      </c>
      <c r="C26" s="156" t="s">
        <v>336</v>
      </c>
      <c r="D26" s="20" t="s">
        <v>2538</v>
      </c>
      <c r="E26" s="157" t="s">
        <v>2539</v>
      </c>
      <c r="F26" s="158" t="s">
        <v>2540</v>
      </c>
      <c r="G26" s="26" t="s">
        <v>2501</v>
      </c>
      <c r="H26" s="159" t="s">
        <v>980</v>
      </c>
      <c r="I26" s="27"/>
    </row>
    <row r="27" customFormat="false" ht="27.75" hidden="false" customHeight="true" outlineLevel="0" collapsed="false">
      <c r="B27" s="147" t="n">
        <v>24</v>
      </c>
      <c r="C27" s="148" t="s">
        <v>1562</v>
      </c>
      <c r="D27" s="149" t="s">
        <v>2541</v>
      </c>
      <c r="E27" s="150" t="s">
        <v>2542</v>
      </c>
      <c r="F27" s="151" t="s">
        <v>2543</v>
      </c>
      <c r="G27" s="152" t="s">
        <v>376</v>
      </c>
      <c r="H27" s="153" t="s">
        <v>980</v>
      </c>
      <c r="I27" s="154"/>
    </row>
    <row r="28" customFormat="false" ht="27.75" hidden="false" customHeight="true" outlineLevel="0" collapsed="false">
      <c r="B28" s="155" t="n">
        <v>25</v>
      </c>
      <c r="C28" s="156" t="s">
        <v>945</v>
      </c>
      <c r="D28" s="20" t="s">
        <v>2544</v>
      </c>
      <c r="E28" s="157" t="s">
        <v>2545</v>
      </c>
      <c r="F28" s="158" t="s">
        <v>2546</v>
      </c>
      <c r="G28" s="26" t="s">
        <v>2520</v>
      </c>
      <c r="H28" s="159" t="s">
        <v>980</v>
      </c>
      <c r="I28" s="27"/>
    </row>
  </sheetData>
  <mergeCells count="6">
    <mergeCell ref="B1:I1"/>
    <mergeCell ref="B2:I2"/>
    <mergeCell ref="B4:I4"/>
    <mergeCell ref="B13:I13"/>
    <mergeCell ref="B17:I17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8"/>
    <col collapsed="false" customWidth="true" hidden="false" outlineLevel="0" max="3" min="3" style="2" width="22"/>
    <col collapsed="false" customWidth="true" hidden="false" outlineLevel="0" max="4" min="4" style="2" width="35"/>
    <col collapsed="false" customWidth="true" hidden="false" outlineLevel="0" max="5" min="5" style="2" width="15"/>
    <col collapsed="false" customWidth="true" hidden="false" outlineLevel="0" max="6" min="6" style="2" width="12"/>
    <col collapsed="false" customWidth="true" hidden="false" outlineLevel="0" max="8" min="7" style="2" width="10"/>
    <col collapsed="false" customWidth="true" hidden="false" outlineLevel="0" max="9" min="9" style="2" width="3"/>
  </cols>
  <sheetData>
    <row r="1" customFormat="false" ht="36" hidden="false" customHeight="true" outlineLevel="0" collapsed="false">
      <c r="B1" s="125" t="s">
        <v>2547</v>
      </c>
      <c r="C1" s="125"/>
      <c r="D1" s="125"/>
      <c r="E1" s="125"/>
      <c r="F1" s="125"/>
      <c r="G1" s="125"/>
      <c r="H1" s="125"/>
      <c r="I1" s="125"/>
    </row>
    <row r="2" customFormat="false" ht="27.75" hidden="false" customHeight="true" outlineLevel="0" collapsed="false">
      <c r="B2" s="126" t="s">
        <v>2548</v>
      </c>
      <c r="C2" s="126"/>
      <c r="D2" s="126"/>
      <c r="E2" s="126"/>
      <c r="F2" s="126"/>
      <c r="G2" s="126"/>
      <c r="H2" s="126"/>
      <c r="I2" s="126"/>
    </row>
    <row r="3" customFormat="false" ht="21.75" hidden="false" customHeight="true" outlineLevel="0" collapsed="false">
      <c r="B3" s="127" t="s">
        <v>598</v>
      </c>
      <c r="C3" s="127" t="s">
        <v>2549</v>
      </c>
      <c r="D3" s="127" t="s">
        <v>1061</v>
      </c>
      <c r="E3" s="127" t="s">
        <v>2550</v>
      </c>
      <c r="F3" s="127" t="s">
        <v>1459</v>
      </c>
      <c r="G3" s="127" t="s">
        <v>2551</v>
      </c>
      <c r="H3" s="127" t="s">
        <v>290</v>
      </c>
      <c r="I3" s="127" t="s">
        <v>2552</v>
      </c>
    </row>
    <row r="4" customFormat="false" ht="21.75" hidden="false" customHeight="true" outlineLevel="0" collapsed="false">
      <c r="B4" s="146" t="s">
        <v>2553</v>
      </c>
      <c r="C4" s="146"/>
      <c r="D4" s="146"/>
      <c r="E4" s="146"/>
      <c r="F4" s="146"/>
      <c r="G4" s="146"/>
      <c r="H4" s="146"/>
      <c r="I4" s="146"/>
    </row>
    <row r="5" customFormat="false" ht="27.75" hidden="false" customHeight="true" outlineLevel="0" collapsed="false">
      <c r="B5" s="155" t="n">
        <v>1</v>
      </c>
      <c r="C5" s="156" t="s">
        <v>416</v>
      </c>
      <c r="D5" s="20" t="s">
        <v>2554</v>
      </c>
      <c r="E5" s="163" t="s">
        <v>2555</v>
      </c>
      <c r="F5" s="164" t="s">
        <v>2556</v>
      </c>
      <c r="G5" s="165" t="s">
        <v>1901</v>
      </c>
      <c r="H5" s="159" t="s">
        <v>980</v>
      </c>
      <c r="I5" s="27"/>
    </row>
    <row r="6" customFormat="false" ht="27.75" hidden="false" customHeight="true" outlineLevel="0" collapsed="false">
      <c r="B6" s="147" t="n">
        <v>2</v>
      </c>
      <c r="C6" s="148" t="s">
        <v>416</v>
      </c>
      <c r="D6" s="149" t="s">
        <v>2557</v>
      </c>
      <c r="E6" s="166" t="s">
        <v>2558</v>
      </c>
      <c r="F6" s="167" t="s">
        <v>2559</v>
      </c>
      <c r="G6" s="168" t="s">
        <v>2147</v>
      </c>
      <c r="H6" s="153" t="s">
        <v>980</v>
      </c>
      <c r="I6" s="154"/>
    </row>
    <row r="7" customFormat="false" ht="27.75" hidden="false" customHeight="true" outlineLevel="0" collapsed="false">
      <c r="B7" s="155" t="n">
        <v>3</v>
      </c>
      <c r="C7" s="156" t="s">
        <v>416</v>
      </c>
      <c r="D7" s="20" t="s">
        <v>2560</v>
      </c>
      <c r="E7" s="163" t="s">
        <v>2561</v>
      </c>
      <c r="F7" s="164" t="s">
        <v>2562</v>
      </c>
      <c r="G7" s="165" t="s">
        <v>2563</v>
      </c>
      <c r="H7" s="159" t="s">
        <v>980</v>
      </c>
      <c r="I7" s="27"/>
    </row>
    <row r="8" customFormat="false" ht="27.75" hidden="false" customHeight="true" outlineLevel="0" collapsed="false">
      <c r="B8" s="147" t="n">
        <v>4</v>
      </c>
      <c r="C8" s="148" t="s">
        <v>416</v>
      </c>
      <c r="D8" s="149" t="s">
        <v>2564</v>
      </c>
      <c r="E8" s="166" t="s">
        <v>2565</v>
      </c>
      <c r="F8" s="167" t="s">
        <v>2566</v>
      </c>
      <c r="G8" s="168" t="s">
        <v>2563</v>
      </c>
      <c r="H8" s="153" t="s">
        <v>980</v>
      </c>
      <c r="I8" s="154"/>
    </row>
    <row r="9" customFormat="false" ht="27.75" hidden="false" customHeight="true" outlineLevel="0" collapsed="false">
      <c r="B9" s="155" t="n">
        <v>5</v>
      </c>
      <c r="C9" s="156" t="s">
        <v>416</v>
      </c>
      <c r="D9" s="20" t="s">
        <v>2567</v>
      </c>
      <c r="E9" s="163" t="s">
        <v>2568</v>
      </c>
      <c r="F9" s="164" t="s">
        <v>2569</v>
      </c>
      <c r="G9" s="165" t="s">
        <v>2158</v>
      </c>
      <c r="H9" s="159" t="s">
        <v>980</v>
      </c>
      <c r="I9" s="27"/>
    </row>
    <row r="10" customFormat="false" ht="21.75" hidden="false" customHeight="true" outlineLevel="0" collapsed="false">
      <c r="B10" s="160" t="s">
        <v>2570</v>
      </c>
      <c r="C10" s="160"/>
      <c r="D10" s="160"/>
      <c r="E10" s="160"/>
      <c r="F10" s="160"/>
      <c r="G10" s="160"/>
      <c r="H10" s="160"/>
      <c r="I10" s="160"/>
    </row>
    <row r="11" customFormat="false" ht="27.75" hidden="false" customHeight="true" outlineLevel="0" collapsed="false">
      <c r="B11" s="147" t="n">
        <v>6</v>
      </c>
      <c r="C11" s="148" t="s">
        <v>416</v>
      </c>
      <c r="D11" s="149" t="s">
        <v>2571</v>
      </c>
      <c r="E11" s="166" t="s">
        <v>2572</v>
      </c>
      <c r="F11" s="167" t="s">
        <v>2573</v>
      </c>
      <c r="G11" s="168" t="s">
        <v>1901</v>
      </c>
      <c r="H11" s="153" t="s">
        <v>980</v>
      </c>
      <c r="I11" s="154"/>
    </row>
    <row r="12" customFormat="false" ht="27.75" hidden="false" customHeight="true" outlineLevel="0" collapsed="false">
      <c r="B12" s="155" t="n">
        <v>7</v>
      </c>
      <c r="C12" s="156" t="s">
        <v>416</v>
      </c>
      <c r="D12" s="20" t="s">
        <v>2574</v>
      </c>
      <c r="E12" s="163" t="s">
        <v>2575</v>
      </c>
      <c r="F12" s="164" t="s">
        <v>2576</v>
      </c>
      <c r="G12" s="165" t="s">
        <v>2147</v>
      </c>
      <c r="H12" s="159" t="s">
        <v>980</v>
      </c>
      <c r="I12" s="27"/>
    </row>
    <row r="13" customFormat="false" ht="27.75" hidden="false" customHeight="true" outlineLevel="0" collapsed="false">
      <c r="B13" s="147" t="n">
        <v>8</v>
      </c>
      <c r="C13" s="148" t="s">
        <v>416</v>
      </c>
      <c r="D13" s="149" t="s">
        <v>2577</v>
      </c>
      <c r="E13" s="166" t="s">
        <v>2578</v>
      </c>
      <c r="F13" s="167" t="s">
        <v>2579</v>
      </c>
      <c r="G13" s="168" t="s">
        <v>2563</v>
      </c>
      <c r="H13" s="153" t="s">
        <v>980</v>
      </c>
      <c r="I13" s="154"/>
    </row>
    <row r="14" customFormat="false" ht="27.75" hidden="false" customHeight="true" outlineLevel="0" collapsed="false">
      <c r="B14" s="155" t="n">
        <v>9</v>
      </c>
      <c r="C14" s="156" t="s">
        <v>416</v>
      </c>
      <c r="D14" s="20" t="s">
        <v>2580</v>
      </c>
      <c r="E14" s="163" t="s">
        <v>2581</v>
      </c>
      <c r="F14" s="164" t="s">
        <v>2582</v>
      </c>
      <c r="G14" s="165" t="s">
        <v>1918</v>
      </c>
      <c r="H14" s="159" t="s">
        <v>980</v>
      </c>
      <c r="I14" s="27"/>
    </row>
    <row r="15" customFormat="false" ht="27.75" hidden="false" customHeight="true" outlineLevel="0" collapsed="false">
      <c r="B15" s="147" t="n">
        <v>10</v>
      </c>
      <c r="C15" s="148" t="s">
        <v>416</v>
      </c>
      <c r="D15" s="149" t="s">
        <v>2583</v>
      </c>
      <c r="E15" s="166" t="s">
        <v>2584</v>
      </c>
      <c r="F15" s="167" t="s">
        <v>2585</v>
      </c>
      <c r="G15" s="168" t="s">
        <v>1918</v>
      </c>
      <c r="H15" s="153" t="s">
        <v>980</v>
      </c>
      <c r="I15" s="154"/>
    </row>
    <row r="16" customFormat="false" ht="21.75" hidden="false" customHeight="true" outlineLevel="0" collapsed="false">
      <c r="B16" s="162" t="s">
        <v>2586</v>
      </c>
      <c r="C16" s="162"/>
      <c r="D16" s="162"/>
      <c r="E16" s="162"/>
      <c r="F16" s="162"/>
      <c r="G16" s="162"/>
      <c r="H16" s="162"/>
      <c r="I16" s="162"/>
    </row>
    <row r="17" customFormat="false" ht="27.75" hidden="false" customHeight="true" outlineLevel="0" collapsed="false">
      <c r="B17" s="155" t="n">
        <v>11</v>
      </c>
      <c r="C17" s="156" t="s">
        <v>416</v>
      </c>
      <c r="D17" s="20" t="s">
        <v>2587</v>
      </c>
      <c r="E17" s="163" t="s">
        <v>2588</v>
      </c>
      <c r="F17" s="164" t="s">
        <v>2589</v>
      </c>
      <c r="G17" s="165" t="s">
        <v>2147</v>
      </c>
      <c r="H17" s="159" t="s">
        <v>980</v>
      </c>
      <c r="I17" s="27"/>
    </row>
    <row r="18" customFormat="false" ht="27.75" hidden="false" customHeight="true" outlineLevel="0" collapsed="false">
      <c r="B18" s="147" t="n">
        <v>12</v>
      </c>
      <c r="C18" s="148" t="s">
        <v>416</v>
      </c>
      <c r="D18" s="149" t="s">
        <v>2590</v>
      </c>
      <c r="E18" s="166" t="s">
        <v>2591</v>
      </c>
      <c r="F18" s="167" t="s">
        <v>2592</v>
      </c>
      <c r="G18" s="168" t="s">
        <v>1918</v>
      </c>
      <c r="H18" s="153" t="s">
        <v>980</v>
      </c>
      <c r="I18" s="154"/>
    </row>
    <row r="19" customFormat="false" ht="27.75" hidden="false" customHeight="true" outlineLevel="0" collapsed="false">
      <c r="B19" s="155" t="n">
        <v>13</v>
      </c>
      <c r="C19" s="156" t="s">
        <v>416</v>
      </c>
      <c r="D19" s="20" t="s">
        <v>2593</v>
      </c>
      <c r="E19" s="163" t="s">
        <v>2594</v>
      </c>
      <c r="F19" s="164" t="s">
        <v>2595</v>
      </c>
      <c r="G19" s="165" t="s">
        <v>2147</v>
      </c>
      <c r="H19" s="159" t="s">
        <v>980</v>
      </c>
      <c r="I19" s="27"/>
    </row>
    <row r="20" customFormat="false" ht="21.75" hidden="false" customHeight="true" outlineLevel="0" collapsed="false">
      <c r="B20" s="161" t="s">
        <v>2596</v>
      </c>
      <c r="C20" s="161"/>
      <c r="D20" s="161"/>
      <c r="E20" s="161"/>
      <c r="F20" s="161"/>
      <c r="G20" s="161"/>
      <c r="H20" s="161"/>
      <c r="I20" s="161"/>
    </row>
    <row r="21" customFormat="false" ht="27.75" hidden="false" customHeight="true" outlineLevel="0" collapsed="false">
      <c r="B21" s="147" t="n">
        <v>14</v>
      </c>
      <c r="C21" s="148" t="s">
        <v>2597</v>
      </c>
      <c r="D21" s="149" t="s">
        <v>2598</v>
      </c>
      <c r="E21" s="166" t="s">
        <v>2599</v>
      </c>
      <c r="F21" s="167" t="s">
        <v>2600</v>
      </c>
      <c r="G21" s="168" t="s">
        <v>1901</v>
      </c>
      <c r="H21" s="153" t="s">
        <v>980</v>
      </c>
      <c r="I21" s="154"/>
    </row>
    <row r="22" customFormat="false" ht="27.75" hidden="false" customHeight="true" outlineLevel="0" collapsed="false">
      <c r="B22" s="155" t="n">
        <v>15</v>
      </c>
      <c r="C22" s="156" t="s">
        <v>2597</v>
      </c>
      <c r="D22" s="20" t="s">
        <v>2601</v>
      </c>
      <c r="E22" s="163" t="s">
        <v>2602</v>
      </c>
      <c r="F22" s="164" t="s">
        <v>2603</v>
      </c>
      <c r="G22" s="165" t="s">
        <v>2563</v>
      </c>
      <c r="H22" s="159" t="s">
        <v>980</v>
      </c>
      <c r="I22" s="27"/>
    </row>
    <row r="23" customFormat="false" ht="27.75" hidden="false" customHeight="true" outlineLevel="0" collapsed="false">
      <c r="B23" s="147" t="n">
        <v>16</v>
      </c>
      <c r="C23" s="148" t="s">
        <v>2597</v>
      </c>
      <c r="D23" s="149" t="s">
        <v>2604</v>
      </c>
      <c r="E23" s="166" t="s">
        <v>2605</v>
      </c>
      <c r="F23" s="167" t="s">
        <v>2606</v>
      </c>
      <c r="G23" s="168" t="s">
        <v>1918</v>
      </c>
      <c r="H23" s="153" t="s">
        <v>980</v>
      </c>
      <c r="I23" s="154"/>
    </row>
    <row r="24" customFormat="false" ht="27.75" hidden="false" customHeight="true" outlineLevel="0" collapsed="false">
      <c r="B24" s="155" t="n">
        <v>17</v>
      </c>
      <c r="C24" s="156" t="s">
        <v>2597</v>
      </c>
      <c r="D24" s="20" t="s">
        <v>2607</v>
      </c>
      <c r="E24" s="163" t="s">
        <v>2608</v>
      </c>
      <c r="F24" s="164" t="s">
        <v>2609</v>
      </c>
      <c r="G24" s="165" t="s">
        <v>2158</v>
      </c>
      <c r="H24" s="159" t="s">
        <v>980</v>
      </c>
      <c r="I24" s="27"/>
    </row>
    <row r="25" customFormat="false" ht="27.75" hidden="false" customHeight="true" outlineLevel="0" collapsed="false">
      <c r="B25" s="147" t="n">
        <v>18</v>
      </c>
      <c r="C25" s="148" t="s">
        <v>2597</v>
      </c>
      <c r="D25" s="149" t="s">
        <v>2610</v>
      </c>
      <c r="E25" s="166" t="s">
        <v>2611</v>
      </c>
      <c r="F25" s="167" t="s">
        <v>2612</v>
      </c>
      <c r="G25" s="168" t="s">
        <v>2158</v>
      </c>
      <c r="H25" s="153" t="s">
        <v>980</v>
      </c>
      <c r="I25" s="154"/>
    </row>
    <row r="26" customFormat="false" ht="21.75" hidden="false" customHeight="true" outlineLevel="0" collapsed="false">
      <c r="B26" s="169" t="s">
        <v>2613</v>
      </c>
      <c r="C26" s="169"/>
      <c r="D26" s="169"/>
      <c r="E26" s="169"/>
      <c r="F26" s="169"/>
      <c r="G26" s="169"/>
      <c r="H26" s="169"/>
      <c r="I26" s="169"/>
    </row>
    <row r="27" customFormat="false" ht="27.75" hidden="false" customHeight="true" outlineLevel="0" collapsed="false">
      <c r="B27" s="155" t="n">
        <v>19</v>
      </c>
      <c r="C27" s="156" t="s">
        <v>945</v>
      </c>
      <c r="D27" s="20" t="s">
        <v>2614</v>
      </c>
      <c r="E27" s="163" t="s">
        <v>2615</v>
      </c>
      <c r="F27" s="164" t="s">
        <v>2616</v>
      </c>
      <c r="G27" s="165" t="s">
        <v>1901</v>
      </c>
      <c r="H27" s="159" t="s">
        <v>980</v>
      </c>
      <c r="I27" s="27"/>
    </row>
    <row r="28" customFormat="false" ht="27.75" hidden="false" customHeight="true" outlineLevel="0" collapsed="false">
      <c r="B28" s="147" t="n">
        <v>20</v>
      </c>
      <c r="C28" s="148" t="s">
        <v>945</v>
      </c>
      <c r="D28" s="149" t="s">
        <v>2617</v>
      </c>
      <c r="E28" s="166" t="s">
        <v>2618</v>
      </c>
      <c r="F28" s="167" t="s">
        <v>2619</v>
      </c>
      <c r="G28" s="168" t="s">
        <v>2147</v>
      </c>
      <c r="H28" s="153" t="s">
        <v>980</v>
      </c>
      <c r="I28" s="154"/>
    </row>
    <row r="29" customFormat="false" ht="27.75" hidden="false" customHeight="true" outlineLevel="0" collapsed="false">
      <c r="B29" s="155" t="n">
        <v>21</v>
      </c>
      <c r="C29" s="156" t="s">
        <v>945</v>
      </c>
      <c r="D29" s="20" t="s">
        <v>2620</v>
      </c>
      <c r="E29" s="163" t="s">
        <v>2621</v>
      </c>
      <c r="F29" s="164" t="s">
        <v>2622</v>
      </c>
      <c r="G29" s="165" t="s">
        <v>1918</v>
      </c>
      <c r="H29" s="159" t="s">
        <v>980</v>
      </c>
      <c r="I29" s="27"/>
    </row>
    <row r="30" customFormat="false" ht="27.75" hidden="false" customHeight="true" outlineLevel="0" collapsed="false">
      <c r="B30" s="147" t="n">
        <v>22</v>
      </c>
      <c r="C30" s="148" t="s">
        <v>945</v>
      </c>
      <c r="D30" s="149" t="s">
        <v>2623</v>
      </c>
      <c r="E30" s="166" t="s">
        <v>2624</v>
      </c>
      <c r="F30" s="167" t="s">
        <v>2625</v>
      </c>
      <c r="G30" s="168" t="s">
        <v>2158</v>
      </c>
      <c r="H30" s="153" t="s">
        <v>980</v>
      </c>
      <c r="I30" s="154"/>
    </row>
    <row r="31" customFormat="false" ht="21.75" hidden="false" customHeight="true" outlineLevel="0" collapsed="false">
      <c r="B31" s="170" t="s">
        <v>2626</v>
      </c>
      <c r="C31" s="170"/>
      <c r="D31" s="170"/>
      <c r="E31" s="170"/>
      <c r="F31" s="170"/>
      <c r="G31" s="170"/>
      <c r="H31" s="170"/>
      <c r="I31" s="170"/>
    </row>
    <row r="32" customFormat="false" ht="27.75" hidden="false" customHeight="true" outlineLevel="0" collapsed="false">
      <c r="B32" s="155" t="n">
        <v>23</v>
      </c>
      <c r="C32" s="156" t="s">
        <v>1890</v>
      </c>
      <c r="D32" s="20" t="s">
        <v>2627</v>
      </c>
      <c r="E32" s="163" t="s">
        <v>2628</v>
      </c>
      <c r="F32" s="164" t="s">
        <v>2629</v>
      </c>
      <c r="G32" s="165" t="s">
        <v>2630</v>
      </c>
      <c r="H32" s="159" t="s">
        <v>980</v>
      </c>
      <c r="I32" s="27"/>
    </row>
    <row r="33" customFormat="false" ht="27.75" hidden="false" customHeight="true" outlineLevel="0" collapsed="false">
      <c r="B33" s="147" t="n">
        <v>24</v>
      </c>
      <c r="C33" s="148" t="s">
        <v>1890</v>
      </c>
      <c r="D33" s="149" t="s">
        <v>2631</v>
      </c>
      <c r="E33" s="166" t="s">
        <v>2632</v>
      </c>
      <c r="F33" s="167" t="s">
        <v>2633</v>
      </c>
      <c r="G33" s="168" t="s">
        <v>2630</v>
      </c>
      <c r="H33" s="153" t="s">
        <v>980</v>
      </c>
      <c r="I33" s="154"/>
    </row>
    <row r="34" customFormat="false" ht="27.75" hidden="false" customHeight="true" outlineLevel="0" collapsed="false">
      <c r="B34" s="155" t="n">
        <v>25</v>
      </c>
      <c r="C34" s="156" t="s">
        <v>453</v>
      </c>
      <c r="D34" s="20" t="s">
        <v>2634</v>
      </c>
      <c r="E34" s="163" t="s">
        <v>2635</v>
      </c>
      <c r="F34" s="164" t="s">
        <v>2559</v>
      </c>
      <c r="G34" s="165" t="s">
        <v>2636</v>
      </c>
      <c r="H34" s="159" t="s">
        <v>980</v>
      </c>
      <c r="I34" s="27"/>
    </row>
    <row r="35" customFormat="false" ht="27.75" hidden="false" customHeight="true" outlineLevel="0" collapsed="false">
      <c r="B35" s="147" t="n">
        <v>26</v>
      </c>
      <c r="C35" s="148" t="s">
        <v>1890</v>
      </c>
      <c r="D35" s="149" t="s">
        <v>2637</v>
      </c>
      <c r="E35" s="166" t="s">
        <v>2638</v>
      </c>
      <c r="F35" s="167" t="s">
        <v>2639</v>
      </c>
      <c r="G35" s="168" t="s">
        <v>2640</v>
      </c>
      <c r="H35" s="153" t="s">
        <v>980</v>
      </c>
      <c r="I35" s="154"/>
    </row>
  </sheetData>
  <mergeCells count="8">
    <mergeCell ref="B1:I1"/>
    <mergeCell ref="B2:I2"/>
    <mergeCell ref="B4:I4"/>
    <mergeCell ref="B10:I10"/>
    <mergeCell ref="B16:I16"/>
    <mergeCell ref="B20:I20"/>
    <mergeCell ref="B26:I26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10"/>
    <col collapsed="false" customWidth="true" hidden="false" outlineLevel="0" max="3" min="3" style="2" width="22"/>
    <col collapsed="false" customWidth="true" hidden="false" outlineLevel="0" max="4" min="4" style="2" width="38"/>
    <col collapsed="false" customWidth="true" hidden="false" outlineLevel="0" max="5" min="5" style="2" width="15"/>
    <col collapsed="false" customWidth="true" hidden="false" outlineLevel="0" max="6" min="6" style="2" width="14"/>
    <col collapsed="false" customWidth="true" hidden="false" outlineLevel="0" max="8" min="7" style="2" width="10"/>
    <col collapsed="false" customWidth="true" hidden="false" outlineLevel="0" max="9" min="9" style="2" width="3"/>
  </cols>
  <sheetData>
    <row r="1" customFormat="false" ht="36" hidden="false" customHeight="true" outlineLevel="0" collapsed="false">
      <c r="B1" s="125" t="s">
        <v>2641</v>
      </c>
      <c r="C1" s="125"/>
      <c r="D1" s="125"/>
      <c r="E1" s="125"/>
      <c r="F1" s="125"/>
      <c r="G1" s="125"/>
      <c r="H1" s="125"/>
      <c r="I1" s="125"/>
    </row>
    <row r="3" customFormat="false" ht="21.75" hidden="false" customHeight="true" outlineLevel="0" collapsed="false">
      <c r="B3" s="127" t="s">
        <v>598</v>
      </c>
      <c r="C3" s="127" t="s">
        <v>2642</v>
      </c>
      <c r="D3" s="127" t="s">
        <v>1061</v>
      </c>
      <c r="E3" s="127" t="s">
        <v>2643</v>
      </c>
      <c r="F3" s="127" t="s">
        <v>2644</v>
      </c>
      <c r="G3" s="127" t="s">
        <v>2551</v>
      </c>
      <c r="H3" s="127" t="s">
        <v>2645</v>
      </c>
      <c r="I3" s="127" t="s">
        <v>2646</v>
      </c>
    </row>
    <row r="4" customFormat="false" ht="27.75" hidden="false" customHeight="true" outlineLevel="0" collapsed="false">
      <c r="B4" s="171" t="s">
        <v>2647</v>
      </c>
      <c r="C4" s="171"/>
      <c r="D4" s="171"/>
      <c r="E4" s="171"/>
      <c r="F4" s="171"/>
      <c r="G4" s="171"/>
      <c r="H4" s="171"/>
      <c r="I4" s="171"/>
    </row>
    <row r="5" customFormat="false" ht="19.5" hidden="false" customHeight="true" outlineLevel="0" collapsed="false">
      <c r="B5" s="172" t="s">
        <v>2648</v>
      </c>
      <c r="C5" s="172"/>
      <c r="D5" s="172"/>
      <c r="E5" s="172"/>
      <c r="F5" s="172"/>
      <c r="G5" s="172"/>
      <c r="H5" s="172"/>
      <c r="I5" s="172"/>
    </row>
    <row r="6" customFormat="false" ht="27.75" hidden="false" customHeight="true" outlineLevel="0" collapsed="false">
      <c r="B6" s="155" t="n">
        <v>1</v>
      </c>
      <c r="C6" s="156" t="s">
        <v>453</v>
      </c>
      <c r="D6" s="20" t="s">
        <v>2649</v>
      </c>
      <c r="E6" s="163" t="s">
        <v>2650</v>
      </c>
      <c r="F6" s="164" t="s">
        <v>2651</v>
      </c>
      <c r="G6" s="173" t="s">
        <v>2652</v>
      </c>
      <c r="H6" s="159" t="s">
        <v>980</v>
      </c>
      <c r="I6" s="27"/>
    </row>
    <row r="7" customFormat="false" ht="27.75" hidden="false" customHeight="true" outlineLevel="0" collapsed="false">
      <c r="B7" s="147" t="n">
        <v>2</v>
      </c>
      <c r="C7" s="148" t="s">
        <v>416</v>
      </c>
      <c r="D7" s="149" t="s">
        <v>2653</v>
      </c>
      <c r="E7" s="166" t="s">
        <v>2654</v>
      </c>
      <c r="F7" s="167" t="s">
        <v>2655</v>
      </c>
      <c r="G7" s="174" t="s">
        <v>2656</v>
      </c>
      <c r="H7" s="153" t="s">
        <v>980</v>
      </c>
      <c r="I7" s="154"/>
    </row>
    <row r="8" customFormat="false" ht="27.75" hidden="false" customHeight="true" outlineLevel="0" collapsed="false">
      <c r="B8" s="155" t="n">
        <v>3</v>
      </c>
      <c r="C8" s="156" t="s">
        <v>416</v>
      </c>
      <c r="D8" s="20" t="s">
        <v>2657</v>
      </c>
      <c r="E8" s="163" t="s">
        <v>2658</v>
      </c>
      <c r="F8" s="164" t="s">
        <v>2659</v>
      </c>
      <c r="G8" s="173" t="s">
        <v>2656</v>
      </c>
      <c r="H8" s="159" t="s">
        <v>980</v>
      </c>
      <c r="I8" s="27"/>
    </row>
    <row r="9" customFormat="false" ht="27.75" hidden="false" customHeight="true" outlineLevel="0" collapsed="false">
      <c r="B9" s="147" t="n">
        <v>4</v>
      </c>
      <c r="C9" s="148" t="s">
        <v>416</v>
      </c>
      <c r="D9" s="149" t="s">
        <v>2660</v>
      </c>
      <c r="E9" s="166" t="s">
        <v>2661</v>
      </c>
      <c r="F9" s="167" t="s">
        <v>2662</v>
      </c>
      <c r="G9" s="174" t="s">
        <v>2663</v>
      </c>
      <c r="H9" s="153" t="s">
        <v>980</v>
      </c>
      <c r="I9" s="154"/>
    </row>
    <row r="10" customFormat="false" ht="27.75" hidden="false" customHeight="true" outlineLevel="0" collapsed="false">
      <c r="B10" s="155" t="n">
        <v>5</v>
      </c>
      <c r="C10" s="156" t="s">
        <v>2597</v>
      </c>
      <c r="D10" s="20" t="s">
        <v>2664</v>
      </c>
      <c r="E10" s="163" t="s">
        <v>2665</v>
      </c>
      <c r="F10" s="164" t="s">
        <v>2603</v>
      </c>
      <c r="G10" s="173" t="s">
        <v>2663</v>
      </c>
      <c r="H10" s="159" t="s">
        <v>980</v>
      </c>
      <c r="I10" s="27"/>
    </row>
    <row r="11" customFormat="false" ht="27.75" hidden="false" customHeight="true" outlineLevel="0" collapsed="false">
      <c r="B11" s="147" t="n">
        <v>6</v>
      </c>
      <c r="C11" s="148" t="s">
        <v>945</v>
      </c>
      <c r="D11" s="149" t="s">
        <v>2666</v>
      </c>
      <c r="E11" s="166" t="s">
        <v>2667</v>
      </c>
      <c r="F11" s="167" t="s">
        <v>2668</v>
      </c>
      <c r="G11" s="174" t="s">
        <v>2669</v>
      </c>
      <c r="H11" s="153" t="s">
        <v>980</v>
      </c>
      <c r="I11" s="154"/>
    </row>
    <row r="12" customFormat="false" ht="27.75" hidden="false" customHeight="true" outlineLevel="0" collapsed="false">
      <c r="B12" s="155" t="n">
        <v>7</v>
      </c>
      <c r="C12" s="156" t="s">
        <v>453</v>
      </c>
      <c r="D12" s="20" t="s">
        <v>2670</v>
      </c>
      <c r="E12" s="163" t="s">
        <v>2671</v>
      </c>
      <c r="F12" s="164" t="s">
        <v>2672</v>
      </c>
      <c r="G12" s="173" t="s">
        <v>2663</v>
      </c>
      <c r="H12" s="159" t="s">
        <v>980</v>
      </c>
      <c r="I12" s="27"/>
    </row>
    <row r="13" customFormat="false" ht="27.75" hidden="false" customHeight="true" outlineLevel="0" collapsed="false">
      <c r="B13" s="147" t="n">
        <v>8</v>
      </c>
      <c r="C13" s="148" t="s">
        <v>416</v>
      </c>
      <c r="D13" s="149" t="s">
        <v>2673</v>
      </c>
      <c r="E13" s="166" t="s">
        <v>2674</v>
      </c>
      <c r="F13" s="167" t="s">
        <v>2675</v>
      </c>
      <c r="G13" s="174" t="s">
        <v>2676</v>
      </c>
      <c r="H13" s="153" t="s">
        <v>980</v>
      </c>
      <c r="I13" s="154"/>
    </row>
    <row r="14" customFormat="false" ht="27.75" hidden="false" customHeight="true" outlineLevel="0" collapsed="false">
      <c r="B14" s="155" t="n">
        <v>9</v>
      </c>
      <c r="C14" s="156" t="s">
        <v>453</v>
      </c>
      <c r="D14" s="20" t="s">
        <v>2677</v>
      </c>
      <c r="E14" s="163" t="s">
        <v>2678</v>
      </c>
      <c r="F14" s="164" t="s">
        <v>2679</v>
      </c>
      <c r="G14" s="173" t="s">
        <v>2676</v>
      </c>
      <c r="H14" s="159" t="s">
        <v>980</v>
      </c>
      <c r="I14" s="27"/>
    </row>
    <row r="16" customFormat="false" ht="27.75" hidden="false" customHeight="true" outlineLevel="0" collapsed="false">
      <c r="B16" s="175" t="s">
        <v>2680</v>
      </c>
      <c r="C16" s="175"/>
      <c r="D16" s="175"/>
      <c r="E16" s="175"/>
      <c r="F16" s="175"/>
      <c r="G16" s="175"/>
      <c r="H16" s="175"/>
      <c r="I16" s="175"/>
    </row>
    <row r="17" customFormat="false" ht="19.5" hidden="false" customHeight="true" outlineLevel="0" collapsed="false">
      <c r="B17" s="176" t="s">
        <v>2681</v>
      </c>
      <c r="C17" s="176"/>
      <c r="D17" s="176"/>
      <c r="E17" s="176"/>
      <c r="F17" s="176"/>
      <c r="G17" s="176"/>
      <c r="H17" s="176"/>
      <c r="I17" s="176"/>
    </row>
    <row r="18" customFormat="false" ht="27.75" hidden="false" customHeight="true" outlineLevel="0" collapsed="false">
      <c r="B18" s="155" t="n">
        <v>1</v>
      </c>
      <c r="C18" s="164" t="s">
        <v>416</v>
      </c>
      <c r="D18" s="20" t="s">
        <v>2682</v>
      </c>
      <c r="E18" s="163" t="s">
        <v>2683</v>
      </c>
      <c r="F18" s="164" t="s">
        <v>2684</v>
      </c>
      <c r="G18" s="173" t="s">
        <v>2685</v>
      </c>
      <c r="H18" s="159" t="s">
        <v>980</v>
      </c>
      <c r="I18" s="27"/>
    </row>
    <row r="19" customFormat="false" ht="27.75" hidden="false" customHeight="true" outlineLevel="0" collapsed="false">
      <c r="B19" s="147" t="n">
        <v>2</v>
      </c>
      <c r="C19" s="167" t="s">
        <v>416</v>
      </c>
      <c r="D19" s="149" t="s">
        <v>2686</v>
      </c>
      <c r="E19" s="166" t="s">
        <v>2687</v>
      </c>
      <c r="F19" s="167" t="s">
        <v>2688</v>
      </c>
      <c r="G19" s="174" t="s">
        <v>2689</v>
      </c>
      <c r="H19" s="153" t="s">
        <v>980</v>
      </c>
      <c r="I19" s="154"/>
    </row>
    <row r="20" customFormat="false" ht="27.75" hidden="false" customHeight="true" outlineLevel="0" collapsed="false">
      <c r="B20" s="155" t="n">
        <v>3</v>
      </c>
      <c r="C20" s="164" t="s">
        <v>416</v>
      </c>
      <c r="D20" s="20" t="s">
        <v>2690</v>
      </c>
      <c r="E20" s="163" t="s">
        <v>2691</v>
      </c>
      <c r="F20" s="164" t="s">
        <v>2692</v>
      </c>
      <c r="G20" s="173" t="s">
        <v>2693</v>
      </c>
      <c r="H20" s="159" t="s">
        <v>980</v>
      </c>
      <c r="I20" s="27"/>
    </row>
    <row r="21" customFormat="false" ht="27.75" hidden="false" customHeight="true" outlineLevel="0" collapsed="false">
      <c r="B21" s="147" t="n">
        <v>4</v>
      </c>
      <c r="C21" s="167" t="s">
        <v>416</v>
      </c>
      <c r="D21" s="149" t="s">
        <v>2694</v>
      </c>
      <c r="E21" s="166" t="s">
        <v>2695</v>
      </c>
      <c r="F21" s="167" t="s">
        <v>2696</v>
      </c>
      <c r="G21" s="174" t="s">
        <v>2697</v>
      </c>
      <c r="H21" s="153" t="s">
        <v>980</v>
      </c>
      <c r="I21" s="154"/>
    </row>
    <row r="22" customFormat="false" ht="27.75" hidden="false" customHeight="true" outlineLevel="0" collapsed="false">
      <c r="B22" s="155" t="n">
        <v>5</v>
      </c>
      <c r="C22" s="164" t="s">
        <v>2597</v>
      </c>
      <c r="D22" s="20" t="s">
        <v>2698</v>
      </c>
      <c r="E22" s="163" t="s">
        <v>2699</v>
      </c>
      <c r="F22" s="164" t="s">
        <v>2700</v>
      </c>
      <c r="G22" s="173" t="s">
        <v>2701</v>
      </c>
      <c r="H22" s="159" t="s">
        <v>980</v>
      </c>
      <c r="I22" s="27"/>
    </row>
    <row r="23" customFormat="false" ht="27.75" hidden="false" customHeight="true" outlineLevel="0" collapsed="false">
      <c r="B23" s="147" t="n">
        <v>6</v>
      </c>
      <c r="C23" s="167" t="s">
        <v>945</v>
      </c>
      <c r="D23" s="149" t="s">
        <v>2702</v>
      </c>
      <c r="E23" s="166" t="s">
        <v>2703</v>
      </c>
      <c r="F23" s="167" t="s">
        <v>2704</v>
      </c>
      <c r="G23" s="174" t="s">
        <v>2705</v>
      </c>
      <c r="H23" s="153" t="s">
        <v>980</v>
      </c>
      <c r="I23" s="154"/>
    </row>
    <row r="24" customFormat="false" ht="27.75" hidden="false" customHeight="true" outlineLevel="0" collapsed="false">
      <c r="B24" s="155" t="n">
        <v>7</v>
      </c>
      <c r="C24" s="164" t="s">
        <v>416</v>
      </c>
      <c r="D24" s="20" t="s">
        <v>2706</v>
      </c>
      <c r="E24" s="163" t="s">
        <v>2707</v>
      </c>
      <c r="F24" s="164" t="s">
        <v>2708</v>
      </c>
      <c r="G24" s="173" t="s">
        <v>2709</v>
      </c>
      <c r="H24" s="159" t="s">
        <v>980</v>
      </c>
      <c r="I24" s="27"/>
    </row>
    <row r="25" customFormat="false" ht="27.75" hidden="false" customHeight="true" outlineLevel="0" collapsed="false">
      <c r="B25" s="147" t="n">
        <v>8</v>
      </c>
      <c r="C25" s="167" t="s">
        <v>453</v>
      </c>
      <c r="D25" s="149" t="s">
        <v>2710</v>
      </c>
      <c r="E25" s="166" t="s">
        <v>2711</v>
      </c>
      <c r="F25" s="167" t="s">
        <v>255</v>
      </c>
      <c r="G25" s="174" t="s">
        <v>2709</v>
      </c>
      <c r="H25" s="153" t="s">
        <v>980</v>
      </c>
      <c r="I25" s="154"/>
    </row>
    <row r="26" customFormat="false" ht="27.75" hidden="false" customHeight="true" outlineLevel="0" collapsed="false">
      <c r="B26" s="155" t="n">
        <v>9</v>
      </c>
      <c r="C26" s="164" t="s">
        <v>453</v>
      </c>
      <c r="D26" s="20" t="s">
        <v>2712</v>
      </c>
      <c r="E26" s="163" t="s">
        <v>2713</v>
      </c>
      <c r="F26" s="164" t="s">
        <v>2679</v>
      </c>
      <c r="G26" s="173" t="s">
        <v>2714</v>
      </c>
      <c r="H26" s="159" t="s">
        <v>980</v>
      </c>
      <c r="I26" s="27"/>
    </row>
    <row r="28" customFormat="false" ht="27.75" hidden="false" customHeight="true" outlineLevel="0" collapsed="false">
      <c r="B28" s="177" t="s">
        <v>2715</v>
      </c>
      <c r="C28" s="177"/>
      <c r="D28" s="177"/>
      <c r="E28" s="177"/>
      <c r="F28" s="177"/>
      <c r="G28" s="177"/>
      <c r="H28" s="177"/>
      <c r="I28" s="177"/>
    </row>
    <row r="29" customFormat="false" ht="19.5" hidden="false" customHeight="true" outlineLevel="0" collapsed="false">
      <c r="B29" s="178" t="s">
        <v>2716</v>
      </c>
      <c r="C29" s="178"/>
      <c r="D29" s="178"/>
      <c r="E29" s="178"/>
      <c r="F29" s="178"/>
      <c r="G29" s="178"/>
      <c r="H29" s="178"/>
      <c r="I29" s="178"/>
    </row>
    <row r="30" customFormat="false" ht="27.75" hidden="false" customHeight="true" outlineLevel="0" collapsed="false">
      <c r="B30" s="155" t="n">
        <v>1</v>
      </c>
      <c r="C30" s="179" t="s">
        <v>416</v>
      </c>
      <c r="D30" s="20" t="s">
        <v>2717</v>
      </c>
      <c r="E30" s="163" t="s">
        <v>2718</v>
      </c>
      <c r="F30" s="164" t="s">
        <v>2672</v>
      </c>
      <c r="G30" s="173" t="s">
        <v>2719</v>
      </c>
      <c r="H30" s="159" t="s">
        <v>980</v>
      </c>
      <c r="I30" s="27"/>
    </row>
    <row r="31" customFormat="false" ht="27.75" hidden="false" customHeight="true" outlineLevel="0" collapsed="false">
      <c r="B31" s="147" t="n">
        <v>2</v>
      </c>
      <c r="C31" s="180" t="s">
        <v>416</v>
      </c>
      <c r="D31" s="149" t="s">
        <v>2720</v>
      </c>
      <c r="E31" s="166" t="s">
        <v>2721</v>
      </c>
      <c r="F31" s="167" t="s">
        <v>2722</v>
      </c>
      <c r="G31" s="174" t="s">
        <v>2723</v>
      </c>
      <c r="H31" s="153" t="s">
        <v>980</v>
      </c>
      <c r="I31" s="154"/>
    </row>
    <row r="32" customFormat="false" ht="27.75" hidden="false" customHeight="true" outlineLevel="0" collapsed="false">
      <c r="B32" s="155" t="n">
        <v>3</v>
      </c>
      <c r="C32" s="179" t="s">
        <v>416</v>
      </c>
      <c r="D32" s="20" t="s">
        <v>2724</v>
      </c>
      <c r="E32" s="163" t="s">
        <v>2725</v>
      </c>
      <c r="F32" s="164" t="s">
        <v>2726</v>
      </c>
      <c r="G32" s="173" t="s">
        <v>2723</v>
      </c>
      <c r="H32" s="159" t="s">
        <v>980</v>
      </c>
      <c r="I32" s="27"/>
    </row>
    <row r="33" customFormat="false" ht="27.75" hidden="false" customHeight="true" outlineLevel="0" collapsed="false">
      <c r="B33" s="147" t="n">
        <v>4</v>
      </c>
      <c r="C33" s="180" t="s">
        <v>416</v>
      </c>
      <c r="D33" s="149" t="s">
        <v>2727</v>
      </c>
      <c r="E33" s="166" t="s">
        <v>2728</v>
      </c>
      <c r="F33" s="167" t="s">
        <v>2662</v>
      </c>
      <c r="G33" s="174" t="s">
        <v>2729</v>
      </c>
      <c r="H33" s="153" t="s">
        <v>980</v>
      </c>
      <c r="I33" s="154"/>
    </row>
    <row r="34" customFormat="false" ht="27.75" hidden="false" customHeight="true" outlineLevel="0" collapsed="false">
      <c r="B34" s="155" t="n">
        <v>5</v>
      </c>
      <c r="C34" s="179" t="s">
        <v>2597</v>
      </c>
      <c r="D34" s="20" t="s">
        <v>2730</v>
      </c>
      <c r="E34" s="163" t="s">
        <v>2731</v>
      </c>
      <c r="F34" s="164" t="s">
        <v>2732</v>
      </c>
      <c r="G34" s="173" t="s">
        <v>2733</v>
      </c>
      <c r="H34" s="159" t="s">
        <v>980</v>
      </c>
      <c r="I34" s="27"/>
    </row>
    <row r="35" customFormat="false" ht="27.75" hidden="false" customHeight="true" outlineLevel="0" collapsed="false">
      <c r="B35" s="147" t="n">
        <v>6</v>
      </c>
      <c r="C35" s="180" t="s">
        <v>945</v>
      </c>
      <c r="D35" s="149" t="s">
        <v>2734</v>
      </c>
      <c r="E35" s="166" t="s">
        <v>2735</v>
      </c>
      <c r="F35" s="167" t="s">
        <v>2736</v>
      </c>
      <c r="G35" s="174" t="s">
        <v>2737</v>
      </c>
      <c r="H35" s="153" t="s">
        <v>980</v>
      </c>
      <c r="I35" s="154"/>
    </row>
    <row r="36" customFormat="false" ht="27.75" hidden="false" customHeight="true" outlineLevel="0" collapsed="false">
      <c r="B36" s="155" t="n">
        <v>7</v>
      </c>
      <c r="C36" s="179" t="s">
        <v>416</v>
      </c>
      <c r="D36" s="20" t="s">
        <v>2738</v>
      </c>
      <c r="E36" s="163" t="s">
        <v>2739</v>
      </c>
      <c r="F36" s="164" t="s">
        <v>2740</v>
      </c>
      <c r="G36" s="173" t="s">
        <v>2741</v>
      </c>
      <c r="H36" s="159" t="s">
        <v>980</v>
      </c>
      <c r="I36" s="27"/>
    </row>
    <row r="37" customFormat="false" ht="27.75" hidden="false" customHeight="true" outlineLevel="0" collapsed="false">
      <c r="B37" s="147" t="n">
        <v>8</v>
      </c>
      <c r="C37" s="180" t="s">
        <v>453</v>
      </c>
      <c r="D37" s="149" t="s">
        <v>2742</v>
      </c>
      <c r="E37" s="166" t="s">
        <v>2743</v>
      </c>
      <c r="F37" s="167" t="s">
        <v>2744</v>
      </c>
      <c r="G37" s="174" t="s">
        <v>2745</v>
      </c>
      <c r="H37" s="153" t="s">
        <v>980</v>
      </c>
      <c r="I37" s="154"/>
    </row>
    <row r="38" customFormat="false" ht="27.75" hidden="false" customHeight="true" outlineLevel="0" collapsed="false">
      <c r="B38" s="155" t="n">
        <v>9</v>
      </c>
      <c r="C38" s="179" t="s">
        <v>453</v>
      </c>
      <c r="D38" s="20" t="s">
        <v>2746</v>
      </c>
      <c r="E38" s="163" t="s">
        <v>2747</v>
      </c>
      <c r="F38" s="164" t="s">
        <v>2679</v>
      </c>
      <c r="G38" s="173" t="s">
        <v>2748</v>
      </c>
      <c r="H38" s="159" t="s">
        <v>980</v>
      </c>
      <c r="I38" s="27"/>
    </row>
    <row r="40" customFormat="false" ht="27.75" hidden="false" customHeight="true" outlineLevel="0" collapsed="false">
      <c r="B40" s="181" t="s">
        <v>2749</v>
      </c>
      <c r="C40" s="181"/>
      <c r="D40" s="181"/>
      <c r="E40" s="181"/>
      <c r="F40" s="181"/>
      <c r="G40" s="181"/>
      <c r="H40" s="181"/>
      <c r="I40" s="181"/>
    </row>
    <row r="41" customFormat="false" ht="19.5" hidden="false" customHeight="true" outlineLevel="0" collapsed="false">
      <c r="B41" s="182" t="s">
        <v>2750</v>
      </c>
      <c r="C41" s="182"/>
      <c r="D41" s="182"/>
      <c r="E41" s="182"/>
      <c r="F41" s="182"/>
      <c r="G41" s="182"/>
      <c r="H41" s="182"/>
      <c r="I41" s="182"/>
    </row>
    <row r="42" customFormat="false" ht="27.75" hidden="false" customHeight="true" outlineLevel="0" collapsed="false">
      <c r="B42" s="155" t="n">
        <v>1</v>
      </c>
      <c r="C42" s="183" t="s">
        <v>416</v>
      </c>
      <c r="D42" s="20" t="s">
        <v>2751</v>
      </c>
      <c r="E42" s="163" t="s">
        <v>2752</v>
      </c>
      <c r="F42" s="164" t="s">
        <v>2753</v>
      </c>
      <c r="G42" s="173" t="s">
        <v>2754</v>
      </c>
      <c r="H42" s="159" t="s">
        <v>980</v>
      </c>
      <c r="I42" s="27"/>
    </row>
    <row r="43" customFormat="false" ht="27.75" hidden="false" customHeight="true" outlineLevel="0" collapsed="false">
      <c r="B43" s="147" t="n">
        <v>2</v>
      </c>
      <c r="C43" s="184" t="s">
        <v>416</v>
      </c>
      <c r="D43" s="149" t="s">
        <v>2755</v>
      </c>
      <c r="E43" s="166" t="s">
        <v>2756</v>
      </c>
      <c r="F43" s="167" t="s">
        <v>2722</v>
      </c>
      <c r="G43" s="174" t="s">
        <v>2757</v>
      </c>
      <c r="H43" s="153" t="s">
        <v>980</v>
      </c>
      <c r="I43" s="154"/>
    </row>
    <row r="44" customFormat="false" ht="27.75" hidden="false" customHeight="true" outlineLevel="0" collapsed="false">
      <c r="B44" s="155" t="n">
        <v>3</v>
      </c>
      <c r="C44" s="183" t="s">
        <v>2597</v>
      </c>
      <c r="D44" s="20" t="s">
        <v>2758</v>
      </c>
      <c r="E44" s="163" t="s">
        <v>2759</v>
      </c>
      <c r="F44" s="164" t="s">
        <v>1528</v>
      </c>
      <c r="G44" s="173" t="s">
        <v>2760</v>
      </c>
      <c r="H44" s="159" t="s">
        <v>980</v>
      </c>
      <c r="I44" s="27"/>
    </row>
    <row r="45" customFormat="false" ht="27.75" hidden="false" customHeight="true" outlineLevel="0" collapsed="false">
      <c r="B45" s="147" t="n">
        <v>4</v>
      </c>
      <c r="C45" s="184" t="s">
        <v>416</v>
      </c>
      <c r="D45" s="149" t="s">
        <v>2761</v>
      </c>
      <c r="E45" s="166" t="s">
        <v>2762</v>
      </c>
      <c r="F45" s="167" t="s">
        <v>2763</v>
      </c>
      <c r="G45" s="174" t="s">
        <v>2754</v>
      </c>
      <c r="H45" s="153" t="s">
        <v>980</v>
      </c>
      <c r="I45" s="154"/>
    </row>
    <row r="46" customFormat="false" ht="27.75" hidden="false" customHeight="true" outlineLevel="0" collapsed="false">
      <c r="B46" s="155" t="n">
        <v>5</v>
      </c>
      <c r="C46" s="183" t="s">
        <v>945</v>
      </c>
      <c r="D46" s="20" t="s">
        <v>2764</v>
      </c>
      <c r="E46" s="163" t="s">
        <v>2765</v>
      </c>
      <c r="F46" s="164" t="s">
        <v>2692</v>
      </c>
      <c r="G46" s="173" t="s">
        <v>2766</v>
      </c>
      <c r="H46" s="159" t="s">
        <v>980</v>
      </c>
      <c r="I46" s="27"/>
    </row>
    <row r="47" customFormat="false" ht="27.75" hidden="false" customHeight="true" outlineLevel="0" collapsed="false">
      <c r="B47" s="147" t="n">
        <v>6</v>
      </c>
      <c r="C47" s="184" t="s">
        <v>2597</v>
      </c>
      <c r="D47" s="149" t="s">
        <v>2767</v>
      </c>
      <c r="E47" s="166" t="s">
        <v>2768</v>
      </c>
      <c r="F47" s="167" t="s">
        <v>2769</v>
      </c>
      <c r="G47" s="174" t="s">
        <v>2754</v>
      </c>
      <c r="H47" s="153" t="s">
        <v>980</v>
      </c>
      <c r="I47" s="154"/>
    </row>
    <row r="48" customFormat="false" ht="27.75" hidden="false" customHeight="true" outlineLevel="0" collapsed="false">
      <c r="B48" s="155" t="n">
        <v>7</v>
      </c>
      <c r="C48" s="183" t="s">
        <v>453</v>
      </c>
      <c r="D48" s="20" t="s">
        <v>2770</v>
      </c>
      <c r="E48" s="163" t="s">
        <v>2771</v>
      </c>
      <c r="F48" s="164" t="s">
        <v>255</v>
      </c>
      <c r="G48" s="173" t="s">
        <v>2772</v>
      </c>
      <c r="H48" s="159" t="s">
        <v>980</v>
      </c>
      <c r="I48" s="27"/>
    </row>
    <row r="49" customFormat="false" ht="27.75" hidden="false" customHeight="true" outlineLevel="0" collapsed="false">
      <c r="B49" s="147" t="n">
        <v>8</v>
      </c>
      <c r="C49" s="184" t="s">
        <v>453</v>
      </c>
      <c r="D49" s="149" t="s">
        <v>2773</v>
      </c>
      <c r="E49" s="166" t="s">
        <v>2774</v>
      </c>
      <c r="F49" s="167" t="s">
        <v>2679</v>
      </c>
      <c r="G49" s="174" t="s">
        <v>2775</v>
      </c>
      <c r="H49" s="153" t="s">
        <v>980</v>
      </c>
      <c r="I49" s="154"/>
    </row>
    <row r="51" customFormat="false" ht="27.75" hidden="false" customHeight="true" outlineLevel="0" collapsed="false">
      <c r="B51" s="185" t="s">
        <v>2776</v>
      </c>
      <c r="C51" s="185"/>
      <c r="D51" s="185"/>
      <c r="E51" s="185"/>
      <c r="F51" s="185"/>
      <c r="G51" s="185"/>
      <c r="H51" s="185"/>
      <c r="I51" s="185"/>
    </row>
    <row r="52" customFormat="false" ht="19.5" hidden="false" customHeight="true" outlineLevel="0" collapsed="false">
      <c r="B52" s="186" t="s">
        <v>2777</v>
      </c>
      <c r="C52" s="186"/>
      <c r="D52" s="186"/>
      <c r="E52" s="186"/>
      <c r="F52" s="186"/>
      <c r="G52" s="186"/>
      <c r="H52" s="186"/>
      <c r="I52" s="186"/>
    </row>
    <row r="53" customFormat="false" ht="27.75" hidden="false" customHeight="true" outlineLevel="0" collapsed="false">
      <c r="B53" s="155" t="n">
        <v>1</v>
      </c>
      <c r="C53" s="187" t="s">
        <v>416</v>
      </c>
      <c r="D53" s="20" t="s">
        <v>2778</v>
      </c>
      <c r="E53" s="163" t="s">
        <v>2779</v>
      </c>
      <c r="F53" s="164" t="s">
        <v>1528</v>
      </c>
      <c r="G53" s="173" t="s">
        <v>2780</v>
      </c>
      <c r="H53" s="159" t="s">
        <v>980</v>
      </c>
      <c r="I53" s="27"/>
    </row>
    <row r="54" customFormat="false" ht="27.75" hidden="false" customHeight="true" outlineLevel="0" collapsed="false">
      <c r="B54" s="147" t="n">
        <v>2</v>
      </c>
      <c r="C54" s="188" t="s">
        <v>416</v>
      </c>
      <c r="D54" s="149" t="s">
        <v>2781</v>
      </c>
      <c r="E54" s="166" t="s">
        <v>2782</v>
      </c>
      <c r="F54" s="167" t="s">
        <v>2783</v>
      </c>
      <c r="G54" s="174" t="s">
        <v>2784</v>
      </c>
      <c r="H54" s="153" t="s">
        <v>980</v>
      </c>
      <c r="I54" s="154"/>
    </row>
    <row r="55" customFormat="false" ht="27.75" hidden="false" customHeight="true" outlineLevel="0" collapsed="false">
      <c r="B55" s="155" t="n">
        <v>3</v>
      </c>
      <c r="C55" s="187" t="s">
        <v>416</v>
      </c>
      <c r="D55" s="20" t="s">
        <v>2785</v>
      </c>
      <c r="E55" s="163" t="s">
        <v>2786</v>
      </c>
      <c r="F55" s="164" t="s">
        <v>2787</v>
      </c>
      <c r="G55" s="173" t="s">
        <v>2780</v>
      </c>
      <c r="H55" s="159" t="s">
        <v>980</v>
      </c>
      <c r="I55" s="27"/>
    </row>
    <row r="56" customFormat="false" ht="27.75" hidden="false" customHeight="true" outlineLevel="0" collapsed="false">
      <c r="B56" s="147" t="n">
        <v>4</v>
      </c>
      <c r="C56" s="188" t="s">
        <v>2597</v>
      </c>
      <c r="D56" s="149" t="s">
        <v>2788</v>
      </c>
      <c r="E56" s="166" t="s">
        <v>2789</v>
      </c>
      <c r="F56" s="167" t="s">
        <v>2790</v>
      </c>
      <c r="G56" s="174" t="s">
        <v>2791</v>
      </c>
      <c r="H56" s="153" t="s">
        <v>980</v>
      </c>
      <c r="I56" s="154"/>
    </row>
    <row r="57" customFormat="false" ht="27.75" hidden="false" customHeight="true" outlineLevel="0" collapsed="false">
      <c r="B57" s="155" t="n">
        <v>5</v>
      </c>
      <c r="C57" s="187" t="s">
        <v>945</v>
      </c>
      <c r="D57" s="20" t="s">
        <v>2792</v>
      </c>
      <c r="E57" s="163" t="s">
        <v>2793</v>
      </c>
      <c r="F57" s="164" t="s">
        <v>2794</v>
      </c>
      <c r="G57" s="173" t="s">
        <v>2780</v>
      </c>
      <c r="H57" s="159" t="s">
        <v>980</v>
      </c>
      <c r="I57" s="27"/>
    </row>
    <row r="58" customFormat="false" ht="27.75" hidden="false" customHeight="true" outlineLevel="0" collapsed="false">
      <c r="B58" s="147" t="n">
        <v>6</v>
      </c>
      <c r="C58" s="188" t="s">
        <v>453</v>
      </c>
      <c r="D58" s="149" t="s">
        <v>2795</v>
      </c>
      <c r="E58" s="166" t="s">
        <v>2796</v>
      </c>
      <c r="F58" s="167" t="s">
        <v>2797</v>
      </c>
      <c r="G58" s="174" t="s">
        <v>2798</v>
      </c>
      <c r="H58" s="153" t="s">
        <v>980</v>
      </c>
      <c r="I58" s="154"/>
    </row>
    <row r="59" customFormat="false" ht="27.75" hidden="false" customHeight="true" outlineLevel="0" collapsed="false">
      <c r="B59" s="155" t="n">
        <v>7</v>
      </c>
      <c r="C59" s="187" t="s">
        <v>453</v>
      </c>
      <c r="D59" s="20" t="s">
        <v>2799</v>
      </c>
      <c r="E59" s="163" t="s">
        <v>2800</v>
      </c>
      <c r="F59" s="164" t="s">
        <v>2679</v>
      </c>
      <c r="G59" s="173" t="s">
        <v>2801</v>
      </c>
      <c r="H59" s="159" t="s">
        <v>980</v>
      </c>
      <c r="I59" s="27"/>
    </row>
    <row r="61" customFormat="false" ht="27.75" hidden="false" customHeight="true" outlineLevel="0" collapsed="false">
      <c r="B61" s="189" t="s">
        <v>2802</v>
      </c>
      <c r="C61" s="189"/>
      <c r="D61" s="189"/>
      <c r="E61" s="189"/>
      <c r="F61" s="189"/>
      <c r="G61" s="189"/>
      <c r="H61" s="189"/>
      <c r="I61" s="189"/>
    </row>
    <row r="62" customFormat="false" ht="19.5" hidden="false" customHeight="true" outlineLevel="0" collapsed="false">
      <c r="B62" s="190" t="s">
        <v>2803</v>
      </c>
      <c r="C62" s="190"/>
      <c r="D62" s="190"/>
      <c r="E62" s="190"/>
      <c r="F62" s="190"/>
      <c r="G62" s="190"/>
      <c r="H62" s="190"/>
      <c r="I62" s="190"/>
    </row>
    <row r="63" customFormat="false" ht="27.75" hidden="false" customHeight="true" outlineLevel="0" collapsed="false">
      <c r="B63" s="155" t="n">
        <v>1</v>
      </c>
      <c r="C63" s="191" t="s">
        <v>416</v>
      </c>
      <c r="D63" s="20" t="s">
        <v>2804</v>
      </c>
      <c r="E63" s="163" t="s">
        <v>2805</v>
      </c>
      <c r="F63" s="164" t="s">
        <v>2806</v>
      </c>
      <c r="G63" s="173" t="s">
        <v>2807</v>
      </c>
      <c r="H63" s="159" t="s">
        <v>980</v>
      </c>
      <c r="I63" s="27"/>
    </row>
    <row r="64" customFormat="false" ht="27.75" hidden="false" customHeight="true" outlineLevel="0" collapsed="false">
      <c r="B64" s="147" t="n">
        <v>2</v>
      </c>
      <c r="C64" s="192" t="s">
        <v>416</v>
      </c>
      <c r="D64" s="149" t="s">
        <v>2808</v>
      </c>
      <c r="E64" s="166" t="s">
        <v>2809</v>
      </c>
      <c r="F64" s="167" t="s">
        <v>2810</v>
      </c>
      <c r="G64" s="174" t="s">
        <v>2807</v>
      </c>
      <c r="H64" s="153" t="s">
        <v>980</v>
      </c>
      <c r="I64" s="154"/>
    </row>
    <row r="65" customFormat="false" ht="27.75" hidden="false" customHeight="true" outlineLevel="0" collapsed="false">
      <c r="B65" s="155" t="n">
        <v>3</v>
      </c>
      <c r="C65" s="191" t="s">
        <v>2597</v>
      </c>
      <c r="D65" s="20" t="s">
        <v>2811</v>
      </c>
      <c r="E65" s="163" t="s">
        <v>2812</v>
      </c>
      <c r="F65" s="164" t="s">
        <v>1528</v>
      </c>
      <c r="G65" s="173" t="s">
        <v>2813</v>
      </c>
      <c r="H65" s="159" t="s">
        <v>980</v>
      </c>
      <c r="I65" s="27"/>
    </row>
    <row r="66" customFormat="false" ht="27.75" hidden="false" customHeight="true" outlineLevel="0" collapsed="false">
      <c r="B66" s="147" t="n">
        <v>4</v>
      </c>
      <c r="C66" s="192" t="s">
        <v>945</v>
      </c>
      <c r="D66" s="149" t="s">
        <v>2814</v>
      </c>
      <c r="E66" s="166" t="s">
        <v>2815</v>
      </c>
      <c r="F66" s="167" t="s">
        <v>2816</v>
      </c>
      <c r="G66" s="174" t="s">
        <v>2807</v>
      </c>
      <c r="H66" s="153" t="s">
        <v>980</v>
      </c>
      <c r="I66" s="154"/>
    </row>
    <row r="67" customFormat="false" ht="27.75" hidden="false" customHeight="true" outlineLevel="0" collapsed="false">
      <c r="B67" s="155" t="n">
        <v>5</v>
      </c>
      <c r="C67" s="191" t="s">
        <v>453</v>
      </c>
      <c r="D67" s="20" t="s">
        <v>2817</v>
      </c>
      <c r="E67" s="163" t="s">
        <v>2818</v>
      </c>
      <c r="F67" s="164" t="s">
        <v>2819</v>
      </c>
      <c r="G67" s="173" t="s">
        <v>2820</v>
      </c>
      <c r="H67" s="159" t="s">
        <v>980</v>
      </c>
      <c r="I67" s="27"/>
    </row>
    <row r="68" customFormat="false" ht="27.75" hidden="false" customHeight="true" outlineLevel="0" collapsed="false">
      <c r="B68" s="147" t="n">
        <v>6</v>
      </c>
      <c r="C68" s="192" t="s">
        <v>453</v>
      </c>
      <c r="D68" s="149" t="s">
        <v>2821</v>
      </c>
      <c r="E68" s="166" t="s">
        <v>2822</v>
      </c>
      <c r="F68" s="167" t="s">
        <v>2823</v>
      </c>
      <c r="G68" s="174" t="s">
        <v>2824</v>
      </c>
      <c r="H68" s="153" t="s">
        <v>980</v>
      </c>
      <c r="I68" s="154"/>
    </row>
  </sheetData>
  <mergeCells count="13">
    <mergeCell ref="B1:I1"/>
    <mergeCell ref="B4:I4"/>
    <mergeCell ref="B5:I5"/>
    <mergeCell ref="B16:I16"/>
    <mergeCell ref="B17:I17"/>
    <mergeCell ref="B28:I28"/>
    <mergeCell ref="B29:I29"/>
    <mergeCell ref="B40:I40"/>
    <mergeCell ref="B41:I41"/>
    <mergeCell ref="B51:I51"/>
    <mergeCell ref="B52:I52"/>
    <mergeCell ref="B61:I61"/>
    <mergeCell ref="B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22"/>
    <col collapsed="false" customWidth="true" hidden="false" outlineLevel="0" max="4" min="3" style="2" width="8"/>
    <col collapsed="false" customWidth="true" hidden="false" outlineLevel="0" max="15" min="5" style="2" width="10"/>
    <col collapsed="false" customWidth="true" hidden="false" outlineLevel="0" max="16" min="16" style="2" width="3"/>
  </cols>
  <sheetData>
    <row r="1" customFormat="false" ht="36" hidden="false" customHeight="true" outlineLevel="0" collapsed="false">
      <c r="B1" s="193" t="s">
        <v>2825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</row>
    <row r="2" customFormat="false" ht="27.75" hidden="false" customHeight="true" outlineLevel="0" collapsed="false">
      <c r="B2" s="126" t="s">
        <v>2826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customFormat="false" ht="21.75" hidden="false" customHeight="true" outlineLevel="0" collapsed="false">
      <c r="B3" s="127" t="s">
        <v>2827</v>
      </c>
      <c r="C3" s="127" t="s">
        <v>312</v>
      </c>
      <c r="D3" s="127" t="s">
        <v>945</v>
      </c>
      <c r="E3" s="127" t="s">
        <v>2828</v>
      </c>
      <c r="F3" s="127" t="s">
        <v>2420</v>
      </c>
      <c r="G3" s="127" t="s">
        <v>2421</v>
      </c>
      <c r="H3" s="127" t="s">
        <v>2829</v>
      </c>
      <c r="I3" s="127" t="s">
        <v>735</v>
      </c>
      <c r="J3" s="127" t="s">
        <v>2830</v>
      </c>
      <c r="K3" s="127" t="s">
        <v>2831</v>
      </c>
      <c r="L3" s="127" t="s">
        <v>2832</v>
      </c>
      <c r="M3" s="127" t="s">
        <v>740</v>
      </c>
      <c r="N3" s="127" t="s">
        <v>743</v>
      </c>
      <c r="O3" s="127" t="s">
        <v>2833</v>
      </c>
      <c r="P3" s="127" t="s">
        <v>2646</v>
      </c>
    </row>
    <row r="4" customFormat="false" ht="19.5" hidden="false" customHeight="true" outlineLevel="0" collapsed="false">
      <c r="B4" s="52" t="s">
        <v>809</v>
      </c>
      <c r="C4" s="66" t="s">
        <v>711</v>
      </c>
      <c r="D4" s="53" t="s">
        <v>2834</v>
      </c>
      <c r="E4" s="130" t="n">
        <v>0</v>
      </c>
      <c r="F4" s="130" t="n">
        <v>0</v>
      </c>
      <c r="G4" s="130" t="n">
        <v>0</v>
      </c>
      <c r="H4" s="194" t="n">
        <f aca="false">IF(F4&gt;0,G4/F4,0)</f>
        <v>0</v>
      </c>
      <c r="I4" s="130" t="n">
        <v>0</v>
      </c>
      <c r="J4" s="130" t="n">
        <v>0</v>
      </c>
      <c r="K4" s="54" t="n">
        <f aca="false">IF(I4&gt;0,E4/I4,0)</f>
        <v>0</v>
      </c>
      <c r="L4" s="194" t="n">
        <f aca="false">IF(I4&gt;0,J4/I4,0)</f>
        <v>0</v>
      </c>
      <c r="M4" s="130" t="n">
        <v>0</v>
      </c>
      <c r="N4" s="54" t="n">
        <f aca="false">IF(M4&gt;0,E4/M4,0)</f>
        <v>0</v>
      </c>
      <c r="O4" s="130" t="n">
        <v>0</v>
      </c>
      <c r="P4" s="195" t="s">
        <v>2835</v>
      </c>
    </row>
    <row r="5" customFormat="false" ht="19.5" hidden="false" customHeight="true" outlineLevel="0" collapsed="false">
      <c r="B5" s="52" t="s">
        <v>2836</v>
      </c>
      <c r="C5" s="66" t="s">
        <v>711</v>
      </c>
      <c r="D5" s="53" t="s">
        <v>2837</v>
      </c>
      <c r="E5" s="130" t="n">
        <v>0</v>
      </c>
      <c r="F5" s="130" t="n">
        <v>0</v>
      </c>
      <c r="G5" s="130" t="n">
        <v>0</v>
      </c>
      <c r="H5" s="194" t="n">
        <f aca="false">IF(F5&gt;0,G5/F5,0)</f>
        <v>0</v>
      </c>
      <c r="I5" s="130" t="n">
        <v>0</v>
      </c>
      <c r="J5" s="130" t="n">
        <v>0</v>
      </c>
      <c r="K5" s="54" t="n">
        <f aca="false">IF(I5&gt;0,E5/I5,0)</f>
        <v>0</v>
      </c>
      <c r="L5" s="194" t="n">
        <f aca="false">IF(I5&gt;0,J5/I5,0)</f>
        <v>0</v>
      </c>
      <c r="M5" s="130" t="n">
        <v>0</v>
      </c>
      <c r="N5" s="54" t="n">
        <f aca="false">IF(M5&gt;0,E5/M5,0)</f>
        <v>0</v>
      </c>
      <c r="O5" s="130" t="n">
        <v>0</v>
      </c>
      <c r="P5" s="195" t="s">
        <v>2835</v>
      </c>
    </row>
    <row r="6" customFormat="false" ht="19.5" hidden="false" customHeight="true" outlineLevel="0" collapsed="false">
      <c r="B6" s="52" t="s">
        <v>813</v>
      </c>
      <c r="C6" s="66" t="s">
        <v>711</v>
      </c>
      <c r="D6" s="53" t="s">
        <v>2837</v>
      </c>
      <c r="E6" s="130" t="n">
        <v>0</v>
      </c>
      <c r="F6" s="130" t="n">
        <v>0</v>
      </c>
      <c r="G6" s="130" t="n">
        <v>0</v>
      </c>
      <c r="H6" s="194" t="n">
        <f aca="false">IF(F6&gt;0,G6/F6,0)</f>
        <v>0</v>
      </c>
      <c r="I6" s="130" t="n">
        <v>0</v>
      </c>
      <c r="J6" s="130" t="n">
        <v>0</v>
      </c>
      <c r="K6" s="54" t="n">
        <f aca="false">IF(I6&gt;0,E6/I6,0)</f>
        <v>0</v>
      </c>
      <c r="L6" s="194" t="n">
        <f aca="false">IF(I6&gt;0,J6/I6,0)</f>
        <v>0</v>
      </c>
      <c r="M6" s="130" t="n">
        <v>0</v>
      </c>
      <c r="N6" s="54" t="n">
        <f aca="false">IF(M6&gt;0,E6/M6,0)</f>
        <v>0</v>
      </c>
      <c r="O6" s="130" t="n">
        <v>0</v>
      </c>
      <c r="P6" s="195" t="s">
        <v>2835</v>
      </c>
    </row>
    <row r="7" customFormat="false" ht="19.5" hidden="false" customHeight="true" outlineLevel="0" collapsed="false">
      <c r="B7" s="52" t="s">
        <v>817</v>
      </c>
      <c r="C7" s="66" t="s">
        <v>711</v>
      </c>
      <c r="D7" s="53" t="s">
        <v>2837</v>
      </c>
      <c r="E7" s="130" t="n">
        <v>0</v>
      </c>
      <c r="F7" s="130" t="n">
        <v>0</v>
      </c>
      <c r="G7" s="130" t="n">
        <v>0</v>
      </c>
      <c r="H7" s="194" t="n">
        <f aca="false">IF(F7&gt;0,G7/F7,0)</f>
        <v>0</v>
      </c>
      <c r="I7" s="130" t="n">
        <v>0</v>
      </c>
      <c r="J7" s="130" t="n">
        <v>0</v>
      </c>
      <c r="K7" s="54" t="n">
        <f aca="false">IF(I7&gt;0,E7/I7,0)</f>
        <v>0</v>
      </c>
      <c r="L7" s="194" t="n">
        <f aca="false">IF(I7&gt;0,J7/I7,0)</f>
        <v>0</v>
      </c>
      <c r="M7" s="130" t="n">
        <v>0</v>
      </c>
      <c r="N7" s="54" t="n">
        <f aca="false">IF(M7&gt;0,E7/M7,0)</f>
        <v>0</v>
      </c>
      <c r="O7" s="130" t="n">
        <v>0</v>
      </c>
      <c r="P7" s="195" t="s">
        <v>2835</v>
      </c>
    </row>
    <row r="8" customFormat="false" ht="19.5" hidden="false" customHeight="true" outlineLevel="0" collapsed="false">
      <c r="B8" s="52" t="s">
        <v>823</v>
      </c>
      <c r="C8" s="66" t="s">
        <v>711</v>
      </c>
      <c r="D8" s="53" t="s">
        <v>2838</v>
      </c>
      <c r="E8" s="130" t="n">
        <v>0</v>
      </c>
      <c r="F8" s="130" t="n">
        <v>0</v>
      </c>
      <c r="G8" s="130" t="n">
        <v>0</v>
      </c>
      <c r="H8" s="194" t="n">
        <f aca="false">IF(F8&gt;0,G8/F8,0)</f>
        <v>0</v>
      </c>
      <c r="I8" s="130" t="n">
        <v>0</v>
      </c>
      <c r="J8" s="130" t="n">
        <v>0</v>
      </c>
      <c r="K8" s="54" t="n">
        <f aca="false">IF(I8&gt;0,E8/I8,0)</f>
        <v>0</v>
      </c>
      <c r="L8" s="194" t="n">
        <f aca="false">IF(I8&gt;0,J8/I8,0)</f>
        <v>0</v>
      </c>
      <c r="M8" s="130" t="n">
        <v>0</v>
      </c>
      <c r="N8" s="54" t="n">
        <f aca="false">IF(M8&gt;0,E8/M8,0)</f>
        <v>0</v>
      </c>
      <c r="O8" s="130" t="n">
        <v>0</v>
      </c>
      <c r="P8" s="195" t="s">
        <v>2835</v>
      </c>
    </row>
    <row r="9" customFormat="false" ht="19.5" hidden="false" customHeight="true" outlineLevel="0" collapsed="false">
      <c r="B9" s="52" t="s">
        <v>897</v>
      </c>
      <c r="C9" s="66" t="s">
        <v>711</v>
      </c>
      <c r="D9" s="53" t="s">
        <v>2838</v>
      </c>
      <c r="E9" s="130" t="n">
        <v>0</v>
      </c>
      <c r="F9" s="130" t="n">
        <v>0</v>
      </c>
      <c r="G9" s="130" t="n">
        <v>0</v>
      </c>
      <c r="H9" s="194" t="n">
        <f aca="false">IF(F9&gt;0,G9/F9,0)</f>
        <v>0</v>
      </c>
      <c r="I9" s="130" t="n">
        <v>0</v>
      </c>
      <c r="J9" s="130" t="n">
        <v>0</v>
      </c>
      <c r="K9" s="54" t="n">
        <f aca="false">IF(I9&gt;0,E9/I9,0)</f>
        <v>0</v>
      </c>
      <c r="L9" s="194" t="n">
        <f aca="false">IF(I9&gt;0,J9/I9,0)</f>
        <v>0</v>
      </c>
      <c r="M9" s="130" t="n">
        <v>0</v>
      </c>
      <c r="N9" s="54" t="n">
        <f aca="false">IF(M9&gt;0,E9/M9,0)</f>
        <v>0</v>
      </c>
      <c r="O9" s="130" t="n">
        <v>0</v>
      </c>
      <c r="P9" s="195" t="s">
        <v>2835</v>
      </c>
    </row>
    <row r="10" customFormat="false" ht="19.5" hidden="false" customHeight="true" outlineLevel="0" collapsed="false">
      <c r="B10" s="52" t="s">
        <v>826</v>
      </c>
      <c r="C10" s="66" t="s">
        <v>711</v>
      </c>
      <c r="D10" s="53" t="s">
        <v>2839</v>
      </c>
      <c r="E10" s="130" t="n">
        <v>0</v>
      </c>
      <c r="F10" s="130" t="n">
        <v>0</v>
      </c>
      <c r="G10" s="130" t="n">
        <v>0</v>
      </c>
      <c r="H10" s="194" t="n">
        <f aca="false">IF(F10&gt;0,G10/F10,0)</f>
        <v>0</v>
      </c>
      <c r="I10" s="130" t="n">
        <v>0</v>
      </c>
      <c r="J10" s="130" t="n">
        <v>0</v>
      </c>
      <c r="K10" s="54" t="n">
        <f aca="false">IF(I10&gt;0,E10/I10,0)</f>
        <v>0</v>
      </c>
      <c r="L10" s="194" t="n">
        <f aca="false">IF(I10&gt;0,J10/I10,0)</f>
        <v>0</v>
      </c>
      <c r="M10" s="130" t="n">
        <v>0</v>
      </c>
      <c r="N10" s="54" t="n">
        <f aca="false">IF(M10&gt;0,E10/M10,0)</f>
        <v>0</v>
      </c>
      <c r="O10" s="130" t="n">
        <v>0</v>
      </c>
      <c r="P10" s="195" t="s">
        <v>2835</v>
      </c>
    </row>
    <row r="11" customFormat="false" ht="19.5" hidden="false" customHeight="true" outlineLevel="0" collapsed="false">
      <c r="B11" s="52" t="s">
        <v>2840</v>
      </c>
      <c r="C11" s="66" t="s">
        <v>711</v>
      </c>
      <c r="D11" s="53" t="s">
        <v>2839</v>
      </c>
      <c r="E11" s="130" t="n">
        <v>0</v>
      </c>
      <c r="F11" s="130" t="n">
        <v>0</v>
      </c>
      <c r="G11" s="130" t="n">
        <v>0</v>
      </c>
      <c r="H11" s="194" t="n">
        <f aca="false">IF(F11&gt;0,G11/F11,0)</f>
        <v>0</v>
      </c>
      <c r="I11" s="130" t="n">
        <v>0</v>
      </c>
      <c r="J11" s="130" t="n">
        <v>0</v>
      </c>
      <c r="K11" s="54" t="n">
        <f aca="false">IF(I11&gt;0,E11/I11,0)</f>
        <v>0</v>
      </c>
      <c r="L11" s="194" t="n">
        <f aca="false">IF(I11&gt;0,J11/I11,0)</f>
        <v>0</v>
      </c>
      <c r="M11" s="130" t="n">
        <v>0</v>
      </c>
      <c r="N11" s="54" t="n">
        <f aca="false">IF(M11&gt;0,E11/M11,0)</f>
        <v>0</v>
      </c>
      <c r="O11" s="130" t="n">
        <v>0</v>
      </c>
      <c r="P11" s="195" t="s">
        <v>2835</v>
      </c>
    </row>
    <row r="12" customFormat="false" ht="19.5" hidden="false" customHeight="true" outlineLevel="0" collapsed="false">
      <c r="B12" s="52" t="s">
        <v>832</v>
      </c>
      <c r="C12" s="66" t="s">
        <v>711</v>
      </c>
      <c r="D12" s="53" t="s">
        <v>2841</v>
      </c>
      <c r="E12" s="130" t="n">
        <v>0</v>
      </c>
      <c r="F12" s="130" t="n">
        <v>0</v>
      </c>
      <c r="G12" s="130" t="n">
        <v>0</v>
      </c>
      <c r="H12" s="194" t="n">
        <f aca="false">IF(F12&gt;0,G12/F12,0)</f>
        <v>0</v>
      </c>
      <c r="I12" s="130" t="n">
        <v>0</v>
      </c>
      <c r="J12" s="130" t="n">
        <v>0</v>
      </c>
      <c r="K12" s="54" t="n">
        <f aca="false">IF(I12&gt;0,E12/I12,0)</f>
        <v>0</v>
      </c>
      <c r="L12" s="194" t="n">
        <f aca="false">IF(I12&gt;0,J12/I12,0)</f>
        <v>0</v>
      </c>
      <c r="M12" s="130" t="n">
        <v>0</v>
      </c>
      <c r="N12" s="54" t="n">
        <f aca="false">IF(M12&gt;0,E12/M12,0)</f>
        <v>0</v>
      </c>
      <c r="O12" s="130" t="n">
        <v>0</v>
      </c>
      <c r="P12" s="195" t="s">
        <v>2835</v>
      </c>
    </row>
    <row r="13" customFormat="false" ht="19.5" hidden="false" customHeight="true" outlineLevel="0" collapsed="false">
      <c r="B13" s="52" t="s">
        <v>835</v>
      </c>
      <c r="C13" s="66" t="s">
        <v>711</v>
      </c>
      <c r="D13" s="53" t="s">
        <v>2841</v>
      </c>
      <c r="E13" s="130" t="n">
        <v>0</v>
      </c>
      <c r="F13" s="130" t="n">
        <v>0</v>
      </c>
      <c r="G13" s="130" t="n">
        <v>0</v>
      </c>
      <c r="H13" s="194" t="n">
        <f aca="false">IF(F13&gt;0,G13/F13,0)</f>
        <v>0</v>
      </c>
      <c r="I13" s="130" t="n">
        <v>0</v>
      </c>
      <c r="J13" s="130" t="n">
        <v>0</v>
      </c>
      <c r="K13" s="54" t="n">
        <f aca="false">IF(I13&gt;0,E13/I13,0)</f>
        <v>0</v>
      </c>
      <c r="L13" s="194" t="n">
        <f aca="false">IF(I13&gt;0,J13/I13,0)</f>
        <v>0</v>
      </c>
      <c r="M13" s="130" t="n">
        <v>0</v>
      </c>
      <c r="N13" s="54" t="n">
        <f aca="false">IF(M13&gt;0,E13/M13,0)</f>
        <v>0</v>
      </c>
      <c r="O13" s="130" t="n">
        <v>0</v>
      </c>
      <c r="P13" s="195" t="s">
        <v>2835</v>
      </c>
    </row>
    <row r="14" customFormat="false" ht="19.5" hidden="false" customHeight="true" outlineLevel="0" collapsed="false">
      <c r="B14" s="52" t="s">
        <v>2842</v>
      </c>
      <c r="C14" s="66" t="s">
        <v>711</v>
      </c>
      <c r="D14" s="53" t="s">
        <v>2841</v>
      </c>
      <c r="E14" s="130" t="n">
        <v>0</v>
      </c>
      <c r="F14" s="130" t="n">
        <v>0</v>
      </c>
      <c r="G14" s="130" t="n">
        <v>0</v>
      </c>
      <c r="H14" s="194" t="n">
        <f aca="false">IF(F14&gt;0,G14/F14,0)</f>
        <v>0</v>
      </c>
      <c r="I14" s="130" t="n">
        <v>0</v>
      </c>
      <c r="J14" s="130" t="n">
        <v>0</v>
      </c>
      <c r="K14" s="54" t="n">
        <f aca="false">IF(I14&gt;0,E14/I14,0)</f>
        <v>0</v>
      </c>
      <c r="L14" s="194" t="n">
        <f aca="false">IF(I14&gt;0,J14/I14,0)</f>
        <v>0</v>
      </c>
      <c r="M14" s="130" t="n">
        <v>0</v>
      </c>
      <c r="N14" s="54" t="n">
        <f aca="false">IF(M14&gt;0,E14/M14,0)</f>
        <v>0</v>
      </c>
      <c r="O14" s="130" t="n">
        <v>0</v>
      </c>
      <c r="P14" s="195" t="s">
        <v>2835</v>
      </c>
    </row>
    <row r="15" customFormat="false" ht="19.5" hidden="false" customHeight="true" outlineLevel="0" collapsed="false">
      <c r="B15" s="52" t="s">
        <v>838</v>
      </c>
      <c r="C15" s="66" t="s">
        <v>711</v>
      </c>
      <c r="D15" s="53" t="s">
        <v>2843</v>
      </c>
      <c r="E15" s="130" t="n">
        <v>0</v>
      </c>
      <c r="F15" s="130" t="n">
        <v>0</v>
      </c>
      <c r="G15" s="130" t="n">
        <v>0</v>
      </c>
      <c r="H15" s="194" t="n">
        <f aca="false">IF(F15&gt;0,G15/F15,0)</f>
        <v>0</v>
      </c>
      <c r="I15" s="130" t="n">
        <v>0</v>
      </c>
      <c r="J15" s="130" t="n">
        <v>0</v>
      </c>
      <c r="K15" s="54" t="n">
        <f aca="false">IF(I15&gt;0,E15/I15,0)</f>
        <v>0</v>
      </c>
      <c r="L15" s="194" t="n">
        <f aca="false">IF(I15&gt;0,J15/I15,0)</f>
        <v>0</v>
      </c>
      <c r="M15" s="130" t="n">
        <v>0</v>
      </c>
      <c r="N15" s="54" t="n">
        <f aca="false">IF(M15&gt;0,E15/M15,0)</f>
        <v>0</v>
      </c>
      <c r="O15" s="130" t="n">
        <v>0</v>
      </c>
      <c r="P15" s="195" t="s">
        <v>2835</v>
      </c>
    </row>
    <row r="16" customFormat="false" ht="19.5" hidden="false" customHeight="true" outlineLevel="0" collapsed="false">
      <c r="B16" s="52" t="s">
        <v>841</v>
      </c>
      <c r="C16" s="66" t="s">
        <v>711</v>
      </c>
      <c r="D16" s="53" t="s">
        <v>2843</v>
      </c>
      <c r="E16" s="130" t="n">
        <v>0</v>
      </c>
      <c r="F16" s="130" t="n">
        <v>0</v>
      </c>
      <c r="G16" s="130" t="n">
        <v>0</v>
      </c>
      <c r="H16" s="194" t="n">
        <f aca="false">IF(F16&gt;0,G16/F16,0)</f>
        <v>0</v>
      </c>
      <c r="I16" s="130" t="n">
        <v>0</v>
      </c>
      <c r="J16" s="130" t="n">
        <v>0</v>
      </c>
      <c r="K16" s="54" t="n">
        <f aca="false">IF(I16&gt;0,E16/I16,0)</f>
        <v>0</v>
      </c>
      <c r="L16" s="194" t="n">
        <f aca="false">IF(I16&gt;0,J16/I16,0)</f>
        <v>0</v>
      </c>
      <c r="M16" s="130" t="n">
        <v>0</v>
      </c>
      <c r="N16" s="54" t="n">
        <f aca="false">IF(M16&gt;0,E16/M16,0)</f>
        <v>0</v>
      </c>
      <c r="O16" s="130" t="n">
        <v>0</v>
      </c>
      <c r="P16" s="195" t="s">
        <v>2835</v>
      </c>
    </row>
    <row r="17" customFormat="false" ht="19.5" hidden="false" customHeight="true" outlineLevel="0" collapsed="false">
      <c r="B17" s="52" t="s">
        <v>844</v>
      </c>
      <c r="C17" s="66" t="s">
        <v>711</v>
      </c>
      <c r="D17" s="53" t="s">
        <v>2843</v>
      </c>
      <c r="E17" s="130" t="n">
        <v>0</v>
      </c>
      <c r="F17" s="130" t="n">
        <v>0</v>
      </c>
      <c r="G17" s="130" t="n">
        <v>0</v>
      </c>
      <c r="H17" s="194" t="n">
        <f aca="false">IF(F17&gt;0,G17/F17,0)</f>
        <v>0</v>
      </c>
      <c r="I17" s="130" t="n">
        <v>0</v>
      </c>
      <c r="J17" s="130" t="n">
        <v>0</v>
      </c>
      <c r="K17" s="54" t="n">
        <f aca="false">IF(I17&gt;0,E17/I17,0)</f>
        <v>0</v>
      </c>
      <c r="L17" s="194" t="n">
        <f aca="false">IF(I17&gt;0,J17/I17,0)</f>
        <v>0</v>
      </c>
      <c r="M17" s="130" t="n">
        <v>0</v>
      </c>
      <c r="N17" s="54" t="n">
        <f aca="false">IF(M17&gt;0,E17/M17,0)</f>
        <v>0</v>
      </c>
      <c r="O17" s="130" t="n">
        <v>0</v>
      </c>
      <c r="P17" s="195" t="s">
        <v>2835</v>
      </c>
    </row>
    <row r="18" customFormat="false" ht="19.5" hidden="false" customHeight="true" outlineLevel="0" collapsed="false">
      <c r="B18" s="52" t="s">
        <v>2844</v>
      </c>
      <c r="C18" s="66" t="s">
        <v>711</v>
      </c>
      <c r="D18" s="53" t="s">
        <v>2843</v>
      </c>
      <c r="E18" s="130" t="n">
        <v>0</v>
      </c>
      <c r="F18" s="130" t="n">
        <v>0</v>
      </c>
      <c r="G18" s="130" t="n">
        <v>0</v>
      </c>
      <c r="H18" s="194" t="n">
        <f aca="false">IF(F18&gt;0,G18/F18,0)</f>
        <v>0</v>
      </c>
      <c r="I18" s="130" t="n">
        <v>0</v>
      </c>
      <c r="J18" s="130" t="n">
        <v>0</v>
      </c>
      <c r="K18" s="54" t="n">
        <f aca="false">IF(I18&gt;0,E18/I18,0)</f>
        <v>0</v>
      </c>
      <c r="L18" s="194" t="n">
        <f aca="false">IF(I18&gt;0,J18/I18,0)</f>
        <v>0</v>
      </c>
      <c r="M18" s="130" t="n">
        <v>0</v>
      </c>
      <c r="N18" s="54" t="n">
        <f aca="false">IF(M18&gt;0,E18/M18,0)</f>
        <v>0</v>
      </c>
      <c r="O18" s="130" t="n">
        <v>0</v>
      </c>
      <c r="P18" s="195" t="s">
        <v>2835</v>
      </c>
    </row>
    <row r="19" customFormat="false" ht="19.5" hidden="false" customHeight="true" outlineLevel="0" collapsed="false">
      <c r="B19" s="196" t="s">
        <v>856</v>
      </c>
      <c r="C19" s="197" t="s">
        <v>712</v>
      </c>
      <c r="D19" s="198" t="s">
        <v>1890</v>
      </c>
      <c r="E19" s="130" t="n">
        <v>0</v>
      </c>
      <c r="F19" s="130" t="n">
        <v>0</v>
      </c>
      <c r="G19" s="130" t="n">
        <v>0</v>
      </c>
      <c r="H19" s="194" t="n">
        <f aca="false">IF(F19&gt;0,G19/F19,0)</f>
        <v>0</v>
      </c>
      <c r="I19" s="130" t="n">
        <v>0</v>
      </c>
      <c r="J19" s="130" t="n">
        <v>0</v>
      </c>
      <c r="K19" s="54" t="n">
        <f aca="false">IF(I19&gt;0,E19/I19,0)</f>
        <v>0</v>
      </c>
      <c r="L19" s="194" t="n">
        <f aca="false">IF(I19&gt;0,J19/I19,0)</f>
        <v>0</v>
      </c>
      <c r="M19" s="130" t="n">
        <v>0</v>
      </c>
      <c r="N19" s="54" t="n">
        <f aca="false">IF(M19&gt;0,E19/M19,0)</f>
        <v>0</v>
      </c>
      <c r="O19" s="130" t="n">
        <v>0</v>
      </c>
      <c r="P19" s="195" t="s">
        <v>2835</v>
      </c>
    </row>
    <row r="20" customFormat="false" ht="19.5" hidden="false" customHeight="true" outlineLevel="0" collapsed="false">
      <c r="B20" s="196" t="s">
        <v>2845</v>
      </c>
      <c r="C20" s="197" t="s">
        <v>712</v>
      </c>
      <c r="D20" s="198" t="s">
        <v>1890</v>
      </c>
      <c r="E20" s="130" t="n">
        <v>0</v>
      </c>
      <c r="F20" s="130" t="n">
        <v>0</v>
      </c>
      <c r="G20" s="130" t="n">
        <v>0</v>
      </c>
      <c r="H20" s="194" t="n">
        <f aca="false">IF(F20&gt;0,G20/F20,0)</f>
        <v>0</v>
      </c>
      <c r="I20" s="130" t="n">
        <v>0</v>
      </c>
      <c r="J20" s="130" t="n">
        <v>0</v>
      </c>
      <c r="K20" s="54" t="n">
        <f aca="false">IF(I20&gt;0,E20/I20,0)</f>
        <v>0</v>
      </c>
      <c r="L20" s="194" t="n">
        <f aca="false">IF(I20&gt;0,J20/I20,0)</f>
        <v>0</v>
      </c>
      <c r="M20" s="130" t="n">
        <v>0</v>
      </c>
      <c r="N20" s="54" t="n">
        <f aca="false">IF(M20&gt;0,E20/M20,0)</f>
        <v>0</v>
      </c>
      <c r="O20" s="130" t="n">
        <v>0</v>
      </c>
      <c r="P20" s="195" t="s">
        <v>2835</v>
      </c>
    </row>
    <row r="21" customFormat="false" ht="19.5" hidden="false" customHeight="true" outlineLevel="0" collapsed="false">
      <c r="B21" s="196" t="s">
        <v>2846</v>
      </c>
      <c r="C21" s="197" t="s">
        <v>2847</v>
      </c>
      <c r="D21" s="198" t="s">
        <v>1890</v>
      </c>
      <c r="E21" s="130" t="n">
        <v>0</v>
      </c>
      <c r="F21" s="130" t="n">
        <v>0</v>
      </c>
      <c r="G21" s="130" t="n">
        <v>0</v>
      </c>
      <c r="H21" s="194" t="n">
        <f aca="false">IF(F21&gt;0,G21/F21,0)</f>
        <v>0</v>
      </c>
      <c r="I21" s="130" t="n">
        <v>0</v>
      </c>
      <c r="J21" s="130" t="n">
        <v>0</v>
      </c>
      <c r="K21" s="54" t="n">
        <f aca="false">IF(I21&gt;0,E21/I21,0)</f>
        <v>0</v>
      </c>
      <c r="L21" s="194" t="n">
        <f aca="false">IF(I21&gt;0,J21/I21,0)</f>
        <v>0</v>
      </c>
      <c r="M21" s="130" t="n">
        <v>0</v>
      </c>
      <c r="N21" s="54" t="n">
        <f aca="false">IF(M21&gt;0,E21/M21,0)</f>
        <v>0</v>
      </c>
      <c r="O21" s="130" t="n">
        <v>0</v>
      </c>
      <c r="P21" s="195" t="s">
        <v>2835</v>
      </c>
    </row>
    <row r="22" customFormat="false" ht="19.5" hidden="false" customHeight="true" outlineLevel="0" collapsed="false">
      <c r="B22" s="56" t="s">
        <v>2848</v>
      </c>
      <c r="C22" s="199" t="s">
        <v>2849</v>
      </c>
      <c r="D22" s="57" t="s">
        <v>2843</v>
      </c>
      <c r="E22" s="130" t="n">
        <v>0</v>
      </c>
      <c r="F22" s="130" t="n">
        <v>0</v>
      </c>
      <c r="G22" s="130" t="n">
        <v>0</v>
      </c>
      <c r="H22" s="194" t="n">
        <f aca="false">IF(F22&gt;0,G22/F22,0)</f>
        <v>0</v>
      </c>
      <c r="I22" s="130" t="n">
        <v>0</v>
      </c>
      <c r="J22" s="130" t="n">
        <v>0</v>
      </c>
      <c r="K22" s="54" t="n">
        <f aca="false">IF(I22&gt;0,E22/I22,0)</f>
        <v>0</v>
      </c>
      <c r="L22" s="194" t="n">
        <f aca="false">IF(I22&gt;0,J22/I22,0)</f>
        <v>0</v>
      </c>
      <c r="M22" s="130" t="n">
        <v>0</v>
      </c>
      <c r="N22" s="54" t="n">
        <f aca="false">IF(M22&gt;0,E22/M22,0)</f>
        <v>0</v>
      </c>
      <c r="O22" s="130" t="n">
        <v>0</v>
      </c>
      <c r="P22" s="195" t="s">
        <v>2835</v>
      </c>
    </row>
    <row r="23" customFormat="false" ht="19.5" hidden="false" customHeight="true" outlineLevel="0" collapsed="false">
      <c r="B23" s="12" t="s">
        <v>1164</v>
      </c>
      <c r="C23" s="200" t="s">
        <v>710</v>
      </c>
      <c r="D23" s="49" t="s">
        <v>2837</v>
      </c>
      <c r="E23" s="130" t="n">
        <v>0</v>
      </c>
      <c r="F23" s="130" t="n">
        <v>0</v>
      </c>
      <c r="G23" s="130" t="n">
        <v>0</v>
      </c>
      <c r="H23" s="194" t="n">
        <f aca="false">IF(F23&gt;0,G23/F23,0)</f>
        <v>0</v>
      </c>
      <c r="I23" s="130" t="n">
        <v>0</v>
      </c>
      <c r="J23" s="130" t="n">
        <v>0</v>
      </c>
      <c r="K23" s="54" t="n">
        <f aca="false">IF(I23&gt;0,E23/I23,0)</f>
        <v>0</v>
      </c>
      <c r="L23" s="194" t="n">
        <f aca="false">IF(I23&gt;0,J23/I23,0)</f>
        <v>0</v>
      </c>
      <c r="M23" s="130" t="n">
        <v>0</v>
      </c>
      <c r="N23" s="54" t="n">
        <f aca="false">IF(M23&gt;0,E23/M23,0)</f>
        <v>0</v>
      </c>
      <c r="O23" s="130" t="n">
        <v>0</v>
      </c>
      <c r="P23" s="195" t="s">
        <v>2835</v>
      </c>
    </row>
    <row r="24" customFormat="false" ht="19.5" hidden="false" customHeight="true" outlineLevel="0" collapsed="false">
      <c r="B24" s="12" t="s">
        <v>2850</v>
      </c>
      <c r="C24" s="200" t="s">
        <v>710</v>
      </c>
      <c r="D24" s="49" t="s">
        <v>2851</v>
      </c>
      <c r="E24" s="130" t="n">
        <v>0</v>
      </c>
      <c r="F24" s="130" t="n">
        <v>0</v>
      </c>
      <c r="G24" s="130" t="n">
        <v>0</v>
      </c>
      <c r="H24" s="194" t="n">
        <f aca="false">IF(F24&gt;0,G24/F24,0)</f>
        <v>0</v>
      </c>
      <c r="I24" s="130" t="n">
        <v>0</v>
      </c>
      <c r="J24" s="130" t="n">
        <v>0</v>
      </c>
      <c r="K24" s="54" t="n">
        <f aca="false">IF(I24&gt;0,E24/I24,0)</f>
        <v>0</v>
      </c>
      <c r="L24" s="194" t="n">
        <f aca="false">IF(I24&gt;0,J24/I24,0)</f>
        <v>0</v>
      </c>
      <c r="M24" s="130" t="n">
        <v>0</v>
      </c>
      <c r="N24" s="54" t="n">
        <f aca="false">IF(M24&gt;0,E24/M24,0)</f>
        <v>0</v>
      </c>
      <c r="O24" s="130" t="n">
        <v>0</v>
      </c>
      <c r="P24" s="195" t="s">
        <v>2835</v>
      </c>
    </row>
    <row r="25" customFormat="false" ht="19.5" hidden="false" customHeight="true" outlineLevel="0" collapsed="false">
      <c r="B25" s="12" t="s">
        <v>2852</v>
      </c>
      <c r="C25" s="200" t="s">
        <v>710</v>
      </c>
      <c r="D25" s="49" t="s">
        <v>2853</v>
      </c>
      <c r="E25" s="130" t="n">
        <v>0</v>
      </c>
      <c r="F25" s="130" t="n">
        <v>0</v>
      </c>
      <c r="G25" s="130" t="n">
        <v>0</v>
      </c>
      <c r="H25" s="194" t="n">
        <f aca="false">IF(F25&gt;0,G25/F25,0)</f>
        <v>0</v>
      </c>
      <c r="I25" s="130" t="n">
        <v>0</v>
      </c>
      <c r="J25" s="130" t="n">
        <v>0</v>
      </c>
      <c r="K25" s="54" t="n">
        <f aca="false">IF(I25&gt;0,E25/I25,0)</f>
        <v>0</v>
      </c>
      <c r="L25" s="194" t="n">
        <f aca="false">IF(I25&gt;0,J25/I25,0)</f>
        <v>0</v>
      </c>
      <c r="M25" s="130" t="n">
        <v>0</v>
      </c>
      <c r="N25" s="54" t="n">
        <f aca="false">IF(M25&gt;0,E25/M25,0)</f>
        <v>0</v>
      </c>
      <c r="O25" s="130" t="n">
        <v>0</v>
      </c>
      <c r="P25" s="195" t="s">
        <v>2835</v>
      </c>
    </row>
    <row r="26" customFormat="false" ht="19.5" hidden="false" customHeight="true" outlineLevel="0" collapsed="false">
      <c r="B26" s="12" t="s">
        <v>2854</v>
      </c>
      <c r="C26" s="200" t="s">
        <v>710</v>
      </c>
      <c r="D26" s="49" t="s">
        <v>2855</v>
      </c>
      <c r="E26" s="130" t="n">
        <v>0</v>
      </c>
      <c r="F26" s="130" t="n">
        <v>0</v>
      </c>
      <c r="G26" s="130" t="n">
        <v>0</v>
      </c>
      <c r="H26" s="194" t="n">
        <f aca="false">IF(F26&gt;0,G26/F26,0)</f>
        <v>0</v>
      </c>
      <c r="I26" s="130" t="n">
        <v>0</v>
      </c>
      <c r="J26" s="130" t="n">
        <v>0</v>
      </c>
      <c r="K26" s="54" t="n">
        <f aca="false">IF(I26&gt;0,E26/I26,0)</f>
        <v>0</v>
      </c>
      <c r="L26" s="194" t="n">
        <f aca="false">IF(I26&gt;0,J26/I26,0)</f>
        <v>0</v>
      </c>
      <c r="M26" s="130" t="n">
        <v>0</v>
      </c>
      <c r="N26" s="54" t="n">
        <f aca="false">IF(M26&gt;0,E26/M26,0)</f>
        <v>0</v>
      </c>
      <c r="O26" s="130" t="n">
        <v>0</v>
      </c>
      <c r="P26" s="195" t="s">
        <v>2835</v>
      </c>
    </row>
    <row r="27" customFormat="false" ht="19.5" hidden="false" customHeight="true" outlineLevel="0" collapsed="false">
      <c r="B27" s="12" t="s">
        <v>1174</v>
      </c>
      <c r="C27" s="200" t="s">
        <v>710</v>
      </c>
      <c r="D27" s="49" t="s">
        <v>2838</v>
      </c>
      <c r="E27" s="130" t="n">
        <v>0</v>
      </c>
      <c r="F27" s="130" t="n">
        <v>0</v>
      </c>
      <c r="G27" s="130" t="n">
        <v>0</v>
      </c>
      <c r="H27" s="194" t="n">
        <f aca="false">IF(F27&gt;0,G27/F27,0)</f>
        <v>0</v>
      </c>
      <c r="I27" s="130" t="n">
        <v>0</v>
      </c>
      <c r="J27" s="130" t="n">
        <v>0</v>
      </c>
      <c r="K27" s="54" t="n">
        <f aca="false">IF(I27&gt;0,E27/I27,0)</f>
        <v>0</v>
      </c>
      <c r="L27" s="194" t="n">
        <f aca="false">IF(I27&gt;0,J27/I27,0)</f>
        <v>0</v>
      </c>
      <c r="M27" s="130" t="n">
        <v>0</v>
      </c>
      <c r="N27" s="54" t="n">
        <f aca="false">IF(M27&gt;0,E27/M27,0)</f>
        <v>0</v>
      </c>
      <c r="O27" s="130" t="n">
        <v>0</v>
      </c>
      <c r="P27" s="195" t="s">
        <v>2835</v>
      </c>
    </row>
    <row r="28" customFormat="false" ht="19.5" hidden="false" customHeight="true" outlineLevel="0" collapsed="false">
      <c r="B28" s="12" t="s">
        <v>1178</v>
      </c>
      <c r="C28" s="200" t="s">
        <v>710</v>
      </c>
      <c r="D28" s="49" t="s">
        <v>2839</v>
      </c>
      <c r="E28" s="130" t="n">
        <v>0</v>
      </c>
      <c r="F28" s="130" t="n">
        <v>0</v>
      </c>
      <c r="G28" s="130" t="n">
        <v>0</v>
      </c>
      <c r="H28" s="194" t="n">
        <f aca="false">IF(F28&gt;0,G28/F28,0)</f>
        <v>0</v>
      </c>
      <c r="I28" s="130" t="n">
        <v>0</v>
      </c>
      <c r="J28" s="130" t="n">
        <v>0</v>
      </c>
      <c r="K28" s="54" t="n">
        <f aca="false">IF(I28&gt;0,E28/I28,0)</f>
        <v>0</v>
      </c>
      <c r="L28" s="194" t="n">
        <f aca="false">IF(I28&gt;0,J28/I28,0)</f>
        <v>0</v>
      </c>
      <c r="M28" s="130" t="n">
        <v>0</v>
      </c>
      <c r="N28" s="54" t="n">
        <f aca="false">IF(M28&gt;0,E28/M28,0)</f>
        <v>0</v>
      </c>
      <c r="O28" s="130" t="n">
        <v>0</v>
      </c>
      <c r="P28" s="195" t="s">
        <v>2835</v>
      </c>
    </row>
    <row r="29" customFormat="false" ht="19.5" hidden="false" customHeight="true" outlineLevel="0" collapsed="false">
      <c r="B29" s="12" t="s">
        <v>1273</v>
      </c>
      <c r="C29" s="200" t="s">
        <v>710</v>
      </c>
      <c r="D29" s="49" t="s">
        <v>2841</v>
      </c>
      <c r="E29" s="130" t="n">
        <v>0</v>
      </c>
      <c r="F29" s="130" t="n">
        <v>0</v>
      </c>
      <c r="G29" s="130" t="n">
        <v>0</v>
      </c>
      <c r="H29" s="194" t="n">
        <f aca="false">IF(F29&gt;0,G29/F29,0)</f>
        <v>0</v>
      </c>
      <c r="I29" s="130" t="n">
        <v>0</v>
      </c>
      <c r="J29" s="130" t="n">
        <v>0</v>
      </c>
      <c r="K29" s="54" t="n">
        <f aca="false">IF(I29&gt;0,E29/I29,0)</f>
        <v>0</v>
      </c>
      <c r="L29" s="194" t="n">
        <f aca="false">IF(I29&gt;0,J29/I29,0)</f>
        <v>0</v>
      </c>
      <c r="M29" s="130" t="n">
        <v>0</v>
      </c>
      <c r="N29" s="54" t="n">
        <f aca="false">IF(M29&gt;0,E29/M29,0)</f>
        <v>0</v>
      </c>
      <c r="O29" s="130" t="n">
        <v>0</v>
      </c>
      <c r="P29" s="195" t="s">
        <v>2835</v>
      </c>
    </row>
    <row r="30" customFormat="false" ht="19.5" hidden="false" customHeight="true" outlineLevel="0" collapsed="false">
      <c r="B30" s="12" t="s">
        <v>1280</v>
      </c>
      <c r="C30" s="200" t="s">
        <v>710</v>
      </c>
      <c r="D30" s="49" t="s">
        <v>2843</v>
      </c>
      <c r="E30" s="130" t="n">
        <v>0</v>
      </c>
      <c r="F30" s="130" t="n">
        <v>0</v>
      </c>
      <c r="G30" s="130" t="n">
        <v>0</v>
      </c>
      <c r="H30" s="194" t="n">
        <f aca="false">IF(F30&gt;0,G30/F30,0)</f>
        <v>0</v>
      </c>
      <c r="I30" s="130" t="n">
        <v>0</v>
      </c>
      <c r="J30" s="130" t="n">
        <v>0</v>
      </c>
      <c r="K30" s="54" t="n">
        <f aca="false">IF(I30&gt;0,E30/I30,0)</f>
        <v>0</v>
      </c>
      <c r="L30" s="194" t="n">
        <f aca="false">IF(I30&gt;0,J30/I30,0)</f>
        <v>0</v>
      </c>
      <c r="M30" s="130" t="n">
        <v>0</v>
      </c>
      <c r="N30" s="54" t="n">
        <f aca="false">IF(M30&gt;0,E30/M30,0)</f>
        <v>0</v>
      </c>
      <c r="O30" s="130" t="n">
        <v>0</v>
      </c>
      <c r="P30" s="195" t="s">
        <v>2835</v>
      </c>
    </row>
    <row r="31" customFormat="false" ht="19.5" hidden="false" customHeight="true" outlineLevel="0" collapsed="false">
      <c r="B31" s="12" t="s">
        <v>2856</v>
      </c>
      <c r="C31" s="200" t="s">
        <v>710</v>
      </c>
      <c r="D31" s="49" t="s">
        <v>2843</v>
      </c>
      <c r="E31" s="130" t="n">
        <v>0</v>
      </c>
      <c r="F31" s="130" t="n">
        <v>0</v>
      </c>
      <c r="G31" s="130" t="n">
        <v>0</v>
      </c>
      <c r="H31" s="194" t="n">
        <f aca="false">IF(F31&gt;0,G31/F31,0)</f>
        <v>0</v>
      </c>
      <c r="I31" s="130" t="n">
        <v>0</v>
      </c>
      <c r="J31" s="130" t="n">
        <v>0</v>
      </c>
      <c r="K31" s="54" t="n">
        <f aca="false">IF(I31&gt;0,E31/I31,0)</f>
        <v>0</v>
      </c>
      <c r="L31" s="194" t="n">
        <f aca="false">IF(I31&gt;0,J31/I31,0)</f>
        <v>0</v>
      </c>
      <c r="M31" s="130" t="n">
        <v>0</v>
      </c>
      <c r="N31" s="54" t="n">
        <f aca="false">IF(M31&gt;0,E31/M31,0)</f>
        <v>0</v>
      </c>
      <c r="O31" s="130" t="n">
        <v>0</v>
      </c>
      <c r="P31" s="195" t="s">
        <v>2835</v>
      </c>
    </row>
    <row r="32" customFormat="false" ht="19.5" hidden="false" customHeight="true" outlineLevel="0" collapsed="false">
      <c r="B32" s="12" t="s">
        <v>2857</v>
      </c>
      <c r="C32" s="200" t="s">
        <v>710</v>
      </c>
      <c r="D32" s="49" t="s">
        <v>1890</v>
      </c>
      <c r="E32" s="130" t="n">
        <v>0</v>
      </c>
      <c r="F32" s="130" t="n">
        <v>0</v>
      </c>
      <c r="G32" s="130" t="n">
        <v>0</v>
      </c>
      <c r="H32" s="194" t="n">
        <f aca="false">IF(F32&gt;0,G32/F32,0)</f>
        <v>0</v>
      </c>
      <c r="I32" s="130" t="n">
        <v>0</v>
      </c>
      <c r="J32" s="130" t="n">
        <v>0</v>
      </c>
      <c r="K32" s="54" t="n">
        <f aca="false">IF(I32&gt;0,E32/I32,0)</f>
        <v>0</v>
      </c>
      <c r="L32" s="194" t="n">
        <f aca="false">IF(I32&gt;0,J32/I32,0)</f>
        <v>0</v>
      </c>
      <c r="M32" s="130" t="n">
        <v>0</v>
      </c>
      <c r="N32" s="54" t="n">
        <f aca="false">IF(M32&gt;0,E32/M32,0)</f>
        <v>0</v>
      </c>
      <c r="O32" s="130" t="n">
        <v>0</v>
      </c>
      <c r="P32" s="195" t="s">
        <v>2835</v>
      </c>
    </row>
    <row r="33" customFormat="false" ht="19.5" hidden="false" customHeight="true" outlineLevel="0" collapsed="false">
      <c r="B33" s="12" t="s">
        <v>2858</v>
      </c>
      <c r="C33" s="200" t="s">
        <v>710</v>
      </c>
      <c r="D33" s="49" t="s">
        <v>1890</v>
      </c>
      <c r="E33" s="130" t="n">
        <v>0</v>
      </c>
      <c r="F33" s="130" t="n">
        <v>0</v>
      </c>
      <c r="G33" s="130" t="n">
        <v>0</v>
      </c>
      <c r="H33" s="194" t="n">
        <f aca="false">IF(F33&gt;0,G33/F33,0)</f>
        <v>0</v>
      </c>
      <c r="I33" s="130" t="n">
        <v>0</v>
      </c>
      <c r="J33" s="130" t="n">
        <v>0</v>
      </c>
      <c r="K33" s="54" t="n">
        <f aca="false">IF(I33&gt;0,E33/I33,0)</f>
        <v>0</v>
      </c>
      <c r="L33" s="194" t="n">
        <f aca="false">IF(I33&gt;0,J33/I33,0)</f>
        <v>0</v>
      </c>
      <c r="M33" s="130" t="n">
        <v>0</v>
      </c>
      <c r="N33" s="54" t="n">
        <f aca="false">IF(M33&gt;0,E33/M33,0)</f>
        <v>0</v>
      </c>
      <c r="O33" s="130" t="n">
        <v>0</v>
      </c>
      <c r="P33" s="195" t="s">
        <v>2835</v>
      </c>
    </row>
    <row r="34" customFormat="false" ht="19.5" hidden="false" customHeight="true" outlineLevel="0" collapsed="false">
      <c r="B34" s="201" t="s">
        <v>1406</v>
      </c>
      <c r="C34" s="202" t="s">
        <v>713</v>
      </c>
      <c r="D34" s="203" t="s">
        <v>2859</v>
      </c>
      <c r="E34" s="130" t="n">
        <v>0</v>
      </c>
      <c r="F34" s="130" t="n">
        <v>0</v>
      </c>
      <c r="G34" s="130" t="n">
        <v>0</v>
      </c>
      <c r="H34" s="194" t="n">
        <f aca="false">IF(F34&gt;0,G34/F34,0)</f>
        <v>0</v>
      </c>
      <c r="I34" s="130" t="n">
        <v>0</v>
      </c>
      <c r="J34" s="130" t="n">
        <v>0</v>
      </c>
      <c r="K34" s="54" t="n">
        <f aca="false">IF(I34&gt;0,E34/I34,0)</f>
        <v>0</v>
      </c>
      <c r="L34" s="194" t="n">
        <f aca="false">IF(I34&gt;0,J34/I34,0)</f>
        <v>0</v>
      </c>
      <c r="M34" s="130" t="n">
        <v>0</v>
      </c>
      <c r="N34" s="54" t="n">
        <f aca="false">IF(M34&gt;0,E34/M34,0)</f>
        <v>0</v>
      </c>
      <c r="O34" s="130" t="n">
        <v>0</v>
      </c>
      <c r="P34" s="195" t="s">
        <v>2835</v>
      </c>
    </row>
    <row r="35" customFormat="false" ht="19.5" hidden="false" customHeight="true" outlineLevel="0" collapsed="false">
      <c r="B35" s="201" t="s">
        <v>2860</v>
      </c>
      <c r="C35" s="202" t="s">
        <v>713</v>
      </c>
      <c r="D35" s="203" t="s">
        <v>2861</v>
      </c>
      <c r="E35" s="130" t="n">
        <v>0</v>
      </c>
      <c r="F35" s="130" t="n">
        <v>0</v>
      </c>
      <c r="G35" s="130" t="n">
        <v>0</v>
      </c>
      <c r="H35" s="194" t="n">
        <f aca="false">IF(F35&gt;0,G35/F35,0)</f>
        <v>0</v>
      </c>
      <c r="I35" s="130" t="n">
        <v>0</v>
      </c>
      <c r="J35" s="130" t="n">
        <v>0</v>
      </c>
      <c r="K35" s="54" t="n">
        <f aca="false">IF(I35&gt;0,E35/I35,0)</f>
        <v>0</v>
      </c>
      <c r="L35" s="194" t="n">
        <f aca="false">IF(I35&gt;0,J35/I35,0)</f>
        <v>0</v>
      </c>
      <c r="M35" s="130" t="n">
        <v>0</v>
      </c>
      <c r="N35" s="54" t="n">
        <f aca="false">IF(M35&gt;0,E35/M35,0)</f>
        <v>0</v>
      </c>
      <c r="O35" s="130" t="n">
        <v>0</v>
      </c>
      <c r="P35" s="195" t="s">
        <v>2835</v>
      </c>
    </row>
    <row r="36" customFormat="false" ht="19.5" hidden="false" customHeight="true" outlineLevel="0" collapsed="false">
      <c r="B36" s="201" t="s">
        <v>2862</v>
      </c>
      <c r="C36" s="202" t="s">
        <v>713</v>
      </c>
      <c r="D36" s="203" t="s">
        <v>2841</v>
      </c>
      <c r="E36" s="130" t="n">
        <v>0</v>
      </c>
      <c r="F36" s="130" t="n">
        <v>0</v>
      </c>
      <c r="G36" s="130" t="n">
        <v>0</v>
      </c>
      <c r="H36" s="194" t="n">
        <f aca="false">IF(F36&gt;0,G36/F36,0)</f>
        <v>0</v>
      </c>
      <c r="I36" s="130" t="n">
        <v>0</v>
      </c>
      <c r="J36" s="130" t="n">
        <v>0</v>
      </c>
      <c r="K36" s="54" t="n">
        <f aca="false">IF(I36&gt;0,E36/I36,0)</f>
        <v>0</v>
      </c>
      <c r="L36" s="194" t="n">
        <f aca="false">IF(I36&gt;0,J36/I36,0)</f>
        <v>0</v>
      </c>
      <c r="M36" s="130" t="n">
        <v>0</v>
      </c>
      <c r="N36" s="54" t="n">
        <f aca="false">IF(M36&gt;0,E36/M36,0)</f>
        <v>0</v>
      </c>
      <c r="O36" s="130" t="n">
        <v>0</v>
      </c>
      <c r="P36" s="195" t="s">
        <v>2835</v>
      </c>
    </row>
    <row r="37" customFormat="false" ht="19.5" hidden="false" customHeight="true" outlineLevel="0" collapsed="false">
      <c r="B37" s="201" t="s">
        <v>1413</v>
      </c>
      <c r="C37" s="202" t="s">
        <v>713</v>
      </c>
      <c r="D37" s="203" t="s">
        <v>2843</v>
      </c>
      <c r="E37" s="130" t="n">
        <v>0</v>
      </c>
      <c r="F37" s="130" t="n">
        <v>0</v>
      </c>
      <c r="G37" s="130" t="n">
        <v>0</v>
      </c>
      <c r="H37" s="194" t="n">
        <f aca="false">IF(F37&gt;0,G37/F37,0)</f>
        <v>0</v>
      </c>
      <c r="I37" s="130" t="n">
        <v>0</v>
      </c>
      <c r="J37" s="130" t="n">
        <v>0</v>
      </c>
      <c r="K37" s="54" t="n">
        <f aca="false">IF(I37&gt;0,E37/I37,0)</f>
        <v>0</v>
      </c>
      <c r="L37" s="194" t="n">
        <f aca="false">IF(I37&gt;0,J37/I37,0)</f>
        <v>0</v>
      </c>
      <c r="M37" s="130" t="n">
        <v>0</v>
      </c>
      <c r="N37" s="54" t="n">
        <f aca="false">IF(M37&gt;0,E37/M37,0)</f>
        <v>0</v>
      </c>
      <c r="O37" s="130" t="n">
        <v>0</v>
      </c>
      <c r="P37" s="195" t="s">
        <v>2835</v>
      </c>
    </row>
    <row r="38" customFormat="false" ht="19.5" hidden="false" customHeight="true" outlineLevel="0" collapsed="false">
      <c r="B38" s="201" t="s">
        <v>2863</v>
      </c>
      <c r="C38" s="202" t="s">
        <v>713</v>
      </c>
      <c r="D38" s="203" t="s">
        <v>2843</v>
      </c>
      <c r="E38" s="130" t="n">
        <v>0</v>
      </c>
      <c r="F38" s="130" t="n">
        <v>0</v>
      </c>
      <c r="G38" s="130" t="n">
        <v>0</v>
      </c>
      <c r="H38" s="194" t="n">
        <f aca="false">IF(F38&gt;0,G38/F38,0)</f>
        <v>0</v>
      </c>
      <c r="I38" s="130" t="n">
        <v>0</v>
      </c>
      <c r="J38" s="130" t="n">
        <v>0</v>
      </c>
      <c r="K38" s="54" t="n">
        <f aca="false">IF(I38&gt;0,E38/I38,0)</f>
        <v>0</v>
      </c>
      <c r="L38" s="194" t="n">
        <f aca="false">IF(I38&gt;0,J38/I38,0)</f>
        <v>0</v>
      </c>
      <c r="M38" s="130" t="n">
        <v>0</v>
      </c>
      <c r="N38" s="54" t="n">
        <f aca="false">IF(M38&gt;0,E38/M38,0)</f>
        <v>0</v>
      </c>
      <c r="O38" s="130" t="n">
        <v>0</v>
      </c>
      <c r="P38" s="195" t="s">
        <v>2835</v>
      </c>
    </row>
    <row r="39" customFormat="false" ht="19.5" hidden="false" customHeight="true" outlineLevel="0" collapsed="false">
      <c r="B39" s="34" t="s">
        <v>2041</v>
      </c>
      <c r="C39" s="204" t="s">
        <v>714</v>
      </c>
      <c r="D39" s="38" t="s">
        <v>2859</v>
      </c>
      <c r="E39" s="130" t="n">
        <v>0</v>
      </c>
      <c r="F39" s="130" t="n">
        <v>0</v>
      </c>
      <c r="G39" s="130" t="n">
        <v>0</v>
      </c>
      <c r="H39" s="194" t="n">
        <f aca="false">IF(F39&gt;0,G39/F39,0)</f>
        <v>0</v>
      </c>
      <c r="I39" s="130" t="n">
        <v>0</v>
      </c>
      <c r="J39" s="130" t="n">
        <v>0</v>
      </c>
      <c r="K39" s="54" t="n">
        <f aca="false">IF(I39&gt;0,E39/I39,0)</f>
        <v>0</v>
      </c>
      <c r="L39" s="194" t="n">
        <f aca="false">IF(I39&gt;0,J39/I39,0)</f>
        <v>0</v>
      </c>
      <c r="M39" s="130" t="n">
        <v>0</v>
      </c>
      <c r="N39" s="54" t="n">
        <f aca="false">IF(M39&gt;0,E39/M39,0)</f>
        <v>0</v>
      </c>
      <c r="O39" s="130" t="n">
        <v>0</v>
      </c>
      <c r="P39" s="195" t="s">
        <v>2835</v>
      </c>
    </row>
    <row r="40" customFormat="false" ht="19.5" hidden="false" customHeight="true" outlineLevel="0" collapsed="false">
      <c r="B40" s="34" t="s">
        <v>2047</v>
      </c>
      <c r="C40" s="204" t="s">
        <v>714</v>
      </c>
      <c r="D40" s="38" t="s">
        <v>2861</v>
      </c>
      <c r="E40" s="130" t="n">
        <v>0</v>
      </c>
      <c r="F40" s="130" t="n">
        <v>0</v>
      </c>
      <c r="G40" s="130" t="n">
        <v>0</v>
      </c>
      <c r="H40" s="194" t="n">
        <f aca="false">IF(F40&gt;0,G40/F40,0)</f>
        <v>0</v>
      </c>
      <c r="I40" s="130" t="n">
        <v>0</v>
      </c>
      <c r="J40" s="130" t="n">
        <v>0</v>
      </c>
      <c r="K40" s="54" t="n">
        <f aca="false">IF(I40&gt;0,E40/I40,0)</f>
        <v>0</v>
      </c>
      <c r="L40" s="194" t="n">
        <f aca="false">IF(I40&gt;0,J40/I40,0)</f>
        <v>0</v>
      </c>
      <c r="M40" s="130" t="n">
        <v>0</v>
      </c>
      <c r="N40" s="54" t="n">
        <f aca="false">IF(M40&gt;0,E40/M40,0)</f>
        <v>0</v>
      </c>
      <c r="O40" s="130" t="n">
        <v>0</v>
      </c>
      <c r="P40" s="195" t="s">
        <v>2835</v>
      </c>
    </row>
    <row r="41" customFormat="false" ht="19.5" hidden="false" customHeight="true" outlineLevel="0" collapsed="false">
      <c r="B41" s="34" t="s">
        <v>2864</v>
      </c>
      <c r="C41" s="204" t="s">
        <v>714</v>
      </c>
      <c r="D41" s="38" t="s">
        <v>2841</v>
      </c>
      <c r="E41" s="130" t="n">
        <v>0</v>
      </c>
      <c r="F41" s="130" t="n">
        <v>0</v>
      </c>
      <c r="G41" s="130" t="n">
        <v>0</v>
      </c>
      <c r="H41" s="194" t="n">
        <f aca="false">IF(F41&gt;0,G41/F41,0)</f>
        <v>0</v>
      </c>
      <c r="I41" s="130" t="n">
        <v>0</v>
      </c>
      <c r="J41" s="130" t="n">
        <v>0</v>
      </c>
      <c r="K41" s="54" t="n">
        <f aca="false">IF(I41&gt;0,E41/I41,0)</f>
        <v>0</v>
      </c>
      <c r="L41" s="194" t="n">
        <f aca="false">IF(I41&gt;0,J41/I41,0)</f>
        <v>0</v>
      </c>
      <c r="M41" s="130" t="n">
        <v>0</v>
      </c>
      <c r="N41" s="54" t="n">
        <f aca="false">IF(M41&gt;0,E41/M41,0)</f>
        <v>0</v>
      </c>
      <c r="O41" s="130" t="n">
        <v>0</v>
      </c>
      <c r="P41" s="195" t="s">
        <v>2835</v>
      </c>
    </row>
    <row r="42" customFormat="false" ht="19.5" hidden="false" customHeight="true" outlineLevel="0" collapsed="false">
      <c r="B42" s="34" t="s">
        <v>2865</v>
      </c>
      <c r="C42" s="204" t="s">
        <v>714</v>
      </c>
      <c r="D42" s="38" t="s">
        <v>2843</v>
      </c>
      <c r="E42" s="130" t="n">
        <v>0</v>
      </c>
      <c r="F42" s="130" t="n">
        <v>0</v>
      </c>
      <c r="G42" s="130" t="n">
        <v>0</v>
      </c>
      <c r="H42" s="194" t="n">
        <f aca="false">IF(F42&gt;0,G42/F42,0)</f>
        <v>0</v>
      </c>
      <c r="I42" s="130" t="n">
        <v>0</v>
      </c>
      <c r="J42" s="130" t="n">
        <v>0</v>
      </c>
      <c r="K42" s="54" t="n">
        <f aca="false">IF(I42&gt;0,E42/I42,0)</f>
        <v>0</v>
      </c>
      <c r="L42" s="194" t="n">
        <f aca="false">IF(I42&gt;0,J42/I42,0)</f>
        <v>0</v>
      </c>
      <c r="M42" s="130" t="n">
        <v>0</v>
      </c>
      <c r="N42" s="54" t="n">
        <f aca="false">IF(M42&gt;0,E42/M42,0)</f>
        <v>0</v>
      </c>
      <c r="O42" s="130" t="n">
        <v>0</v>
      </c>
      <c r="P42" s="195" t="s">
        <v>2835</v>
      </c>
    </row>
    <row r="43" customFormat="false" ht="24" hidden="false" customHeight="true" outlineLevel="0" collapsed="false">
      <c r="B43" s="205" t="s">
        <v>2866</v>
      </c>
      <c r="E43" s="206" t="n">
        <f aca="false">SUM(E4:E42)</f>
        <v>0</v>
      </c>
      <c r="F43" s="206" t="n">
        <f aca="false">SUM(F4:F42)</f>
        <v>0</v>
      </c>
      <c r="G43" s="206" t="n">
        <f aca="false">SUM(G4:G42)</f>
        <v>0</v>
      </c>
      <c r="I43" s="206" t="n">
        <f aca="false">SUM(I4:I42)</f>
        <v>0</v>
      </c>
      <c r="J43" s="206" t="n">
        <f aca="false">SUM(J4:J42)</f>
        <v>0</v>
      </c>
      <c r="M43" s="206" t="n">
        <f aca="false">SUM(M4:M42)</f>
        <v>0</v>
      </c>
      <c r="O43" s="206" t="n">
        <f aca="false">SUM(O4:O42)</f>
        <v>0</v>
      </c>
    </row>
  </sheetData>
  <mergeCells count="2">
    <mergeCell ref="B1:P1"/>
    <mergeCell ref="B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22"/>
    <col collapsed="false" customWidth="true" hidden="false" outlineLevel="0" max="4" min="3" style="2" width="15"/>
    <col collapsed="false" customWidth="true" hidden="false" outlineLevel="0" max="8" min="5" style="2" width="14"/>
    <col collapsed="false" customWidth="true" hidden="false" outlineLevel="0" max="9" min="9" style="2" width="3"/>
  </cols>
  <sheetData>
    <row r="1" customFormat="false" ht="36" hidden="false" customHeight="true" outlineLevel="0" collapsed="false">
      <c r="B1" s="125" t="s">
        <v>2867</v>
      </c>
      <c r="C1" s="125"/>
      <c r="D1" s="125"/>
      <c r="E1" s="125"/>
      <c r="F1" s="125"/>
      <c r="G1" s="125"/>
      <c r="H1" s="125"/>
      <c r="I1" s="125"/>
    </row>
    <row r="2" customFormat="false" ht="25.5" hidden="false" customHeight="true" outlineLevel="0" collapsed="false">
      <c r="B2" s="207" t="s">
        <v>2868</v>
      </c>
      <c r="C2" s="207"/>
      <c r="D2" s="207"/>
      <c r="E2" s="207"/>
      <c r="F2" s="207"/>
      <c r="G2" s="207"/>
      <c r="H2" s="207"/>
      <c r="I2" s="207"/>
    </row>
    <row r="4" customFormat="false" ht="24" hidden="false" customHeight="true" outlineLevel="0" collapsed="false">
      <c r="B4" s="139" t="s">
        <v>2869</v>
      </c>
      <c r="C4" s="139"/>
      <c r="D4" s="139"/>
      <c r="E4" s="139"/>
      <c r="F4" s="139"/>
      <c r="G4" s="139"/>
      <c r="H4" s="139"/>
      <c r="I4" s="139"/>
    </row>
    <row r="5" customFormat="false" ht="19.5" hidden="false" customHeight="true" outlineLevel="0" collapsed="false">
      <c r="B5" s="208" t="s">
        <v>378</v>
      </c>
      <c r="C5" s="208" t="s">
        <v>2870</v>
      </c>
      <c r="D5" s="208" t="s">
        <v>2871</v>
      </c>
      <c r="E5" s="208" t="s">
        <v>1984</v>
      </c>
      <c r="F5" s="208" t="s">
        <v>148</v>
      </c>
      <c r="G5" s="208" t="s">
        <v>2872</v>
      </c>
      <c r="H5" s="208" t="s">
        <v>2873</v>
      </c>
    </row>
    <row r="6" customFormat="false" ht="21.75" hidden="false" customHeight="true" outlineLevel="0" collapsed="false">
      <c r="B6" s="12" t="s">
        <v>1990</v>
      </c>
      <c r="C6" s="209" t="n">
        <v>0.1</v>
      </c>
      <c r="D6" s="210" t="n">
        <v>323000000</v>
      </c>
      <c r="E6" s="211" t="s">
        <v>2874</v>
      </c>
      <c r="F6" s="212" t="s">
        <v>2875</v>
      </c>
      <c r="G6" s="50" t="n">
        <v>450</v>
      </c>
      <c r="H6" s="50" t="n">
        <v>135</v>
      </c>
      <c r="I6" s="19"/>
    </row>
    <row r="7" customFormat="false" ht="21.75" hidden="false" customHeight="true" outlineLevel="0" collapsed="false">
      <c r="B7" s="20" t="s">
        <v>1994</v>
      </c>
      <c r="C7" s="30" t="n">
        <v>0.2</v>
      </c>
      <c r="D7" s="213" t="n">
        <v>646000000</v>
      </c>
      <c r="E7" s="32" t="s">
        <v>2876</v>
      </c>
      <c r="F7" s="214" t="s">
        <v>2877</v>
      </c>
      <c r="G7" s="31" t="n">
        <v>900</v>
      </c>
      <c r="H7" s="31" t="n">
        <v>270</v>
      </c>
      <c r="I7" s="27"/>
    </row>
    <row r="8" customFormat="false" ht="21.75" hidden="false" customHeight="true" outlineLevel="0" collapsed="false">
      <c r="B8" s="12" t="s">
        <v>1998</v>
      </c>
      <c r="C8" s="209" t="n">
        <v>0.26</v>
      </c>
      <c r="D8" s="210" t="n">
        <v>839800000</v>
      </c>
      <c r="E8" s="211" t="s">
        <v>2878</v>
      </c>
      <c r="F8" s="212" t="s">
        <v>2879</v>
      </c>
      <c r="G8" s="50" t="n">
        <v>1100</v>
      </c>
      <c r="H8" s="50" t="n">
        <v>330</v>
      </c>
      <c r="I8" s="19"/>
    </row>
    <row r="9" customFormat="false" ht="21.75" hidden="false" customHeight="true" outlineLevel="0" collapsed="false">
      <c r="B9" s="20" t="s">
        <v>2002</v>
      </c>
      <c r="C9" s="30" t="n">
        <v>0.24</v>
      </c>
      <c r="D9" s="213" t="n">
        <v>775200000</v>
      </c>
      <c r="E9" s="32" t="s">
        <v>2880</v>
      </c>
      <c r="F9" s="214" t="s">
        <v>2881</v>
      </c>
      <c r="G9" s="31" t="n">
        <v>1000</v>
      </c>
      <c r="H9" s="31" t="n">
        <v>300</v>
      </c>
      <c r="I9" s="27"/>
    </row>
    <row r="10" customFormat="false" ht="21.75" hidden="false" customHeight="true" outlineLevel="0" collapsed="false">
      <c r="B10" s="12" t="s">
        <v>2005</v>
      </c>
      <c r="C10" s="209" t="n">
        <v>0.14</v>
      </c>
      <c r="D10" s="210" t="n">
        <v>452200000</v>
      </c>
      <c r="E10" s="211" t="s">
        <v>2006</v>
      </c>
      <c r="F10" s="212" t="s">
        <v>2882</v>
      </c>
      <c r="G10" s="50" t="n">
        <v>600</v>
      </c>
      <c r="H10" s="50" t="n">
        <v>180</v>
      </c>
      <c r="I10" s="19"/>
    </row>
    <row r="11" customFormat="false" ht="21.75" hidden="false" customHeight="true" outlineLevel="0" collapsed="false">
      <c r="B11" s="20" t="s">
        <v>2009</v>
      </c>
      <c r="C11" s="30" t="n">
        <v>0.06</v>
      </c>
      <c r="D11" s="213" t="n">
        <v>193800000</v>
      </c>
      <c r="E11" s="32" t="s">
        <v>2883</v>
      </c>
      <c r="F11" s="214" t="s">
        <v>2884</v>
      </c>
      <c r="G11" s="31" t="n">
        <v>200</v>
      </c>
      <c r="H11" s="31" t="n">
        <v>60</v>
      </c>
      <c r="I11" s="27"/>
    </row>
    <row r="12" customFormat="false" ht="24" hidden="false" customHeight="true" outlineLevel="0" collapsed="false">
      <c r="B12" s="215" t="s">
        <v>642</v>
      </c>
      <c r="C12" s="216" t="n">
        <v>1</v>
      </c>
      <c r="D12" s="217" t="n">
        <v>3230000000</v>
      </c>
      <c r="E12" s="218"/>
      <c r="F12" s="218"/>
      <c r="G12" s="217" t="n">
        <f aca="false">SUM(G6:G11)</f>
        <v>4250</v>
      </c>
      <c r="H12" s="217" t="n">
        <f aca="false">SUM(H6:H11)</f>
        <v>1275</v>
      </c>
      <c r="I12" s="218"/>
    </row>
    <row r="14" customFormat="false" ht="24" hidden="false" customHeight="true" outlineLevel="0" collapsed="false">
      <c r="B14" s="139" t="s">
        <v>2885</v>
      </c>
      <c r="C14" s="139"/>
      <c r="D14" s="139"/>
      <c r="E14" s="139"/>
      <c r="F14" s="139"/>
      <c r="G14" s="139"/>
      <c r="H14" s="139"/>
      <c r="I14" s="139"/>
    </row>
    <row r="15" customFormat="false" ht="19.5" hidden="false" customHeight="true" outlineLevel="0" collapsed="false">
      <c r="B15" s="208" t="s">
        <v>808</v>
      </c>
      <c r="C15" s="208" t="s">
        <v>1158</v>
      </c>
      <c r="D15" s="208" t="s">
        <v>1159</v>
      </c>
      <c r="E15" s="208" t="s">
        <v>1160</v>
      </c>
      <c r="F15" s="208" t="s">
        <v>1161</v>
      </c>
      <c r="G15" s="208" t="s">
        <v>1162</v>
      </c>
      <c r="H15" s="208" t="s">
        <v>2886</v>
      </c>
    </row>
    <row r="16" customFormat="false" ht="27.75" hidden="false" customHeight="true" outlineLevel="0" collapsed="false">
      <c r="B16" s="12" t="s">
        <v>1164</v>
      </c>
      <c r="C16" s="219" t="s">
        <v>1426</v>
      </c>
      <c r="D16" s="219" t="s">
        <v>2887</v>
      </c>
      <c r="E16" s="219" t="s">
        <v>2888</v>
      </c>
      <c r="F16" s="219" t="n">
        <v>134583333</v>
      </c>
      <c r="G16" s="210" t="s">
        <v>1168</v>
      </c>
      <c r="H16" s="219" t="s">
        <v>2889</v>
      </c>
      <c r="I16" s="19"/>
    </row>
    <row r="17" customFormat="false" ht="27.75" hidden="false" customHeight="true" outlineLevel="0" collapsed="false">
      <c r="B17" s="20" t="s">
        <v>2850</v>
      </c>
      <c r="C17" s="163" t="s">
        <v>1426</v>
      </c>
      <c r="D17" s="163" t="s">
        <v>2890</v>
      </c>
      <c r="E17" s="163" t="s">
        <v>2891</v>
      </c>
      <c r="F17" s="163" t="n">
        <v>40416667</v>
      </c>
      <c r="G17" s="213" t="s">
        <v>2892</v>
      </c>
      <c r="H17" s="163" t="s">
        <v>2893</v>
      </c>
      <c r="I17" s="27"/>
    </row>
    <row r="18" customFormat="false" ht="27.75" hidden="false" customHeight="true" outlineLevel="0" collapsed="false">
      <c r="B18" s="12" t="s">
        <v>2852</v>
      </c>
      <c r="C18" s="219" t="s">
        <v>1426</v>
      </c>
      <c r="D18" s="219" t="s">
        <v>2894</v>
      </c>
      <c r="E18" s="219" t="s">
        <v>2895</v>
      </c>
      <c r="F18" s="219" t="n">
        <v>40416667</v>
      </c>
      <c r="G18" s="210" t="s">
        <v>2896</v>
      </c>
      <c r="H18" s="219" t="s">
        <v>2893</v>
      </c>
      <c r="I18" s="19"/>
    </row>
    <row r="19" customFormat="false" ht="27.75" hidden="false" customHeight="true" outlineLevel="0" collapsed="false">
      <c r="B19" s="20" t="s">
        <v>2854</v>
      </c>
      <c r="C19" s="163" t="s">
        <v>1426</v>
      </c>
      <c r="D19" s="163" t="s">
        <v>2897</v>
      </c>
      <c r="E19" s="163" t="s">
        <v>2898</v>
      </c>
      <c r="F19" s="163" t="n">
        <v>40416667</v>
      </c>
      <c r="G19" s="213" t="s">
        <v>2899</v>
      </c>
      <c r="H19" s="163" t="s">
        <v>2900</v>
      </c>
      <c r="I19" s="27"/>
    </row>
    <row r="20" customFormat="false" ht="27.75" hidden="false" customHeight="true" outlineLevel="0" collapsed="false">
      <c r="B20" s="12" t="s">
        <v>1174</v>
      </c>
      <c r="C20" s="219" t="s">
        <v>1426</v>
      </c>
      <c r="D20" s="219" t="s">
        <v>2901</v>
      </c>
      <c r="E20" s="219" t="s">
        <v>2902</v>
      </c>
      <c r="F20" s="219" t="n">
        <v>100416667</v>
      </c>
      <c r="G20" s="210" t="s">
        <v>2903</v>
      </c>
      <c r="H20" s="219" t="s">
        <v>2904</v>
      </c>
      <c r="I20" s="19"/>
    </row>
    <row r="21" customFormat="false" ht="27.75" hidden="false" customHeight="true" outlineLevel="0" collapsed="false">
      <c r="B21" s="20" t="s">
        <v>1178</v>
      </c>
      <c r="C21" s="163" t="s">
        <v>1426</v>
      </c>
      <c r="D21" s="163" t="s">
        <v>2905</v>
      </c>
      <c r="E21" s="163" t="s">
        <v>2906</v>
      </c>
      <c r="F21" s="163" t="n">
        <v>100416667</v>
      </c>
      <c r="G21" s="213" t="s">
        <v>2907</v>
      </c>
      <c r="H21" s="163" t="s">
        <v>2904</v>
      </c>
      <c r="I21" s="27"/>
    </row>
    <row r="22" customFormat="false" ht="27.75" hidden="false" customHeight="true" outlineLevel="0" collapsed="false">
      <c r="B22" s="12" t="s">
        <v>2908</v>
      </c>
      <c r="C22" s="219" t="s">
        <v>1426</v>
      </c>
      <c r="D22" s="219" t="s">
        <v>2909</v>
      </c>
      <c r="E22" s="219" t="s">
        <v>2910</v>
      </c>
      <c r="F22" s="219" t="n">
        <v>60833333</v>
      </c>
      <c r="G22" s="210" t="s">
        <v>2911</v>
      </c>
      <c r="H22" s="219" t="s">
        <v>2893</v>
      </c>
      <c r="I22" s="19"/>
    </row>
    <row r="23" customFormat="false" ht="27.75" hidden="false" customHeight="true" outlineLevel="0" collapsed="false">
      <c r="B23" s="20" t="s">
        <v>1267</v>
      </c>
      <c r="C23" s="163" t="s">
        <v>1426</v>
      </c>
      <c r="D23" s="163" t="s">
        <v>2912</v>
      </c>
      <c r="E23" s="163" t="s">
        <v>2913</v>
      </c>
      <c r="F23" s="163" t="n">
        <v>154166667</v>
      </c>
      <c r="G23" s="213" t="s">
        <v>1189</v>
      </c>
      <c r="H23" s="163" t="s">
        <v>2914</v>
      </c>
      <c r="I23" s="27"/>
    </row>
    <row r="24" customFormat="false" ht="27.75" hidden="false" customHeight="true" outlineLevel="0" collapsed="false">
      <c r="B24" s="12" t="s">
        <v>1273</v>
      </c>
      <c r="C24" s="219" t="s">
        <v>1165</v>
      </c>
      <c r="D24" s="219" t="s">
        <v>2915</v>
      </c>
      <c r="E24" s="219" t="s">
        <v>2916</v>
      </c>
      <c r="F24" s="219" t="n">
        <v>50000000</v>
      </c>
      <c r="G24" s="210" t="s">
        <v>2917</v>
      </c>
      <c r="H24" s="219" t="s">
        <v>2918</v>
      </c>
      <c r="I24" s="19"/>
    </row>
    <row r="25" customFormat="false" ht="27.75" hidden="false" customHeight="true" outlineLevel="0" collapsed="false">
      <c r="B25" s="20" t="s">
        <v>1280</v>
      </c>
      <c r="C25" s="163" t="s">
        <v>1426</v>
      </c>
      <c r="D25" s="163" t="s">
        <v>2919</v>
      </c>
      <c r="E25" s="163" t="s">
        <v>2920</v>
      </c>
      <c r="F25" s="163" t="n">
        <v>270583333</v>
      </c>
      <c r="G25" s="213" t="s">
        <v>1194</v>
      </c>
      <c r="H25" s="163" t="s">
        <v>2921</v>
      </c>
      <c r="I25" s="27"/>
    </row>
    <row r="26" customFormat="false" ht="27.75" hidden="false" customHeight="true" outlineLevel="0" collapsed="false">
      <c r="B26" s="12" t="s">
        <v>2856</v>
      </c>
      <c r="C26" s="219" t="s">
        <v>1165</v>
      </c>
      <c r="D26" s="219" t="s">
        <v>2922</v>
      </c>
      <c r="E26" s="219" t="s">
        <v>2923</v>
      </c>
      <c r="F26" s="219" t="n">
        <v>90000000</v>
      </c>
      <c r="G26" s="210" t="s">
        <v>2917</v>
      </c>
      <c r="H26" s="219" t="s">
        <v>2918</v>
      </c>
      <c r="I26" s="19"/>
    </row>
    <row r="27" customFormat="false" ht="27.75" hidden="false" customHeight="true" outlineLevel="0" collapsed="false">
      <c r="B27" s="20" t="s">
        <v>1286</v>
      </c>
      <c r="C27" s="163" t="s">
        <v>1426</v>
      </c>
      <c r="D27" s="163" t="s">
        <v>2924</v>
      </c>
      <c r="E27" s="163" t="s">
        <v>2925</v>
      </c>
      <c r="F27" s="163" t="n">
        <v>50000000</v>
      </c>
      <c r="G27" s="213" t="s">
        <v>2926</v>
      </c>
      <c r="H27" s="163" t="s">
        <v>2659</v>
      </c>
      <c r="I27" s="27"/>
    </row>
    <row r="28" customFormat="false" ht="27.75" hidden="false" customHeight="true" outlineLevel="0" collapsed="false">
      <c r="B28" s="12" t="s">
        <v>1292</v>
      </c>
      <c r="C28" s="219" t="s">
        <v>1186</v>
      </c>
      <c r="D28" s="219" t="s">
        <v>2927</v>
      </c>
      <c r="E28" s="219" t="s">
        <v>2928</v>
      </c>
      <c r="F28" s="219" t="n">
        <v>150000000</v>
      </c>
      <c r="G28" s="210" t="s">
        <v>2929</v>
      </c>
      <c r="H28" s="219" t="s">
        <v>638</v>
      </c>
      <c r="I28" s="19"/>
    </row>
    <row r="29" customFormat="false" ht="27.75" hidden="false" customHeight="true" outlineLevel="0" collapsed="false">
      <c r="B29" s="20" t="s">
        <v>1387</v>
      </c>
      <c r="C29" s="163" t="s">
        <v>1186</v>
      </c>
      <c r="D29" s="163" t="s">
        <v>2930</v>
      </c>
      <c r="E29" s="163" t="s">
        <v>2931</v>
      </c>
      <c r="F29" s="163" t="n">
        <v>100000000</v>
      </c>
      <c r="G29" s="213" t="s">
        <v>2932</v>
      </c>
      <c r="H29" s="163" t="s">
        <v>2933</v>
      </c>
      <c r="I29" s="27"/>
    </row>
    <row r="30" customFormat="false" ht="27.75" hidden="false" customHeight="true" outlineLevel="0" collapsed="false">
      <c r="B30" s="12" t="s">
        <v>2934</v>
      </c>
      <c r="C30" s="219" t="s">
        <v>253</v>
      </c>
      <c r="D30" s="219" t="s">
        <v>2935</v>
      </c>
      <c r="E30" s="219" t="s">
        <v>2936</v>
      </c>
      <c r="F30" s="219" t="n">
        <v>50000000</v>
      </c>
      <c r="G30" s="210" t="s">
        <v>1528</v>
      </c>
      <c r="H30" s="219" t="s">
        <v>2937</v>
      </c>
      <c r="I30" s="19"/>
    </row>
    <row r="31" customFormat="false" ht="27.75" hidden="false" customHeight="true" outlineLevel="0" collapsed="false">
      <c r="B31" s="20" t="s">
        <v>1299</v>
      </c>
      <c r="C31" s="163" t="s">
        <v>253</v>
      </c>
      <c r="D31" s="163" t="s">
        <v>2938</v>
      </c>
      <c r="E31" s="163" t="s">
        <v>2939</v>
      </c>
      <c r="F31" s="163" t="n">
        <v>150000000</v>
      </c>
      <c r="G31" s="213" t="s">
        <v>428</v>
      </c>
      <c r="H31" s="163" t="s">
        <v>2940</v>
      </c>
      <c r="I31" s="27"/>
    </row>
    <row r="34" customFormat="false" ht="24" hidden="false" customHeight="true" outlineLevel="0" collapsed="false">
      <c r="B34" s="139" t="s">
        <v>2941</v>
      </c>
      <c r="C34" s="139"/>
      <c r="D34" s="139"/>
      <c r="E34" s="139"/>
      <c r="F34" s="139"/>
      <c r="G34" s="139"/>
      <c r="H34" s="139"/>
      <c r="I34" s="139"/>
    </row>
    <row r="35" customFormat="false" ht="19.5" hidden="false" customHeight="true" outlineLevel="0" collapsed="false">
      <c r="B35" s="220" t="s">
        <v>621</v>
      </c>
      <c r="C35" s="220" t="s">
        <v>1990</v>
      </c>
      <c r="D35" s="220" t="s">
        <v>1994</v>
      </c>
      <c r="E35" s="220" t="s">
        <v>1998</v>
      </c>
      <c r="F35" s="220" t="s">
        <v>2002</v>
      </c>
      <c r="G35" s="220" t="s">
        <v>2005</v>
      </c>
      <c r="H35" s="220" t="s">
        <v>2009</v>
      </c>
    </row>
    <row r="36" customFormat="false" ht="19.5" hidden="false" customHeight="true" outlineLevel="0" collapsed="false">
      <c r="B36" s="12" t="s">
        <v>2942</v>
      </c>
      <c r="C36" s="50" t="n">
        <v>150000</v>
      </c>
      <c r="D36" s="50" t="n">
        <v>135000</v>
      </c>
      <c r="E36" s="50" t="n">
        <v>120000</v>
      </c>
      <c r="F36" s="50" t="n">
        <v>120000</v>
      </c>
      <c r="G36" s="50" t="n">
        <v>130000</v>
      </c>
      <c r="H36" s="50" t="n">
        <v>150000</v>
      </c>
      <c r="I36" s="19"/>
    </row>
    <row r="37" customFormat="false" ht="19.5" hidden="false" customHeight="true" outlineLevel="0" collapsed="false">
      <c r="B37" s="20" t="s">
        <v>2943</v>
      </c>
      <c r="C37" s="33" t="s">
        <v>2944</v>
      </c>
      <c r="D37" s="33" t="s">
        <v>2945</v>
      </c>
      <c r="E37" s="33" t="s">
        <v>2946</v>
      </c>
      <c r="F37" s="33" t="s">
        <v>2946</v>
      </c>
      <c r="G37" s="33" t="s">
        <v>2945</v>
      </c>
      <c r="H37" s="33" t="s">
        <v>2944</v>
      </c>
      <c r="I37" s="27"/>
    </row>
    <row r="38" customFormat="false" ht="19.5" hidden="false" customHeight="true" outlineLevel="0" collapsed="false">
      <c r="B38" s="12" t="s">
        <v>2947</v>
      </c>
      <c r="C38" s="50" t="n">
        <v>80000</v>
      </c>
      <c r="D38" s="50" t="n">
        <v>75000</v>
      </c>
      <c r="E38" s="50" t="n">
        <v>70000</v>
      </c>
      <c r="F38" s="50" t="n">
        <v>70000</v>
      </c>
      <c r="G38" s="50" t="n">
        <v>75000</v>
      </c>
      <c r="H38" s="50" t="n">
        <v>80000</v>
      </c>
      <c r="I38" s="19"/>
    </row>
    <row r="39" customFormat="false" ht="19.5" hidden="false" customHeight="true" outlineLevel="0" collapsed="false">
      <c r="B39" s="20" t="s">
        <v>2948</v>
      </c>
      <c r="C39" s="31" t="n">
        <v>450</v>
      </c>
      <c r="D39" s="31" t="n">
        <v>900</v>
      </c>
      <c r="E39" s="31" t="n">
        <v>1100</v>
      </c>
      <c r="F39" s="31" t="n">
        <v>1000</v>
      </c>
      <c r="G39" s="31" t="n">
        <v>600</v>
      </c>
      <c r="H39" s="31" t="n">
        <v>200</v>
      </c>
      <c r="I39" s="27"/>
    </row>
    <row r="40" customFormat="false" ht="19.5" hidden="false" customHeight="true" outlineLevel="0" collapsed="false">
      <c r="B40" s="12" t="s">
        <v>2429</v>
      </c>
      <c r="C40" s="49" t="s">
        <v>2949</v>
      </c>
      <c r="D40" s="49" t="s">
        <v>2950</v>
      </c>
      <c r="E40" s="49" t="s">
        <v>2951</v>
      </c>
      <c r="F40" s="49" t="s">
        <v>2951</v>
      </c>
      <c r="G40" s="49" t="s">
        <v>2952</v>
      </c>
      <c r="H40" s="49" t="s">
        <v>2950</v>
      </c>
      <c r="I40" s="19"/>
    </row>
    <row r="41" customFormat="false" ht="19.5" hidden="false" customHeight="true" outlineLevel="0" collapsed="false">
      <c r="B41" s="20" t="s">
        <v>2953</v>
      </c>
      <c r="C41" s="31" t="n">
        <v>90</v>
      </c>
      <c r="D41" s="31" t="n">
        <v>180</v>
      </c>
      <c r="E41" s="31" t="n">
        <v>220</v>
      </c>
      <c r="F41" s="31" t="n">
        <v>200</v>
      </c>
      <c r="G41" s="31" t="n">
        <v>120</v>
      </c>
      <c r="H41" s="31" t="n">
        <v>40</v>
      </c>
      <c r="I41" s="27"/>
    </row>
    <row r="42" customFormat="false" ht="19.5" hidden="false" customHeight="true" outlineLevel="0" collapsed="false">
      <c r="B42" s="12" t="s">
        <v>2954</v>
      </c>
      <c r="C42" s="50" t="n">
        <v>1800000</v>
      </c>
      <c r="D42" s="50" t="n">
        <v>1500000</v>
      </c>
      <c r="E42" s="50" t="n">
        <v>1200000</v>
      </c>
      <c r="F42" s="50" t="n">
        <v>1200000</v>
      </c>
      <c r="G42" s="50" t="n">
        <v>1500000</v>
      </c>
      <c r="H42" s="50" t="n">
        <v>2000000</v>
      </c>
      <c r="I42" s="19"/>
    </row>
  </sheetData>
  <mergeCells count="5">
    <mergeCell ref="B1:I1"/>
    <mergeCell ref="B2:I2"/>
    <mergeCell ref="B4:I4"/>
    <mergeCell ref="B14:I14"/>
    <mergeCell ref="B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24"/>
    <col collapsed="false" customWidth="true" hidden="false" outlineLevel="0" max="8" min="3" style="2" width="14"/>
    <col collapsed="false" customWidth="true" hidden="false" outlineLevel="0" max="9" min="9" style="2" width="3"/>
  </cols>
  <sheetData>
    <row r="1" customFormat="false" ht="36" hidden="false" customHeight="true" outlineLevel="0" collapsed="false">
      <c r="B1" s="193" t="s">
        <v>2955</v>
      </c>
      <c r="C1" s="193"/>
      <c r="D1" s="193"/>
      <c r="E1" s="193"/>
      <c r="F1" s="193"/>
      <c r="G1" s="193"/>
      <c r="H1" s="193"/>
      <c r="I1" s="193"/>
    </row>
    <row r="2" customFormat="false" ht="25.5" hidden="false" customHeight="true" outlineLevel="0" collapsed="false">
      <c r="B2" s="221" t="s">
        <v>2956</v>
      </c>
      <c r="C2" s="221"/>
      <c r="D2" s="221"/>
      <c r="E2" s="221"/>
      <c r="F2" s="221"/>
      <c r="G2" s="221"/>
      <c r="H2" s="221"/>
      <c r="I2" s="221"/>
    </row>
    <row r="4" customFormat="false" ht="24" hidden="false" customHeight="true" outlineLevel="0" collapsed="false">
      <c r="B4" s="128" t="s">
        <v>2957</v>
      </c>
      <c r="C4" s="128"/>
      <c r="D4" s="128"/>
      <c r="E4" s="128"/>
      <c r="F4" s="128"/>
      <c r="G4" s="128"/>
      <c r="H4" s="128"/>
      <c r="I4" s="128"/>
    </row>
    <row r="5" customFormat="false" ht="19.5" hidden="false" customHeight="true" outlineLevel="0" collapsed="false">
      <c r="B5" s="220" t="s">
        <v>378</v>
      </c>
      <c r="C5" s="220" t="s">
        <v>2958</v>
      </c>
      <c r="D5" s="220" t="s">
        <v>2959</v>
      </c>
      <c r="E5" s="220" t="s">
        <v>2960</v>
      </c>
      <c r="F5" s="220" t="s">
        <v>2961</v>
      </c>
      <c r="G5" s="220" t="s">
        <v>1984</v>
      </c>
      <c r="H5" s="220" t="s">
        <v>2872</v>
      </c>
    </row>
    <row r="6" customFormat="false" ht="19.5" hidden="false" customHeight="true" outlineLevel="0" collapsed="false">
      <c r="B6" s="52" t="s">
        <v>2962</v>
      </c>
      <c r="C6" s="222" t="n">
        <v>60000000</v>
      </c>
      <c r="D6" s="54" t="n">
        <v>15000000</v>
      </c>
      <c r="E6" s="223" t="s">
        <v>428</v>
      </c>
      <c r="F6" s="224" t="n">
        <v>75000000</v>
      </c>
      <c r="G6" s="225" t="s">
        <v>2963</v>
      </c>
      <c r="H6" s="54" t="n">
        <v>80</v>
      </c>
      <c r="I6" s="226"/>
    </row>
    <row r="7" customFormat="false" ht="19.5" hidden="false" customHeight="true" outlineLevel="0" collapsed="false">
      <c r="B7" s="20" t="s">
        <v>1990</v>
      </c>
      <c r="C7" s="21" t="n">
        <v>220000000</v>
      </c>
      <c r="D7" s="31" t="n">
        <v>55000000</v>
      </c>
      <c r="E7" s="24" t="s">
        <v>428</v>
      </c>
      <c r="F7" s="213" t="n">
        <v>275000000</v>
      </c>
      <c r="G7" s="32" t="s">
        <v>2964</v>
      </c>
      <c r="H7" s="31" t="n">
        <v>250</v>
      </c>
      <c r="I7" s="27"/>
    </row>
    <row r="8" customFormat="false" ht="19.5" hidden="false" customHeight="true" outlineLevel="0" collapsed="false">
      <c r="B8" s="52" t="s">
        <v>1994</v>
      </c>
      <c r="C8" s="222" t="n">
        <v>365000000</v>
      </c>
      <c r="D8" s="54" t="n">
        <v>91000000</v>
      </c>
      <c r="E8" s="223" t="s">
        <v>428</v>
      </c>
      <c r="F8" s="224" t="n">
        <v>456000000</v>
      </c>
      <c r="G8" s="225" t="s">
        <v>2965</v>
      </c>
      <c r="H8" s="54" t="n">
        <v>430</v>
      </c>
      <c r="I8" s="226"/>
    </row>
    <row r="9" customFormat="false" ht="19.5" hidden="false" customHeight="true" outlineLevel="0" collapsed="false">
      <c r="B9" s="20" t="s">
        <v>1998</v>
      </c>
      <c r="C9" s="21" t="n">
        <v>430000000</v>
      </c>
      <c r="D9" s="31" t="n">
        <v>107000000</v>
      </c>
      <c r="E9" s="227" t="n">
        <v>11000000</v>
      </c>
      <c r="F9" s="213" t="n">
        <v>548000000</v>
      </c>
      <c r="G9" s="32" t="s">
        <v>2966</v>
      </c>
      <c r="H9" s="31" t="n">
        <v>510</v>
      </c>
      <c r="I9" s="27"/>
    </row>
    <row r="10" customFormat="false" ht="19.5" hidden="false" customHeight="true" outlineLevel="0" collapsed="false">
      <c r="B10" s="52" t="s">
        <v>2002</v>
      </c>
      <c r="C10" s="222" t="n">
        <v>388000000</v>
      </c>
      <c r="D10" s="54" t="n">
        <v>97000000</v>
      </c>
      <c r="E10" s="228" t="n">
        <v>22000000</v>
      </c>
      <c r="F10" s="224" t="n">
        <v>507000000</v>
      </c>
      <c r="G10" s="225" t="s">
        <v>2967</v>
      </c>
      <c r="H10" s="54" t="n">
        <v>470</v>
      </c>
      <c r="I10" s="226"/>
    </row>
    <row r="11" customFormat="false" ht="19.5" hidden="false" customHeight="true" outlineLevel="0" collapsed="false">
      <c r="B11" s="20" t="s">
        <v>2005</v>
      </c>
      <c r="C11" s="21" t="n">
        <v>164000000</v>
      </c>
      <c r="D11" s="31" t="n">
        <v>41000000</v>
      </c>
      <c r="E11" s="24" t="s">
        <v>428</v>
      </c>
      <c r="F11" s="213" t="n">
        <v>205000000</v>
      </c>
      <c r="G11" s="32" t="s">
        <v>2968</v>
      </c>
      <c r="H11" s="31" t="n">
        <v>190</v>
      </c>
      <c r="I11" s="27"/>
    </row>
    <row r="12" customFormat="false" ht="19.5" hidden="false" customHeight="true" outlineLevel="0" collapsed="false">
      <c r="B12" s="52" t="s">
        <v>2009</v>
      </c>
      <c r="C12" s="222" t="n">
        <v>73000000</v>
      </c>
      <c r="D12" s="54" t="n">
        <v>18000000</v>
      </c>
      <c r="E12" s="223" t="s">
        <v>428</v>
      </c>
      <c r="F12" s="224" t="n">
        <v>91000000</v>
      </c>
      <c r="G12" s="225" t="s">
        <v>2969</v>
      </c>
      <c r="H12" s="54" t="n">
        <v>80</v>
      </c>
      <c r="I12" s="226"/>
    </row>
    <row r="13" customFormat="false" ht="24" hidden="false" customHeight="true" outlineLevel="0" collapsed="false">
      <c r="B13" s="229" t="s">
        <v>642</v>
      </c>
      <c r="C13" s="230" t="n">
        <f aca="false">SUM(C6:C12)</f>
        <v>1700000000</v>
      </c>
      <c r="D13" s="230" t="n">
        <f aca="false">SUM(D6:D12)</f>
        <v>424000000</v>
      </c>
      <c r="E13" s="231"/>
      <c r="F13" s="230" t="n">
        <f aca="false">SUM(F6:F12)</f>
        <v>2157000000</v>
      </c>
      <c r="G13" s="231"/>
      <c r="H13" s="230" t="n">
        <f aca="false">SUM(H6:H12)</f>
        <v>2010</v>
      </c>
      <c r="I13" s="231"/>
    </row>
    <row r="15" customFormat="false" ht="24" hidden="false" customHeight="true" outlineLevel="0" collapsed="false">
      <c r="B15" s="128" t="s">
        <v>2970</v>
      </c>
      <c r="C15" s="128"/>
      <c r="D15" s="128"/>
      <c r="E15" s="128"/>
      <c r="F15" s="128"/>
      <c r="G15" s="128"/>
      <c r="H15" s="128"/>
      <c r="I15" s="128"/>
    </row>
    <row r="16" customFormat="false" ht="15" hidden="false" customHeight="true" outlineLevel="0" collapsed="false">
      <c r="B16" s="220" t="s">
        <v>621</v>
      </c>
      <c r="C16" s="220" t="s">
        <v>2971</v>
      </c>
      <c r="D16" s="220" t="s">
        <v>2972</v>
      </c>
      <c r="E16" s="220" t="s">
        <v>2973</v>
      </c>
      <c r="F16" s="220" t="s">
        <v>2974</v>
      </c>
      <c r="G16" s="220" t="s">
        <v>2975</v>
      </c>
      <c r="H16" s="220" t="s">
        <v>2976</v>
      </c>
    </row>
    <row r="17" customFormat="false" ht="19.5" hidden="false" customHeight="true" outlineLevel="0" collapsed="false">
      <c r="B17" s="52" t="s">
        <v>2977</v>
      </c>
      <c r="C17" s="53" t="s">
        <v>2978</v>
      </c>
      <c r="D17" s="53" t="s">
        <v>2979</v>
      </c>
      <c r="E17" s="53" t="s">
        <v>506</v>
      </c>
      <c r="F17" s="53" t="s">
        <v>506</v>
      </c>
      <c r="G17" s="53" t="s">
        <v>2979</v>
      </c>
      <c r="H17" s="53" t="s">
        <v>505</v>
      </c>
      <c r="I17" s="226"/>
    </row>
    <row r="18" customFormat="false" ht="19.5" hidden="false" customHeight="true" outlineLevel="0" collapsed="false">
      <c r="B18" s="20" t="s">
        <v>2942</v>
      </c>
      <c r="C18" s="31" t="n">
        <v>200000</v>
      </c>
      <c r="D18" s="31" t="n">
        <v>185000</v>
      </c>
      <c r="E18" s="31" t="n">
        <v>175000</v>
      </c>
      <c r="F18" s="31" t="n">
        <v>175000</v>
      </c>
      <c r="G18" s="31" t="n">
        <v>180000</v>
      </c>
      <c r="H18" s="31" t="n">
        <v>200000</v>
      </c>
      <c r="I18" s="27"/>
    </row>
    <row r="19" customFormat="false" ht="19.5" hidden="false" customHeight="true" outlineLevel="0" collapsed="false">
      <c r="B19" s="52" t="s">
        <v>2429</v>
      </c>
      <c r="C19" s="53" t="s">
        <v>2950</v>
      </c>
      <c r="D19" s="53" t="s">
        <v>2951</v>
      </c>
      <c r="E19" s="53" t="s">
        <v>2980</v>
      </c>
      <c r="F19" s="53" t="s">
        <v>2980</v>
      </c>
      <c r="G19" s="53" t="s">
        <v>2951</v>
      </c>
      <c r="H19" s="53" t="s">
        <v>2952</v>
      </c>
      <c r="I19" s="226"/>
    </row>
    <row r="20" customFormat="false" ht="19.5" hidden="false" customHeight="true" outlineLevel="0" collapsed="false">
      <c r="B20" s="20" t="s">
        <v>2981</v>
      </c>
      <c r="C20" s="33" t="s">
        <v>2982</v>
      </c>
      <c r="D20" s="33" t="s">
        <v>2978</v>
      </c>
      <c r="E20" s="33" t="s">
        <v>2979</v>
      </c>
      <c r="F20" s="33" t="s">
        <v>2979</v>
      </c>
      <c r="G20" s="33" t="s">
        <v>505</v>
      </c>
      <c r="H20" s="33" t="s">
        <v>510</v>
      </c>
      <c r="I20" s="27"/>
    </row>
    <row r="21" customFormat="false" ht="19.5" hidden="false" customHeight="true" outlineLevel="0" collapsed="false">
      <c r="B21" s="52" t="s">
        <v>2983</v>
      </c>
      <c r="C21" s="54" t="n">
        <v>250</v>
      </c>
      <c r="D21" s="54" t="n">
        <v>430</v>
      </c>
      <c r="E21" s="54" t="n">
        <v>510</v>
      </c>
      <c r="F21" s="54" t="n">
        <v>470</v>
      </c>
      <c r="G21" s="54" t="n">
        <v>190</v>
      </c>
      <c r="H21" s="54" t="n">
        <v>80</v>
      </c>
      <c r="I21" s="226"/>
    </row>
    <row r="22" customFormat="false" ht="19.5" hidden="false" customHeight="true" outlineLevel="0" collapsed="false">
      <c r="B22" s="20" t="s">
        <v>2984</v>
      </c>
      <c r="C22" s="31" t="n">
        <v>2000000</v>
      </c>
      <c r="D22" s="31" t="n">
        <v>1700000</v>
      </c>
      <c r="E22" s="31" t="n">
        <v>1400000</v>
      </c>
      <c r="F22" s="31" t="n">
        <v>1400000</v>
      </c>
      <c r="G22" s="31" t="n">
        <v>1700000</v>
      </c>
      <c r="H22" s="31" t="n">
        <v>2200000</v>
      </c>
      <c r="I22" s="27"/>
    </row>
    <row r="23" customFormat="false" ht="19.5" hidden="false" customHeight="true" outlineLevel="0" collapsed="false">
      <c r="B23" s="52" t="s">
        <v>2985</v>
      </c>
      <c r="C23" s="53" t="s">
        <v>2986</v>
      </c>
      <c r="D23" s="53" t="s">
        <v>2987</v>
      </c>
      <c r="E23" s="53" t="s">
        <v>2988</v>
      </c>
      <c r="F23" s="53" t="s">
        <v>2988</v>
      </c>
      <c r="G23" s="53" t="s">
        <v>2988</v>
      </c>
      <c r="H23" s="53" t="s">
        <v>2987</v>
      </c>
      <c r="I23" s="226"/>
    </row>
  </sheetData>
  <mergeCells count="4">
    <mergeCell ref="B1:I1"/>
    <mergeCell ref="B2:I2"/>
    <mergeCell ref="B4:I4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2" width="22"/>
  </cols>
  <sheetData>
    <row r="1" customFormat="false" ht="36" hidden="false" customHeight="true" outlineLevel="0" collapsed="false">
      <c r="B1" s="125" t="s">
        <v>2989</v>
      </c>
      <c r="C1" s="125"/>
      <c r="D1" s="125"/>
      <c r="E1" s="125"/>
      <c r="F1" s="125"/>
      <c r="G1" s="125"/>
      <c r="H1" s="125"/>
    </row>
    <row r="3" customFormat="false" ht="24" hidden="false" customHeight="true" outlineLevel="0" collapsed="false">
      <c r="B3" s="128" t="s">
        <v>2990</v>
      </c>
      <c r="C3" s="128"/>
      <c r="D3" s="128"/>
      <c r="E3" s="128"/>
      <c r="F3" s="128"/>
      <c r="G3" s="128"/>
      <c r="H3" s="128"/>
    </row>
    <row r="4" customFormat="false" ht="19.5" hidden="false" customHeight="true" outlineLevel="0" collapsed="false">
      <c r="B4" s="220" t="s">
        <v>2991</v>
      </c>
      <c r="C4" s="220" t="s">
        <v>2992</v>
      </c>
      <c r="D4" s="220" t="s">
        <v>517</v>
      </c>
      <c r="E4" s="220" t="s">
        <v>2993</v>
      </c>
      <c r="F4" s="220" t="s">
        <v>2994</v>
      </c>
      <c r="G4" s="220" t="s">
        <v>2645</v>
      </c>
    </row>
    <row r="5" customFormat="false" ht="19.5" hidden="false" customHeight="true" outlineLevel="0" collapsed="false">
      <c r="B5" s="158" t="s">
        <v>2995</v>
      </c>
      <c r="C5" s="156" t="s">
        <v>2996</v>
      </c>
      <c r="D5" s="213" t="n">
        <v>1530000000</v>
      </c>
      <c r="E5" s="32" t="s">
        <v>2997</v>
      </c>
      <c r="F5" s="232" t="s">
        <v>2175</v>
      </c>
      <c r="G5" s="24" t="s">
        <v>376</v>
      </c>
      <c r="H5" s="27"/>
    </row>
    <row r="6" customFormat="false" ht="19.5" hidden="false" customHeight="true" outlineLevel="0" collapsed="false">
      <c r="B6" s="151" t="s">
        <v>2998</v>
      </c>
      <c r="C6" s="148" t="s">
        <v>2999</v>
      </c>
      <c r="D6" s="233" t="n">
        <v>0</v>
      </c>
      <c r="E6" s="68" t="s">
        <v>3000</v>
      </c>
      <c r="F6" s="234" t="s">
        <v>483</v>
      </c>
      <c r="G6" s="235" t="s">
        <v>3001</v>
      </c>
      <c r="H6" s="154"/>
    </row>
    <row r="7" customFormat="false" ht="19.5" hidden="false" customHeight="true" outlineLevel="0" collapsed="false">
      <c r="B7" s="158" t="s">
        <v>3002</v>
      </c>
      <c r="C7" s="156" t="s">
        <v>3003</v>
      </c>
      <c r="D7" s="213" t="n">
        <v>180000</v>
      </c>
      <c r="E7" s="32" t="s">
        <v>3004</v>
      </c>
      <c r="F7" s="232" t="s">
        <v>372</v>
      </c>
      <c r="G7" s="24" t="s">
        <v>376</v>
      </c>
      <c r="H7" s="27"/>
    </row>
    <row r="8" customFormat="false" ht="19.5" hidden="false" customHeight="true" outlineLevel="0" collapsed="false">
      <c r="B8" s="151" t="s">
        <v>3005</v>
      </c>
      <c r="C8" s="148" t="s">
        <v>3006</v>
      </c>
      <c r="D8" s="233" t="n">
        <v>1500000</v>
      </c>
      <c r="E8" s="68" t="s">
        <v>3007</v>
      </c>
      <c r="F8" s="234" t="s">
        <v>372</v>
      </c>
      <c r="G8" s="235" t="s">
        <v>376</v>
      </c>
      <c r="H8" s="154"/>
    </row>
    <row r="9" customFormat="false" ht="19.5" hidden="false" customHeight="true" outlineLevel="0" collapsed="false">
      <c r="B9" s="158" t="s">
        <v>3008</v>
      </c>
      <c r="C9" s="156" t="s">
        <v>3009</v>
      </c>
      <c r="D9" s="213" t="n">
        <v>12000000</v>
      </c>
      <c r="E9" s="32" t="s">
        <v>3010</v>
      </c>
      <c r="F9" s="232" t="s">
        <v>372</v>
      </c>
      <c r="G9" s="24" t="s">
        <v>453</v>
      </c>
      <c r="H9" s="27"/>
    </row>
    <row r="10" customFormat="false" ht="19.5" hidden="false" customHeight="true" outlineLevel="0" collapsed="false">
      <c r="B10" s="151" t="s">
        <v>3011</v>
      </c>
      <c r="C10" s="148" t="s">
        <v>3012</v>
      </c>
      <c r="D10" s="236" t="n">
        <v>0.5</v>
      </c>
      <c r="E10" s="68" t="s">
        <v>3013</v>
      </c>
      <c r="F10" s="234" t="s">
        <v>372</v>
      </c>
      <c r="G10" s="235" t="s">
        <v>376</v>
      </c>
      <c r="H10" s="154"/>
    </row>
    <row r="11" customFormat="false" ht="19.5" hidden="false" customHeight="true" outlineLevel="0" collapsed="false">
      <c r="B11" s="158" t="s">
        <v>3014</v>
      </c>
      <c r="C11" s="156" t="s">
        <v>3015</v>
      </c>
      <c r="D11" s="237" t="n">
        <v>0.2</v>
      </c>
      <c r="E11" s="32" t="s">
        <v>3016</v>
      </c>
      <c r="F11" s="232" t="s">
        <v>372</v>
      </c>
      <c r="G11" s="24" t="s">
        <v>376</v>
      </c>
      <c r="H11" s="27"/>
    </row>
    <row r="12" customFormat="false" ht="19.5" hidden="false" customHeight="true" outlineLevel="0" collapsed="false">
      <c r="B12" s="151" t="s">
        <v>3017</v>
      </c>
      <c r="C12" s="148" t="s">
        <v>3018</v>
      </c>
      <c r="D12" s="236" t="n">
        <v>0.6</v>
      </c>
      <c r="E12" s="68" t="s">
        <v>3019</v>
      </c>
      <c r="F12" s="234" t="s">
        <v>372</v>
      </c>
      <c r="G12" s="235" t="s">
        <v>453</v>
      </c>
      <c r="H12" s="154"/>
    </row>
    <row r="13" customFormat="false" ht="19.5" hidden="false" customHeight="true" outlineLevel="0" collapsed="false">
      <c r="B13" s="158" t="s">
        <v>3020</v>
      </c>
      <c r="C13" s="156" t="s">
        <v>3021</v>
      </c>
      <c r="D13" s="237" t="n">
        <v>0.15</v>
      </c>
      <c r="E13" s="32" t="s">
        <v>3022</v>
      </c>
      <c r="F13" s="232" t="s">
        <v>372</v>
      </c>
      <c r="G13" s="24" t="s">
        <v>376</v>
      </c>
      <c r="H13" s="27"/>
    </row>
    <row r="14" customFormat="false" ht="19.5" hidden="false" customHeight="true" outlineLevel="0" collapsed="false">
      <c r="B14" s="151" t="s">
        <v>3023</v>
      </c>
      <c r="C14" s="148" t="s">
        <v>3024</v>
      </c>
      <c r="D14" s="236" t="n">
        <v>0.15</v>
      </c>
      <c r="E14" s="68" t="s">
        <v>3025</v>
      </c>
      <c r="F14" s="234" t="s">
        <v>372</v>
      </c>
      <c r="G14" s="235" t="s">
        <v>376</v>
      </c>
      <c r="H14" s="154"/>
    </row>
    <row r="15" customFormat="false" ht="19.5" hidden="false" customHeight="true" outlineLevel="0" collapsed="false">
      <c r="B15" s="158" t="s">
        <v>3026</v>
      </c>
      <c r="C15" s="156" t="s">
        <v>3027</v>
      </c>
      <c r="D15" s="213" t="n">
        <v>59000000</v>
      </c>
      <c r="E15" s="32" t="s">
        <v>3028</v>
      </c>
      <c r="F15" s="232" t="s">
        <v>372</v>
      </c>
      <c r="G15" s="24" t="s">
        <v>376</v>
      </c>
      <c r="H15" s="27"/>
    </row>
    <row r="16" customFormat="false" ht="19.5" hidden="false" customHeight="true" outlineLevel="0" collapsed="false">
      <c r="B16" s="151" t="s">
        <v>3029</v>
      </c>
      <c r="C16" s="148" t="s">
        <v>3030</v>
      </c>
      <c r="D16" s="236" t="n">
        <v>0.9</v>
      </c>
      <c r="E16" s="68" t="s">
        <v>3031</v>
      </c>
      <c r="F16" s="234" t="s">
        <v>372</v>
      </c>
      <c r="G16" s="235" t="s">
        <v>376</v>
      </c>
      <c r="H16" s="154"/>
    </row>
    <row r="19" customFormat="false" ht="24" hidden="false" customHeight="true" outlineLevel="0" collapsed="false">
      <c r="B19" s="140" t="s">
        <v>3032</v>
      </c>
      <c r="C19" s="140"/>
      <c r="D19" s="140"/>
      <c r="E19" s="140"/>
      <c r="F19" s="140"/>
      <c r="G19" s="140"/>
      <c r="H19" s="140"/>
    </row>
    <row r="20" customFormat="false" ht="19.5" hidden="false" customHeight="true" outlineLevel="0" collapsed="false">
      <c r="B20" s="238" t="s">
        <v>361</v>
      </c>
      <c r="C20" s="238" t="s">
        <v>3033</v>
      </c>
      <c r="D20" s="238" t="s">
        <v>3034</v>
      </c>
      <c r="E20" s="238" t="s">
        <v>3035</v>
      </c>
      <c r="F20" s="238" t="s">
        <v>911</v>
      </c>
      <c r="G20" s="238" t="s">
        <v>3036</v>
      </c>
      <c r="H20" s="238" t="s">
        <v>2646</v>
      </c>
    </row>
    <row r="21" customFormat="false" ht="39.75" hidden="false" customHeight="true" outlineLevel="0" collapsed="false">
      <c r="B21" s="239" t="s">
        <v>3037</v>
      </c>
      <c r="C21" s="129" t="s">
        <v>3038</v>
      </c>
      <c r="D21" s="240" t="s">
        <v>3039</v>
      </c>
      <c r="E21" s="241" t="s">
        <v>3040</v>
      </c>
      <c r="F21" s="242" t="s">
        <v>3041</v>
      </c>
      <c r="G21" s="243" t="s">
        <v>3042</v>
      </c>
      <c r="H21" s="49" t="s">
        <v>3043</v>
      </c>
    </row>
    <row r="22" customFormat="false" ht="39.75" hidden="false" customHeight="true" outlineLevel="0" collapsed="false">
      <c r="B22" s="239" t="s">
        <v>3044</v>
      </c>
      <c r="C22" s="129" t="s">
        <v>3045</v>
      </c>
      <c r="D22" s="240" t="s">
        <v>3046</v>
      </c>
      <c r="E22" s="241" t="s">
        <v>3047</v>
      </c>
      <c r="F22" s="242" t="s">
        <v>3048</v>
      </c>
      <c r="G22" s="243" t="s">
        <v>3042</v>
      </c>
      <c r="H22" s="49" t="s">
        <v>3043</v>
      </c>
    </row>
    <row r="23" customFormat="false" ht="39.75" hidden="false" customHeight="true" outlineLevel="0" collapsed="false">
      <c r="B23" s="239" t="s">
        <v>3049</v>
      </c>
      <c r="C23" s="129" t="s">
        <v>3050</v>
      </c>
      <c r="D23" s="240" t="s">
        <v>3051</v>
      </c>
      <c r="E23" s="241" t="s">
        <v>3052</v>
      </c>
      <c r="F23" s="242" t="s">
        <v>3053</v>
      </c>
      <c r="G23" s="243" t="s">
        <v>3042</v>
      </c>
      <c r="H23" s="49" t="s">
        <v>3043</v>
      </c>
    </row>
    <row r="24" customFormat="false" ht="39.75" hidden="false" customHeight="true" outlineLevel="0" collapsed="false">
      <c r="B24" s="239" t="s">
        <v>3054</v>
      </c>
      <c r="C24" s="129" t="s">
        <v>3055</v>
      </c>
      <c r="D24" s="240" t="s">
        <v>3056</v>
      </c>
      <c r="E24" s="241" t="s">
        <v>3057</v>
      </c>
      <c r="F24" s="242" t="s">
        <v>3058</v>
      </c>
      <c r="G24" s="244" t="s">
        <v>3059</v>
      </c>
      <c r="H24" s="198" t="s">
        <v>3060</v>
      </c>
    </row>
    <row r="25" customFormat="false" ht="39.75" hidden="false" customHeight="true" outlineLevel="0" collapsed="false">
      <c r="B25" s="239" t="s">
        <v>3061</v>
      </c>
      <c r="C25" s="129" t="s">
        <v>3062</v>
      </c>
      <c r="D25" s="240" t="s">
        <v>3063</v>
      </c>
      <c r="E25" s="241" t="s">
        <v>3064</v>
      </c>
      <c r="F25" s="242" t="s">
        <v>3058</v>
      </c>
      <c r="G25" s="244" t="s">
        <v>3059</v>
      </c>
      <c r="H25" s="198" t="s">
        <v>3060</v>
      </c>
    </row>
    <row r="26" customFormat="false" ht="39.75" hidden="false" customHeight="true" outlineLevel="0" collapsed="false">
      <c r="B26" s="239" t="s">
        <v>3065</v>
      </c>
      <c r="C26" s="129" t="s">
        <v>3066</v>
      </c>
      <c r="D26" s="240" t="s">
        <v>3067</v>
      </c>
      <c r="E26" s="241" t="s">
        <v>3068</v>
      </c>
      <c r="F26" s="242" t="s">
        <v>871</v>
      </c>
      <c r="G26" s="245" t="s">
        <v>3069</v>
      </c>
      <c r="H26" s="49" t="s">
        <v>3043</v>
      </c>
    </row>
    <row r="27" customFormat="false" ht="39.75" hidden="false" customHeight="true" outlineLevel="0" collapsed="false">
      <c r="B27" s="239" t="s">
        <v>3070</v>
      </c>
      <c r="C27" s="129" t="s">
        <v>3071</v>
      </c>
      <c r="D27" s="240" t="s">
        <v>3072</v>
      </c>
      <c r="E27" s="241" t="s">
        <v>3073</v>
      </c>
      <c r="F27" s="242" t="s">
        <v>3074</v>
      </c>
      <c r="G27" s="244" t="s">
        <v>3059</v>
      </c>
      <c r="H27" s="198" t="s">
        <v>3060</v>
      </c>
    </row>
    <row r="28" customFormat="false" ht="39.75" hidden="false" customHeight="true" outlineLevel="0" collapsed="false">
      <c r="B28" s="239" t="s">
        <v>3075</v>
      </c>
      <c r="C28" s="129" t="s">
        <v>3076</v>
      </c>
      <c r="D28" s="240" t="s">
        <v>3077</v>
      </c>
      <c r="E28" s="241" t="s">
        <v>3078</v>
      </c>
      <c r="F28" s="242" t="s">
        <v>3079</v>
      </c>
      <c r="G28" s="245" t="s">
        <v>3069</v>
      </c>
      <c r="H28" s="61" t="s">
        <v>3080</v>
      </c>
    </row>
    <row r="29" customFormat="false" ht="39.75" hidden="false" customHeight="true" outlineLevel="0" collapsed="false">
      <c r="B29" s="239" t="s">
        <v>3081</v>
      </c>
      <c r="C29" s="129" t="s">
        <v>3082</v>
      </c>
      <c r="D29" s="240" t="s">
        <v>3083</v>
      </c>
      <c r="E29" s="241" t="s">
        <v>3084</v>
      </c>
      <c r="F29" s="242" t="s">
        <v>3085</v>
      </c>
      <c r="G29" s="245" t="s">
        <v>3069</v>
      </c>
      <c r="H29" s="49" t="s">
        <v>3043</v>
      </c>
    </row>
    <row r="30" customFormat="false" ht="39.75" hidden="false" customHeight="true" outlineLevel="0" collapsed="false">
      <c r="B30" s="239" t="s">
        <v>3086</v>
      </c>
      <c r="C30" s="129" t="s">
        <v>3087</v>
      </c>
      <c r="D30" s="240" t="s">
        <v>3088</v>
      </c>
      <c r="E30" s="241" t="s">
        <v>3089</v>
      </c>
      <c r="F30" s="242" t="s">
        <v>3053</v>
      </c>
      <c r="G30" s="243" t="s">
        <v>3042</v>
      </c>
      <c r="H30" s="49" t="s">
        <v>3043</v>
      </c>
    </row>
    <row r="32" customFormat="false" ht="15" hidden="false" customHeight="false" outlineLevel="0" collapsed="false">
      <c r="B32" s="6" t="s">
        <v>3090</v>
      </c>
    </row>
    <row r="33" customFormat="false" ht="15" hidden="false" customHeight="false" outlineLevel="0" collapsed="false">
      <c r="A33" s="3" t="s">
        <v>3091</v>
      </c>
      <c r="B33" s="3" t="s">
        <v>3092</v>
      </c>
      <c r="C33" s="3" t="s">
        <v>3093</v>
      </c>
      <c r="D33" s="3" t="s">
        <v>3094</v>
      </c>
      <c r="E33" s="3" t="s">
        <v>364</v>
      </c>
      <c r="F33" s="3" t="s">
        <v>3095</v>
      </c>
    </row>
    <row r="34" customFormat="false" ht="15" hidden="false" customHeight="false" outlineLevel="0" collapsed="false">
      <c r="A34" s="4" t="s">
        <v>3096</v>
      </c>
      <c r="B34" s="4" t="s">
        <v>3097</v>
      </c>
      <c r="C34" s="4" t="s">
        <v>437</v>
      </c>
      <c r="D34" s="4" t="s">
        <v>3098</v>
      </c>
      <c r="E34" s="4" t="s">
        <v>3099</v>
      </c>
      <c r="F34" s="4" t="s">
        <v>3100</v>
      </c>
    </row>
    <row r="35" customFormat="false" ht="15" hidden="false" customHeight="false" outlineLevel="0" collapsed="false">
      <c r="A35" s="5" t="s">
        <v>3101</v>
      </c>
      <c r="B35" s="5" t="s">
        <v>3102</v>
      </c>
      <c r="C35" s="5" t="s">
        <v>441</v>
      </c>
      <c r="D35" s="5" t="s">
        <v>3103</v>
      </c>
      <c r="E35" s="5" t="s">
        <v>3104</v>
      </c>
      <c r="F35" s="5" t="s">
        <v>3105</v>
      </c>
    </row>
    <row r="36" customFormat="false" ht="15" hidden="false" customHeight="false" outlineLevel="0" collapsed="false">
      <c r="A36" s="4" t="s">
        <v>3106</v>
      </c>
      <c r="B36" s="4" t="s">
        <v>3107</v>
      </c>
      <c r="C36" s="4" t="s">
        <v>446</v>
      </c>
      <c r="D36" s="4" t="s">
        <v>3103</v>
      </c>
      <c r="E36" s="4" t="s">
        <v>3108</v>
      </c>
      <c r="F36" s="4" t="s">
        <v>3109</v>
      </c>
    </row>
    <row r="37" customFormat="false" ht="15" hidden="false" customHeight="false" outlineLevel="0" collapsed="false">
      <c r="A37" s="5" t="s">
        <v>3110</v>
      </c>
      <c r="B37" s="5" t="s">
        <v>3111</v>
      </c>
      <c r="C37" s="5" t="s">
        <v>450</v>
      </c>
      <c r="D37" s="5" t="s">
        <v>3103</v>
      </c>
      <c r="E37" s="5" t="s">
        <v>3112</v>
      </c>
      <c r="F37" s="5" t="s">
        <v>3113</v>
      </c>
    </row>
    <row r="38" customFormat="false" ht="15" hidden="false" customHeight="false" outlineLevel="0" collapsed="false">
      <c r="A38" s="4" t="s">
        <v>3114</v>
      </c>
      <c r="B38" s="4" t="s">
        <v>3115</v>
      </c>
      <c r="C38" s="4" t="s">
        <v>455</v>
      </c>
      <c r="D38" s="4" t="s">
        <v>3103</v>
      </c>
      <c r="E38" s="4" t="s">
        <v>3116</v>
      </c>
      <c r="F38" s="4" t="s">
        <v>3117</v>
      </c>
    </row>
    <row r="39" customFormat="false" ht="15" hidden="false" customHeight="false" outlineLevel="0" collapsed="false">
      <c r="A39" s="5" t="s">
        <v>3118</v>
      </c>
      <c r="B39" s="5" t="s">
        <v>3119</v>
      </c>
      <c r="C39" s="5" t="s">
        <v>458</v>
      </c>
      <c r="D39" s="5" t="s">
        <v>3103</v>
      </c>
      <c r="E39" s="5" t="s">
        <v>3120</v>
      </c>
      <c r="F39" s="5" t="s">
        <v>2837</v>
      </c>
    </row>
    <row r="40" customFormat="false" ht="15" hidden="false" customHeight="false" outlineLevel="0" collapsed="false">
      <c r="A40" s="4" t="s">
        <v>3121</v>
      </c>
      <c r="B40" s="4" t="s">
        <v>3122</v>
      </c>
      <c r="C40" s="4" t="s">
        <v>461</v>
      </c>
      <c r="D40" s="4" t="s">
        <v>3103</v>
      </c>
      <c r="E40" s="4" t="s">
        <v>3123</v>
      </c>
      <c r="F40" s="4" t="s">
        <v>153</v>
      </c>
    </row>
    <row r="41" customFormat="false" ht="23.85" hidden="false" customHeight="false" outlineLevel="0" collapsed="false">
      <c r="A41" s="5" t="s">
        <v>3124</v>
      </c>
      <c r="B41" s="5" t="s">
        <v>3125</v>
      </c>
      <c r="C41" s="5" t="s">
        <v>464</v>
      </c>
      <c r="D41" s="5" t="s">
        <v>3103</v>
      </c>
      <c r="E41" s="5" t="s">
        <v>3126</v>
      </c>
      <c r="F41" s="5" t="s">
        <v>3127</v>
      </c>
    </row>
    <row r="42" customFormat="false" ht="23.85" hidden="false" customHeight="false" outlineLevel="0" collapsed="false">
      <c r="A42" s="4" t="s">
        <v>3128</v>
      </c>
      <c r="B42" s="4" t="s">
        <v>3129</v>
      </c>
      <c r="C42" s="4" t="s">
        <v>470</v>
      </c>
      <c r="D42" s="4" t="s">
        <v>3103</v>
      </c>
      <c r="E42" s="4" t="s">
        <v>3130</v>
      </c>
      <c r="F42" s="4" t="s">
        <v>813</v>
      </c>
    </row>
    <row r="43" customFormat="false" ht="23.85" hidden="false" customHeight="false" outlineLevel="0" collapsed="false">
      <c r="A43" s="5" t="s">
        <v>3131</v>
      </c>
      <c r="B43" s="5" t="s">
        <v>3132</v>
      </c>
      <c r="C43" s="5" t="s">
        <v>474</v>
      </c>
      <c r="D43" s="5" t="s">
        <v>3103</v>
      </c>
      <c r="E43" s="5" t="s">
        <v>3133</v>
      </c>
      <c r="F43" s="5" t="s">
        <v>3134</v>
      </c>
    </row>
    <row r="44" customFormat="false" ht="23.85" hidden="false" customHeight="false" outlineLevel="0" collapsed="false">
      <c r="A44" s="4" t="s">
        <v>3135</v>
      </c>
      <c r="B44" s="4" t="s">
        <v>3136</v>
      </c>
      <c r="C44" s="4" t="s">
        <v>479</v>
      </c>
      <c r="D44" s="4" t="s">
        <v>3103</v>
      </c>
      <c r="E44" s="4" t="s">
        <v>3137</v>
      </c>
      <c r="F44" s="4" t="s">
        <v>3138</v>
      </c>
    </row>
    <row r="45" customFormat="false" ht="15" hidden="false" customHeight="false" outlineLevel="0" collapsed="false">
      <c r="A45" s="5" t="s">
        <v>3139</v>
      </c>
      <c r="B45" s="5" t="s">
        <v>3140</v>
      </c>
      <c r="C45" s="5" t="s">
        <v>485</v>
      </c>
      <c r="D45" s="5" t="s">
        <v>3103</v>
      </c>
      <c r="E45" s="5" t="s">
        <v>3141</v>
      </c>
      <c r="F45" s="5" t="s">
        <v>3142</v>
      </c>
    </row>
    <row r="46" customFormat="false" ht="15" hidden="false" customHeight="false" outlineLevel="0" collapsed="false">
      <c r="A46" s="4" t="s">
        <v>3143</v>
      </c>
      <c r="B46" s="4" t="s">
        <v>3144</v>
      </c>
      <c r="C46" s="4" t="s">
        <v>3145</v>
      </c>
      <c r="D46" s="4" t="s">
        <v>3146</v>
      </c>
      <c r="E46" s="4" t="s">
        <v>3147</v>
      </c>
      <c r="F46" s="4" t="s">
        <v>3148</v>
      </c>
    </row>
    <row r="47" customFormat="false" ht="15" hidden="false" customHeight="false" outlineLevel="0" collapsed="false">
      <c r="A47" s="5" t="s">
        <v>3149</v>
      </c>
      <c r="B47" s="5" t="s">
        <v>3150</v>
      </c>
      <c r="C47" s="5" t="s">
        <v>3151</v>
      </c>
      <c r="D47" s="5" t="s">
        <v>3152</v>
      </c>
      <c r="E47" s="5" t="s">
        <v>3153</v>
      </c>
      <c r="F47" s="5" t="s">
        <v>3154</v>
      </c>
    </row>
    <row r="48" customFormat="false" ht="23.85" hidden="false" customHeight="false" outlineLevel="0" collapsed="false">
      <c r="A48" s="4" t="s">
        <v>3155</v>
      </c>
      <c r="B48" s="4" t="s">
        <v>3156</v>
      </c>
      <c r="C48" s="4" t="s">
        <v>3157</v>
      </c>
      <c r="D48" s="4" t="s">
        <v>3146</v>
      </c>
      <c r="E48" s="4" t="s">
        <v>3158</v>
      </c>
      <c r="F48" s="4" t="s">
        <v>3148</v>
      </c>
    </row>
    <row r="49" customFormat="false" ht="15" hidden="false" customHeight="false" outlineLevel="0" collapsed="false">
      <c r="A49" s="5" t="s">
        <v>3159</v>
      </c>
      <c r="B49" s="5" t="s">
        <v>3160</v>
      </c>
      <c r="C49" s="5" t="s">
        <v>3161</v>
      </c>
      <c r="D49" s="5" t="s">
        <v>3146</v>
      </c>
      <c r="E49" s="5" t="s">
        <v>3162</v>
      </c>
      <c r="F49" s="5" t="s">
        <v>3163</v>
      </c>
    </row>
    <row r="50" customFormat="false" ht="15" hidden="false" customHeight="false" outlineLevel="0" collapsed="false">
      <c r="A50" s="4" t="s">
        <v>3164</v>
      </c>
      <c r="B50" s="4" t="s">
        <v>3165</v>
      </c>
      <c r="C50" s="4" t="s">
        <v>3166</v>
      </c>
      <c r="D50" s="4" t="s">
        <v>3103</v>
      </c>
      <c r="E50" s="4" t="s">
        <v>3167</v>
      </c>
      <c r="F50" s="4" t="s">
        <v>3168</v>
      </c>
    </row>
    <row r="51" customFormat="false" ht="15" hidden="false" customHeight="false" outlineLevel="0" collapsed="false">
      <c r="A51" s="5" t="s">
        <v>3169</v>
      </c>
      <c r="B51" s="5" t="s">
        <v>3165</v>
      </c>
      <c r="C51" s="5" t="s">
        <v>3170</v>
      </c>
      <c r="D51" s="5" t="s">
        <v>3103</v>
      </c>
      <c r="E51" s="5" t="s">
        <v>3171</v>
      </c>
      <c r="F51" s="5" t="s">
        <v>3172</v>
      </c>
    </row>
    <row r="52" customFormat="false" ht="15" hidden="false" customHeight="false" outlineLevel="0" collapsed="false">
      <c r="A52" s="4" t="s">
        <v>3173</v>
      </c>
      <c r="B52" s="4" t="s">
        <v>3165</v>
      </c>
      <c r="C52" s="4" t="s">
        <v>3174</v>
      </c>
      <c r="D52" s="4" t="s">
        <v>3103</v>
      </c>
      <c r="E52" s="4" t="s">
        <v>3175</v>
      </c>
      <c r="F52" s="4" t="s">
        <v>813</v>
      </c>
    </row>
    <row r="55" customFormat="false" ht="15" hidden="false" customHeight="false" outlineLevel="0" collapsed="false">
      <c r="B55" s="6" t="s">
        <v>3176</v>
      </c>
    </row>
    <row r="56" customFormat="false" ht="15" hidden="false" customHeight="false" outlineLevel="0" collapsed="false">
      <c r="A56" s="3" t="s">
        <v>3177</v>
      </c>
      <c r="B56" s="3" t="s">
        <v>3178</v>
      </c>
      <c r="C56" s="3" t="s">
        <v>3179</v>
      </c>
      <c r="D56" s="3" t="s">
        <v>3180</v>
      </c>
      <c r="E56" s="3" t="s">
        <v>3181</v>
      </c>
      <c r="F56" s="3" t="s">
        <v>3182</v>
      </c>
      <c r="G56" s="3" t="s">
        <v>3183</v>
      </c>
      <c r="H56" s="3" t="s">
        <v>3036</v>
      </c>
    </row>
    <row r="57" customFormat="false" ht="23.85" hidden="false" customHeight="false" outlineLevel="0" collapsed="false">
      <c r="A57" s="4" t="s">
        <v>3184</v>
      </c>
      <c r="B57" s="4" t="s">
        <v>3185</v>
      </c>
      <c r="C57" s="4" t="s">
        <v>3186</v>
      </c>
      <c r="D57" s="4" t="s">
        <v>3187</v>
      </c>
      <c r="E57" s="4" t="s">
        <v>3188</v>
      </c>
      <c r="F57" s="4" t="s">
        <v>3189</v>
      </c>
      <c r="G57" s="4" t="s">
        <v>3190</v>
      </c>
      <c r="H57" s="4" t="s">
        <v>3191</v>
      </c>
    </row>
    <row r="58" customFormat="false" ht="23.85" hidden="false" customHeight="false" outlineLevel="0" collapsed="false">
      <c r="A58" s="5" t="s">
        <v>3192</v>
      </c>
      <c r="B58" s="5" t="s">
        <v>3193</v>
      </c>
      <c r="C58" s="5" t="s">
        <v>3194</v>
      </c>
      <c r="D58" s="5" t="s">
        <v>3187</v>
      </c>
      <c r="E58" s="5" t="s">
        <v>3195</v>
      </c>
      <c r="F58" s="5" t="s">
        <v>3189</v>
      </c>
      <c r="G58" s="5" t="s">
        <v>3190</v>
      </c>
      <c r="H58" s="5" t="s">
        <v>3191</v>
      </c>
    </row>
    <row r="59" customFormat="false" ht="15" hidden="false" customHeight="false" outlineLevel="0" collapsed="false">
      <c r="A59" s="4" t="s">
        <v>3196</v>
      </c>
      <c r="B59" s="4" t="s">
        <v>3197</v>
      </c>
      <c r="C59" s="4" t="s">
        <v>3198</v>
      </c>
      <c r="D59" s="4" t="s">
        <v>3199</v>
      </c>
      <c r="E59" s="4" t="s">
        <v>3200</v>
      </c>
      <c r="F59" s="4" t="s">
        <v>3201</v>
      </c>
      <c r="G59" s="4" t="s">
        <v>3202</v>
      </c>
      <c r="H59" s="4" t="s">
        <v>3203</v>
      </c>
    </row>
    <row r="60" customFormat="false" ht="23.85" hidden="false" customHeight="false" outlineLevel="0" collapsed="false">
      <c r="A60" s="5" t="s">
        <v>3204</v>
      </c>
      <c r="B60" s="5" t="s">
        <v>3205</v>
      </c>
      <c r="C60" s="5" t="s">
        <v>3206</v>
      </c>
      <c r="D60" s="5" t="s">
        <v>3207</v>
      </c>
      <c r="E60" s="5" t="s">
        <v>3208</v>
      </c>
      <c r="F60" s="5" t="s">
        <v>3189</v>
      </c>
      <c r="G60" s="5" t="s">
        <v>418</v>
      </c>
      <c r="H60" s="5" t="s">
        <v>3191</v>
      </c>
    </row>
    <row r="61" customFormat="false" ht="15" hidden="false" customHeight="false" outlineLevel="0" collapsed="false">
      <c r="A61" s="4" t="s">
        <v>3209</v>
      </c>
      <c r="B61" s="4" t="s">
        <v>3210</v>
      </c>
      <c r="C61" s="4" t="s">
        <v>3211</v>
      </c>
      <c r="D61" s="4" t="s">
        <v>3212</v>
      </c>
      <c r="E61" s="4" t="s">
        <v>3213</v>
      </c>
      <c r="F61" s="4" t="s">
        <v>3214</v>
      </c>
      <c r="G61" s="4" t="s">
        <v>3202</v>
      </c>
      <c r="H61" s="4" t="s">
        <v>3203</v>
      </c>
    </row>
    <row r="62" customFormat="false" ht="23.85" hidden="false" customHeight="false" outlineLevel="0" collapsed="false">
      <c r="A62" s="5" t="s">
        <v>3215</v>
      </c>
      <c r="B62" s="5" t="s">
        <v>3216</v>
      </c>
      <c r="C62" s="5" t="s">
        <v>428</v>
      </c>
      <c r="D62" s="5" t="s">
        <v>1537</v>
      </c>
      <c r="E62" s="5" t="s">
        <v>3217</v>
      </c>
      <c r="F62" s="5" t="s">
        <v>3218</v>
      </c>
      <c r="G62" s="5" t="s">
        <v>1542</v>
      </c>
      <c r="H62" s="5" t="s">
        <v>3219</v>
      </c>
    </row>
    <row r="63" customFormat="false" ht="23.85" hidden="false" customHeight="false" outlineLevel="0" collapsed="false">
      <c r="A63" s="4" t="s">
        <v>3220</v>
      </c>
      <c r="B63" s="4" t="s">
        <v>3221</v>
      </c>
      <c r="C63" s="4" t="s">
        <v>428</v>
      </c>
      <c r="D63" s="4" t="s">
        <v>1527</v>
      </c>
      <c r="E63" s="4" t="s">
        <v>3222</v>
      </c>
      <c r="F63" s="4" t="s">
        <v>3223</v>
      </c>
      <c r="G63" s="4" t="s">
        <v>3224</v>
      </c>
      <c r="H63" s="4" t="s">
        <v>3203</v>
      </c>
    </row>
    <row r="64" customFormat="false" ht="23.85" hidden="false" customHeight="false" outlineLevel="0" collapsed="false">
      <c r="A64" s="5" t="s">
        <v>3225</v>
      </c>
      <c r="B64" s="5" t="s">
        <v>3226</v>
      </c>
      <c r="C64" s="5" t="s">
        <v>428</v>
      </c>
      <c r="D64" s="5" t="s">
        <v>3227</v>
      </c>
      <c r="E64" s="5" t="s">
        <v>3228</v>
      </c>
      <c r="F64" s="5" t="s">
        <v>3229</v>
      </c>
      <c r="G64" s="5" t="s">
        <v>1527</v>
      </c>
      <c r="H64" s="5" t="s">
        <v>3203</v>
      </c>
    </row>
    <row r="65" customFormat="false" ht="23.85" hidden="false" customHeight="false" outlineLevel="0" collapsed="false">
      <c r="A65" s="4" t="s">
        <v>3230</v>
      </c>
      <c r="B65" s="4" t="s">
        <v>3231</v>
      </c>
      <c r="C65" s="4" t="s">
        <v>3232</v>
      </c>
      <c r="D65" s="4" t="s">
        <v>3233</v>
      </c>
      <c r="E65" s="4" t="s">
        <v>3234</v>
      </c>
      <c r="F65" s="4" t="s">
        <v>1480</v>
      </c>
      <c r="G65" s="4" t="s">
        <v>3202</v>
      </c>
      <c r="H65" s="4" t="s">
        <v>3203</v>
      </c>
    </row>
    <row r="66" customFormat="false" ht="23.85" hidden="false" customHeight="false" outlineLevel="0" collapsed="false">
      <c r="A66" s="5" t="s">
        <v>3235</v>
      </c>
      <c r="B66" s="5" t="s">
        <v>3236</v>
      </c>
      <c r="C66" s="5" t="s">
        <v>428</v>
      </c>
      <c r="D66" s="5" t="s">
        <v>811</v>
      </c>
      <c r="E66" s="5" t="s">
        <v>3237</v>
      </c>
      <c r="F66" s="5" t="s">
        <v>3238</v>
      </c>
      <c r="G66" s="5" t="s">
        <v>3239</v>
      </c>
      <c r="H66" s="5" t="s">
        <v>3240</v>
      </c>
    </row>
  </sheetData>
  <mergeCells count="3">
    <mergeCell ref="B1:H1"/>
    <mergeCell ref="B3:H3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" min="1" style="0" width="22"/>
  </cols>
  <sheetData>
    <row r="1" customFormat="false" ht="17.35" hidden="false" customHeight="false" outlineLevel="0" collapsed="false">
      <c r="A1" s="1" t="s">
        <v>3241</v>
      </c>
    </row>
    <row r="2" customFormat="false" ht="15" hidden="false" customHeight="false" outlineLevel="0" collapsed="false">
      <c r="A2" s="246" t="s">
        <v>3242</v>
      </c>
    </row>
    <row r="4" customFormat="false" ht="15" hidden="false" customHeight="false" outlineLevel="0" collapsed="false">
      <c r="A4" s="6" t="s">
        <v>3243</v>
      </c>
    </row>
    <row r="5" customFormat="false" ht="15" hidden="false" customHeight="false" outlineLevel="0" collapsed="false">
      <c r="A5" s="3" t="s">
        <v>361</v>
      </c>
      <c r="B5" s="3" t="s">
        <v>3244</v>
      </c>
      <c r="C5" s="3" t="s">
        <v>3</v>
      </c>
      <c r="D5" s="3" t="s">
        <v>3245</v>
      </c>
      <c r="E5" s="3" t="s">
        <v>1060</v>
      </c>
      <c r="F5" s="3" t="s">
        <v>3246</v>
      </c>
      <c r="G5" s="3" t="s">
        <v>3247</v>
      </c>
      <c r="H5" s="3" t="s">
        <v>3248</v>
      </c>
      <c r="I5" s="3" t="s">
        <v>3249</v>
      </c>
      <c r="J5" s="3" t="s">
        <v>3250</v>
      </c>
      <c r="K5" s="3" t="s">
        <v>3251</v>
      </c>
      <c r="L5" s="3" t="s">
        <v>3252</v>
      </c>
      <c r="M5" s="3" t="s">
        <v>3253</v>
      </c>
      <c r="N5" s="3" t="s">
        <v>3254</v>
      </c>
      <c r="O5" s="3" t="s">
        <v>3255</v>
      </c>
      <c r="P5" s="3" t="s">
        <v>290</v>
      </c>
    </row>
    <row r="6" customFormat="false" ht="35.05" hidden="false" customHeight="false" outlineLevel="0" collapsed="false">
      <c r="A6" s="4" t="n">
        <v>1</v>
      </c>
      <c r="B6" s="4" t="s">
        <v>3256</v>
      </c>
      <c r="C6" s="4" t="s">
        <v>233</v>
      </c>
      <c r="D6" s="4" t="s">
        <v>3257</v>
      </c>
      <c r="E6" s="4" t="s">
        <v>3258</v>
      </c>
      <c r="F6" s="4" t="s">
        <v>3259</v>
      </c>
      <c r="G6" s="4" t="s">
        <v>3260</v>
      </c>
      <c r="H6" s="4" t="s">
        <v>3261</v>
      </c>
      <c r="I6" s="4" t="n">
        <v>120</v>
      </c>
      <c r="J6" s="4" t="n">
        <v>72</v>
      </c>
      <c r="K6" s="4" t="s">
        <v>3262</v>
      </c>
      <c r="L6" s="4" t="s">
        <v>3263</v>
      </c>
      <c r="M6" s="4" t="n">
        <v>60000000</v>
      </c>
      <c r="N6" s="4" t="s">
        <v>3264</v>
      </c>
      <c r="O6" s="4" t="s">
        <v>1529</v>
      </c>
      <c r="P6" s="4" t="s">
        <v>980</v>
      </c>
    </row>
    <row r="7" customFormat="false" ht="23.85" hidden="false" customHeight="false" outlineLevel="0" collapsed="false">
      <c r="A7" s="5" t="n">
        <v>2</v>
      </c>
      <c r="B7" s="5" t="s">
        <v>3265</v>
      </c>
      <c r="C7" s="5" t="s">
        <v>243</v>
      </c>
      <c r="D7" s="5" t="s">
        <v>3266</v>
      </c>
      <c r="E7" s="5" t="s">
        <v>3258</v>
      </c>
      <c r="F7" s="5" t="s">
        <v>3259</v>
      </c>
      <c r="G7" s="5" t="s">
        <v>3267</v>
      </c>
      <c r="H7" s="5" t="s">
        <v>3268</v>
      </c>
      <c r="I7" s="5" t="n">
        <v>150</v>
      </c>
      <c r="J7" s="5" t="n">
        <v>90</v>
      </c>
      <c r="K7" s="5" t="s">
        <v>3262</v>
      </c>
      <c r="L7" s="5" t="s">
        <v>3269</v>
      </c>
      <c r="M7" s="5" t="n">
        <v>75000000</v>
      </c>
      <c r="N7" s="5" t="s">
        <v>3264</v>
      </c>
      <c r="O7" s="5" t="s">
        <v>1529</v>
      </c>
      <c r="P7" s="5" t="s">
        <v>980</v>
      </c>
    </row>
    <row r="8" customFormat="false" ht="23.85" hidden="false" customHeight="false" outlineLevel="0" collapsed="false">
      <c r="A8" s="4" t="n">
        <v>3</v>
      </c>
      <c r="B8" s="4" t="s">
        <v>3270</v>
      </c>
      <c r="C8" s="4" t="s">
        <v>153</v>
      </c>
      <c r="D8" s="4" t="s">
        <v>3271</v>
      </c>
      <c r="E8" s="4" t="s">
        <v>3272</v>
      </c>
      <c r="F8" s="4" t="s">
        <v>3259</v>
      </c>
      <c r="G8" s="4" t="s">
        <v>3273</v>
      </c>
      <c r="H8" s="4" t="s">
        <v>3274</v>
      </c>
      <c r="I8" s="4" t="n">
        <v>100</v>
      </c>
      <c r="J8" s="4" t="n">
        <v>65</v>
      </c>
      <c r="K8" s="4" t="s">
        <v>3275</v>
      </c>
      <c r="L8" s="4" t="s">
        <v>3276</v>
      </c>
      <c r="M8" s="4" t="n">
        <v>40000000</v>
      </c>
      <c r="N8" s="4" t="s">
        <v>3277</v>
      </c>
      <c r="O8" s="4" t="s">
        <v>1529</v>
      </c>
      <c r="P8" s="4" t="s">
        <v>980</v>
      </c>
    </row>
    <row r="9" customFormat="false" ht="35.05" hidden="false" customHeight="false" outlineLevel="0" collapsed="false">
      <c r="A9" s="5" t="n">
        <v>4</v>
      </c>
      <c r="B9" s="5" t="s">
        <v>3278</v>
      </c>
      <c r="C9" s="5" t="s">
        <v>195</v>
      </c>
      <c r="D9" s="5" t="s">
        <v>3279</v>
      </c>
      <c r="E9" s="5" t="s">
        <v>3258</v>
      </c>
      <c r="F9" s="5" t="s">
        <v>3259</v>
      </c>
      <c r="G9" s="5" t="s">
        <v>3280</v>
      </c>
      <c r="H9" s="5" t="s">
        <v>3281</v>
      </c>
      <c r="I9" s="5" t="n">
        <v>120</v>
      </c>
      <c r="J9" s="5" t="n">
        <v>72</v>
      </c>
      <c r="K9" s="5" t="s">
        <v>3262</v>
      </c>
      <c r="L9" s="5" t="s">
        <v>3282</v>
      </c>
      <c r="M9" s="5" t="n">
        <v>50000000</v>
      </c>
      <c r="N9" s="5" t="s">
        <v>3283</v>
      </c>
      <c r="O9" s="5" t="s">
        <v>1529</v>
      </c>
      <c r="P9" s="5" t="s">
        <v>980</v>
      </c>
    </row>
    <row r="10" customFormat="false" ht="23.85" hidden="false" customHeight="false" outlineLevel="0" collapsed="false">
      <c r="A10" s="4" t="n">
        <v>5</v>
      </c>
      <c r="B10" s="4" t="s">
        <v>3284</v>
      </c>
      <c r="C10" s="4" t="s">
        <v>233</v>
      </c>
      <c r="D10" s="4" t="s">
        <v>3285</v>
      </c>
      <c r="E10" s="4" t="s">
        <v>3258</v>
      </c>
      <c r="F10" s="4" t="s">
        <v>3259</v>
      </c>
      <c r="G10" s="4" t="s">
        <v>3286</v>
      </c>
      <c r="H10" s="4" t="s">
        <v>3287</v>
      </c>
      <c r="I10" s="4" t="n">
        <v>130</v>
      </c>
      <c r="J10" s="4" t="n">
        <v>78</v>
      </c>
      <c r="K10" s="4" t="s">
        <v>3262</v>
      </c>
      <c r="L10" s="4" t="s">
        <v>3288</v>
      </c>
      <c r="M10" s="4" t="n">
        <v>55000000</v>
      </c>
      <c r="N10" s="4" t="s">
        <v>3283</v>
      </c>
      <c r="O10" s="4" t="s">
        <v>1529</v>
      </c>
      <c r="P10" s="4" t="s">
        <v>980</v>
      </c>
    </row>
    <row r="11" customFormat="false" ht="23.85" hidden="false" customHeight="false" outlineLevel="0" collapsed="false">
      <c r="A11" s="5" t="n">
        <v>6</v>
      </c>
      <c r="B11" s="5" t="s">
        <v>3289</v>
      </c>
      <c r="C11" s="5" t="s">
        <v>243</v>
      </c>
      <c r="D11" s="5" t="s">
        <v>3290</v>
      </c>
      <c r="E11" s="5" t="s">
        <v>3258</v>
      </c>
      <c r="F11" s="5" t="s">
        <v>3259</v>
      </c>
      <c r="G11" s="5" t="s">
        <v>3291</v>
      </c>
      <c r="H11" s="5" t="s">
        <v>3292</v>
      </c>
      <c r="I11" s="5" t="n">
        <v>160</v>
      </c>
      <c r="J11" s="5" t="n">
        <v>96</v>
      </c>
      <c r="K11" s="5" t="s">
        <v>3262</v>
      </c>
      <c r="L11" s="5" t="s">
        <v>3293</v>
      </c>
      <c r="M11" s="5" t="n">
        <v>80000000</v>
      </c>
      <c r="N11" s="5" t="s">
        <v>3264</v>
      </c>
      <c r="O11" s="5" t="s">
        <v>3294</v>
      </c>
      <c r="P11" s="5" t="s">
        <v>980</v>
      </c>
    </row>
    <row r="12" customFormat="false" ht="23.85" hidden="false" customHeight="false" outlineLevel="0" collapsed="false">
      <c r="A12" s="4" t="n">
        <v>7</v>
      </c>
      <c r="B12" s="4" t="s">
        <v>3295</v>
      </c>
      <c r="C12" s="4" t="s">
        <v>724</v>
      </c>
      <c r="D12" s="4" t="s">
        <v>3296</v>
      </c>
      <c r="E12" s="4" t="s">
        <v>3297</v>
      </c>
      <c r="F12" s="4" t="s">
        <v>3298</v>
      </c>
      <c r="G12" s="4" t="s">
        <v>3299</v>
      </c>
      <c r="H12" s="4" t="s">
        <v>3300</v>
      </c>
      <c r="I12" s="4" t="n">
        <v>200</v>
      </c>
      <c r="J12" s="4" t="n">
        <v>120</v>
      </c>
      <c r="K12" s="4" t="s">
        <v>3262</v>
      </c>
      <c r="L12" s="4" t="s">
        <v>3301</v>
      </c>
      <c r="M12" s="4" t="n">
        <v>40000000</v>
      </c>
      <c r="N12" s="4" t="s">
        <v>3302</v>
      </c>
      <c r="O12" s="4" t="s">
        <v>1529</v>
      </c>
      <c r="P12" s="4" t="s">
        <v>980</v>
      </c>
    </row>
    <row r="13" customFormat="false" ht="23.85" hidden="false" customHeight="false" outlineLevel="0" collapsed="false">
      <c r="A13" s="5" t="n">
        <v>8</v>
      </c>
      <c r="B13" s="5" t="s">
        <v>3303</v>
      </c>
      <c r="C13" s="5" t="s">
        <v>326</v>
      </c>
      <c r="D13" s="5" t="s">
        <v>3304</v>
      </c>
      <c r="E13" s="5" t="s">
        <v>3272</v>
      </c>
      <c r="F13" s="5" t="s">
        <v>3305</v>
      </c>
      <c r="G13" s="5" t="s">
        <v>3306</v>
      </c>
      <c r="H13" s="5" t="s">
        <v>3307</v>
      </c>
      <c r="I13" s="5" t="n">
        <v>80</v>
      </c>
      <c r="J13" s="5" t="n">
        <v>48</v>
      </c>
      <c r="K13" s="5" t="s">
        <v>3262</v>
      </c>
      <c r="L13" s="5" t="s">
        <v>3308</v>
      </c>
      <c r="M13" s="5" t="n">
        <v>25000000</v>
      </c>
      <c r="N13" s="5" t="s">
        <v>3283</v>
      </c>
      <c r="O13" s="5" t="s">
        <v>3309</v>
      </c>
      <c r="P13" s="5" t="s">
        <v>980</v>
      </c>
    </row>
    <row r="16" customFormat="false" ht="15" hidden="false" customHeight="false" outlineLevel="0" collapsed="false">
      <c r="A16" s="6" t="s">
        <v>3310</v>
      </c>
    </row>
    <row r="17" customFormat="false" ht="15" hidden="false" customHeight="false" outlineLevel="0" collapsed="false">
      <c r="A17" s="3" t="s">
        <v>252</v>
      </c>
      <c r="B17" s="3" t="s">
        <v>1060</v>
      </c>
      <c r="C17" s="3" t="s">
        <v>1061</v>
      </c>
      <c r="D17" s="3" t="s">
        <v>975</v>
      </c>
      <c r="E17" s="3" t="s">
        <v>1065</v>
      </c>
      <c r="F17" s="3" t="s">
        <v>1062</v>
      </c>
      <c r="G17" s="3" t="s">
        <v>290</v>
      </c>
    </row>
    <row r="18" customFormat="false" ht="23.85" hidden="false" customHeight="false" outlineLevel="0" collapsed="false">
      <c r="A18" s="4" t="s">
        <v>3311</v>
      </c>
      <c r="B18" s="4" t="s">
        <v>3312</v>
      </c>
      <c r="C18" s="4" t="s">
        <v>3313</v>
      </c>
      <c r="D18" s="4" t="s">
        <v>3314</v>
      </c>
      <c r="E18" s="4" t="s">
        <v>376</v>
      </c>
      <c r="F18" s="4" t="s">
        <v>3315</v>
      </c>
      <c r="G18" s="4" t="s">
        <v>980</v>
      </c>
    </row>
    <row r="19" customFormat="false" ht="35.05" hidden="false" customHeight="false" outlineLevel="0" collapsed="false">
      <c r="A19" s="5" t="s">
        <v>3311</v>
      </c>
      <c r="B19" s="5" t="s">
        <v>3312</v>
      </c>
      <c r="C19" s="5" t="s">
        <v>3316</v>
      </c>
      <c r="D19" s="5" t="s">
        <v>3317</v>
      </c>
      <c r="E19" s="5" t="s">
        <v>488</v>
      </c>
      <c r="F19" s="5" t="s">
        <v>3318</v>
      </c>
      <c r="G19" s="5" t="s">
        <v>980</v>
      </c>
    </row>
    <row r="20" customFormat="false" ht="23.85" hidden="false" customHeight="false" outlineLevel="0" collapsed="false">
      <c r="A20" s="4" t="s">
        <v>3319</v>
      </c>
      <c r="B20" s="4" t="s">
        <v>3320</v>
      </c>
      <c r="C20" s="4" t="s">
        <v>3321</v>
      </c>
      <c r="D20" s="4" t="s">
        <v>3322</v>
      </c>
      <c r="E20" s="4" t="s">
        <v>3323</v>
      </c>
      <c r="F20" s="4" t="s">
        <v>3324</v>
      </c>
      <c r="G20" s="4" t="s">
        <v>980</v>
      </c>
    </row>
    <row r="21" customFormat="false" ht="35.05" hidden="false" customHeight="false" outlineLevel="0" collapsed="false">
      <c r="A21" s="5" t="s">
        <v>3319</v>
      </c>
      <c r="B21" s="5" t="s">
        <v>3320</v>
      </c>
      <c r="C21" s="5" t="s">
        <v>3325</v>
      </c>
      <c r="D21" s="5" t="s">
        <v>3326</v>
      </c>
      <c r="E21" s="5" t="s">
        <v>482</v>
      </c>
      <c r="F21" s="5" t="s">
        <v>3327</v>
      </c>
      <c r="G21" s="5" t="s">
        <v>980</v>
      </c>
    </row>
    <row r="22" customFormat="false" ht="35.05" hidden="false" customHeight="false" outlineLevel="0" collapsed="false">
      <c r="A22" s="4" t="s">
        <v>3319</v>
      </c>
      <c r="B22" s="4" t="s">
        <v>3320</v>
      </c>
      <c r="C22" s="4" t="s">
        <v>3328</v>
      </c>
      <c r="D22" s="4" t="s">
        <v>3329</v>
      </c>
      <c r="E22" s="4" t="s">
        <v>488</v>
      </c>
      <c r="F22" s="4" t="s">
        <v>3283</v>
      </c>
      <c r="G22" s="4" t="s">
        <v>980</v>
      </c>
    </row>
    <row r="23" customFormat="false" ht="46.25" hidden="false" customHeight="false" outlineLevel="0" collapsed="false">
      <c r="A23" s="5" t="s">
        <v>3319</v>
      </c>
      <c r="B23" s="5" t="s">
        <v>3320</v>
      </c>
      <c r="C23" s="5" t="s">
        <v>3330</v>
      </c>
      <c r="D23" s="5" t="s">
        <v>3331</v>
      </c>
      <c r="E23" s="5" t="s">
        <v>2501</v>
      </c>
      <c r="F23" s="5" t="s">
        <v>3255</v>
      </c>
      <c r="G23" s="5" t="s">
        <v>980</v>
      </c>
    </row>
    <row r="24" customFormat="false" ht="23.85" hidden="false" customHeight="false" outlineLevel="0" collapsed="false">
      <c r="A24" s="4" t="s">
        <v>3332</v>
      </c>
      <c r="B24" s="4" t="s">
        <v>3333</v>
      </c>
      <c r="C24" s="4" t="s">
        <v>3334</v>
      </c>
      <c r="D24" s="4" t="s">
        <v>3335</v>
      </c>
      <c r="E24" s="4" t="s">
        <v>376</v>
      </c>
      <c r="F24" s="4" t="s">
        <v>3336</v>
      </c>
      <c r="G24" s="4" t="s">
        <v>980</v>
      </c>
    </row>
    <row r="25" customFormat="false" ht="23.85" hidden="false" customHeight="false" outlineLevel="0" collapsed="false">
      <c r="A25" s="5" t="s">
        <v>3332</v>
      </c>
      <c r="B25" s="5" t="s">
        <v>3333</v>
      </c>
      <c r="C25" s="5" t="s">
        <v>3337</v>
      </c>
      <c r="D25" s="5" t="s">
        <v>3338</v>
      </c>
      <c r="E25" s="5" t="s">
        <v>3339</v>
      </c>
      <c r="F25" s="5" t="s">
        <v>3340</v>
      </c>
      <c r="G25" s="5" t="s">
        <v>980</v>
      </c>
    </row>
    <row r="26" customFormat="false" ht="23.85" hidden="false" customHeight="false" outlineLevel="0" collapsed="false">
      <c r="A26" s="4" t="s">
        <v>3332</v>
      </c>
      <c r="B26" s="4" t="s">
        <v>3333</v>
      </c>
      <c r="C26" s="4" t="s">
        <v>3341</v>
      </c>
      <c r="D26" s="4" t="s">
        <v>3342</v>
      </c>
      <c r="E26" s="4" t="s">
        <v>2501</v>
      </c>
      <c r="F26" s="4" t="s">
        <v>3343</v>
      </c>
      <c r="G26" s="4" t="s">
        <v>980</v>
      </c>
    </row>
    <row r="27" customFormat="false" ht="23.85" hidden="false" customHeight="false" outlineLevel="0" collapsed="false">
      <c r="A27" s="5" t="s">
        <v>3344</v>
      </c>
      <c r="B27" s="5" t="s">
        <v>3345</v>
      </c>
      <c r="C27" s="5" t="s">
        <v>1765</v>
      </c>
      <c r="D27" s="5" t="s">
        <v>3346</v>
      </c>
      <c r="E27" s="5" t="s">
        <v>2501</v>
      </c>
      <c r="F27" s="5" t="s">
        <v>3347</v>
      </c>
      <c r="G27" s="5" t="s">
        <v>980</v>
      </c>
    </row>
    <row r="28" customFormat="false" ht="23.85" hidden="false" customHeight="false" outlineLevel="0" collapsed="false">
      <c r="A28" s="4" t="s">
        <v>3344</v>
      </c>
      <c r="B28" s="4" t="s">
        <v>3348</v>
      </c>
      <c r="C28" s="4" t="s">
        <v>3349</v>
      </c>
      <c r="D28" s="4" t="s">
        <v>3350</v>
      </c>
      <c r="E28" s="4" t="s">
        <v>3323</v>
      </c>
      <c r="F28" s="4" t="s">
        <v>3305</v>
      </c>
      <c r="G28" s="4" t="s">
        <v>980</v>
      </c>
    </row>
    <row r="29" customFormat="false" ht="23.85" hidden="false" customHeight="false" outlineLevel="0" collapsed="false">
      <c r="A29" s="5" t="s">
        <v>3344</v>
      </c>
      <c r="B29" s="5" t="s">
        <v>3351</v>
      </c>
      <c r="C29" s="5" t="s">
        <v>3352</v>
      </c>
      <c r="D29" s="5" t="s">
        <v>3353</v>
      </c>
      <c r="E29" s="5" t="s">
        <v>3354</v>
      </c>
      <c r="F29" s="5" t="s">
        <v>3355</v>
      </c>
      <c r="G29" s="5" t="s">
        <v>980</v>
      </c>
    </row>
    <row r="30" customFormat="false" ht="35.05" hidden="false" customHeight="false" outlineLevel="0" collapsed="false">
      <c r="A30" s="4" t="s">
        <v>3344</v>
      </c>
      <c r="B30" s="4" t="s">
        <v>3356</v>
      </c>
      <c r="C30" s="4" t="s">
        <v>3357</v>
      </c>
      <c r="D30" s="4" t="s">
        <v>3358</v>
      </c>
      <c r="E30" s="4" t="s">
        <v>3359</v>
      </c>
      <c r="F30" s="4" t="s">
        <v>3360</v>
      </c>
      <c r="G30" s="4" t="s">
        <v>980</v>
      </c>
    </row>
    <row r="31" customFormat="false" ht="23.85" hidden="false" customHeight="false" outlineLevel="0" collapsed="false">
      <c r="A31" s="5" t="s">
        <v>3361</v>
      </c>
      <c r="B31" s="5" t="s">
        <v>3362</v>
      </c>
      <c r="C31" s="5" t="s">
        <v>3363</v>
      </c>
      <c r="D31" s="5" t="s">
        <v>3364</v>
      </c>
      <c r="E31" s="5" t="s">
        <v>2501</v>
      </c>
      <c r="F31" s="5" t="s">
        <v>3365</v>
      </c>
      <c r="G31" s="5" t="s">
        <v>980</v>
      </c>
    </row>
    <row r="32" customFormat="false" ht="35.05" hidden="false" customHeight="false" outlineLevel="0" collapsed="false">
      <c r="A32" s="4" t="s">
        <v>3366</v>
      </c>
      <c r="B32" s="4" t="s">
        <v>3367</v>
      </c>
      <c r="C32" s="4" t="s">
        <v>3368</v>
      </c>
      <c r="D32" s="4" t="s">
        <v>3369</v>
      </c>
      <c r="E32" s="4" t="s">
        <v>1555</v>
      </c>
      <c r="F32" s="4" t="s">
        <v>3370</v>
      </c>
      <c r="G32" s="4" t="s">
        <v>980</v>
      </c>
    </row>
    <row r="33" customFormat="false" ht="35.05" hidden="false" customHeight="false" outlineLevel="0" collapsed="false">
      <c r="A33" s="5" t="s">
        <v>3371</v>
      </c>
      <c r="B33" s="5" t="s">
        <v>3372</v>
      </c>
      <c r="C33" s="5" t="s">
        <v>3373</v>
      </c>
      <c r="D33" s="5" t="s">
        <v>3374</v>
      </c>
      <c r="E33" s="5" t="s">
        <v>2501</v>
      </c>
      <c r="F33" s="5" t="s">
        <v>336</v>
      </c>
      <c r="G33" s="5" t="s">
        <v>980</v>
      </c>
    </row>
    <row r="34" customFormat="false" ht="23.85" hidden="false" customHeight="false" outlineLevel="0" collapsed="false">
      <c r="A34" s="4" t="s">
        <v>3375</v>
      </c>
      <c r="B34" s="4" t="s">
        <v>3376</v>
      </c>
      <c r="C34" s="4" t="s">
        <v>3377</v>
      </c>
      <c r="D34" s="4" t="s">
        <v>3378</v>
      </c>
      <c r="E34" s="4" t="s">
        <v>376</v>
      </c>
      <c r="F34" s="4" t="s">
        <v>3379</v>
      </c>
      <c r="G34" s="4" t="s">
        <v>980</v>
      </c>
    </row>
    <row r="35" customFormat="false" ht="35.05" hidden="false" customHeight="false" outlineLevel="0" collapsed="false">
      <c r="A35" s="5" t="s">
        <v>3375</v>
      </c>
      <c r="B35" s="5" t="s">
        <v>3376</v>
      </c>
      <c r="C35" s="5" t="s">
        <v>3380</v>
      </c>
      <c r="D35" s="5" t="s">
        <v>3381</v>
      </c>
      <c r="E35" s="5" t="s">
        <v>2501</v>
      </c>
      <c r="F35" s="5" t="s">
        <v>3255</v>
      </c>
      <c r="G35" s="5" t="s">
        <v>980</v>
      </c>
    </row>
    <row r="38" customFormat="false" ht="15" hidden="false" customHeight="false" outlineLevel="0" collapsed="false">
      <c r="A38" s="6" t="s">
        <v>3382</v>
      </c>
    </row>
    <row r="39" customFormat="false" ht="15" hidden="false" customHeight="false" outlineLevel="0" collapsed="false">
      <c r="A39" s="3" t="s">
        <v>621</v>
      </c>
      <c r="B39" s="3" t="s">
        <v>1990</v>
      </c>
      <c r="C39" s="3" t="s">
        <v>1994</v>
      </c>
      <c r="D39" s="3" t="s">
        <v>1998</v>
      </c>
      <c r="E39" s="3" t="s">
        <v>2002</v>
      </c>
      <c r="F39" s="3" t="s">
        <v>2005</v>
      </c>
      <c r="G39" s="3" t="s">
        <v>2009</v>
      </c>
      <c r="H39" s="3" t="s">
        <v>642</v>
      </c>
    </row>
    <row r="40" customFormat="false" ht="15" hidden="false" customHeight="false" outlineLevel="0" collapsed="false">
      <c r="A40" s="4" t="s">
        <v>3383</v>
      </c>
      <c r="B40" s="4" t="n">
        <v>2</v>
      </c>
      <c r="C40" s="4" t="n">
        <v>2</v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8</v>
      </c>
    </row>
    <row r="41" customFormat="false" ht="15" hidden="false" customHeight="false" outlineLevel="0" collapsed="false">
      <c r="A41" s="5" t="s">
        <v>3384</v>
      </c>
      <c r="B41" s="5" t="n">
        <v>270</v>
      </c>
      <c r="C41" s="5" t="n">
        <v>220</v>
      </c>
      <c r="D41" s="5" t="n">
        <v>330</v>
      </c>
      <c r="E41" s="5" t="n">
        <v>160</v>
      </c>
      <c r="F41" s="5" t="n">
        <v>0</v>
      </c>
      <c r="G41" s="5" t="n">
        <v>80</v>
      </c>
      <c r="H41" s="5" t="n">
        <v>1060</v>
      </c>
    </row>
    <row r="42" customFormat="false" ht="15" hidden="false" customHeight="false" outlineLevel="0" collapsed="false">
      <c r="A42" s="4" t="s">
        <v>3385</v>
      </c>
      <c r="B42" s="4" t="s">
        <v>3262</v>
      </c>
      <c r="C42" s="4" t="s">
        <v>3386</v>
      </c>
      <c r="D42" s="4" t="s">
        <v>3262</v>
      </c>
      <c r="E42" s="4" t="s">
        <v>3262</v>
      </c>
      <c r="F42" s="4" t="s">
        <v>428</v>
      </c>
      <c r="G42" s="4" t="s">
        <v>3262</v>
      </c>
      <c r="H42" s="4" t="s">
        <v>3262</v>
      </c>
    </row>
    <row r="43" customFormat="false" ht="15" hidden="false" customHeight="false" outlineLevel="0" collapsed="false">
      <c r="A43" s="5" t="s">
        <v>3387</v>
      </c>
      <c r="B43" s="5" t="n">
        <v>162</v>
      </c>
      <c r="C43" s="5" t="n">
        <v>137</v>
      </c>
      <c r="D43" s="5" t="n">
        <v>198</v>
      </c>
      <c r="E43" s="5" t="n">
        <v>96</v>
      </c>
      <c r="F43" s="5" t="n">
        <v>0</v>
      </c>
      <c r="G43" s="5" t="n">
        <v>48</v>
      </c>
      <c r="H43" s="5" t="n">
        <v>641</v>
      </c>
    </row>
    <row r="44" customFormat="false" ht="15" hidden="false" customHeight="false" outlineLevel="0" collapsed="false">
      <c r="A44" s="4" t="s">
        <v>3388</v>
      </c>
      <c r="B44" s="4" t="n">
        <v>65</v>
      </c>
      <c r="C44" s="4" t="n">
        <v>55</v>
      </c>
      <c r="D44" s="4" t="n">
        <v>79</v>
      </c>
      <c r="E44" s="4" t="n">
        <v>38</v>
      </c>
      <c r="F44" s="4" t="n">
        <v>0</v>
      </c>
      <c r="G44" s="4" t="n">
        <v>19</v>
      </c>
      <c r="H44" s="4" t="n">
        <v>256</v>
      </c>
    </row>
    <row r="45" customFormat="false" ht="15" hidden="false" customHeight="false" outlineLevel="0" collapsed="false">
      <c r="A45" s="5" t="s">
        <v>3389</v>
      </c>
      <c r="B45" s="5" t="n">
        <v>50000</v>
      </c>
      <c r="C45" s="5" t="n">
        <v>45000</v>
      </c>
      <c r="D45" s="5" t="n">
        <v>42000</v>
      </c>
      <c r="E45" s="5" t="n">
        <v>50000</v>
      </c>
      <c r="F45" s="5" t="s">
        <v>428</v>
      </c>
      <c r="G45" s="5" t="n">
        <v>31250</v>
      </c>
      <c r="H45" s="5" t="s">
        <v>428</v>
      </c>
    </row>
    <row r="46" customFormat="false" ht="15" hidden="false" customHeight="false" outlineLevel="0" collapsed="false">
      <c r="A46" s="4" t="s">
        <v>3253</v>
      </c>
      <c r="B46" s="4" t="n">
        <v>135000000</v>
      </c>
      <c r="C46" s="4" t="n">
        <v>90000000</v>
      </c>
      <c r="D46" s="4" t="n">
        <v>95000000</v>
      </c>
      <c r="E46" s="4" t="n">
        <v>80000000</v>
      </c>
      <c r="F46" s="4" t="n">
        <v>0</v>
      </c>
      <c r="G46" s="4" t="n">
        <v>25000000</v>
      </c>
      <c r="H46" s="4" t="n">
        <v>425000000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22"/>
  </cols>
  <sheetData>
    <row r="1" customFormat="false" ht="17.35" hidden="false" customHeight="false" outlineLevel="0" collapsed="false">
      <c r="A1" s="1" t="s">
        <v>3390</v>
      </c>
    </row>
    <row r="2" customFormat="false" ht="15" hidden="false" customHeight="false" outlineLevel="0" collapsed="false">
      <c r="A2" s="246" t="s">
        <v>3391</v>
      </c>
    </row>
    <row r="4" customFormat="false" ht="15" hidden="false" customHeight="false" outlineLevel="0" collapsed="false">
      <c r="A4" s="6" t="s">
        <v>3392</v>
      </c>
    </row>
    <row r="5" customFormat="false" ht="15" hidden="false" customHeight="false" outlineLevel="0" collapsed="false">
      <c r="A5" s="3" t="s">
        <v>3393</v>
      </c>
      <c r="B5" s="3" t="s">
        <v>3394</v>
      </c>
      <c r="C5" s="3" t="s">
        <v>3395</v>
      </c>
      <c r="D5" s="3" t="s">
        <v>713</v>
      </c>
      <c r="E5" s="3" t="s">
        <v>1477</v>
      </c>
      <c r="F5" s="3" t="s">
        <v>3396</v>
      </c>
      <c r="G5" s="3" t="s">
        <v>3397</v>
      </c>
      <c r="H5" s="3" t="s">
        <v>3398</v>
      </c>
      <c r="I5" s="3" t="s">
        <v>3399</v>
      </c>
      <c r="J5" s="3" t="s">
        <v>3400</v>
      </c>
      <c r="K5" s="3" t="s">
        <v>318</v>
      </c>
    </row>
    <row r="6" customFormat="false" ht="23.85" hidden="false" customHeight="false" outlineLevel="0" collapsed="false">
      <c r="A6" s="4" t="s">
        <v>1901</v>
      </c>
      <c r="B6" s="4" t="s">
        <v>3401</v>
      </c>
      <c r="C6" s="4" t="s">
        <v>3402</v>
      </c>
      <c r="D6" s="4" t="s">
        <v>3403</v>
      </c>
      <c r="E6" s="4" t="s">
        <v>3404</v>
      </c>
      <c r="F6" s="4" t="s">
        <v>428</v>
      </c>
      <c r="G6" s="4" t="s">
        <v>3405</v>
      </c>
      <c r="H6" s="4" t="s">
        <v>3406</v>
      </c>
      <c r="I6" s="4" t="s">
        <v>3407</v>
      </c>
      <c r="J6" s="4" t="s">
        <v>1023</v>
      </c>
      <c r="K6" s="4" t="s">
        <v>3408</v>
      </c>
    </row>
    <row r="7" customFormat="false" ht="23.85" hidden="false" customHeight="false" outlineLevel="0" collapsed="false">
      <c r="A7" s="5" t="s">
        <v>2147</v>
      </c>
      <c r="B7" s="5" t="s">
        <v>3409</v>
      </c>
      <c r="C7" s="5" t="s">
        <v>3410</v>
      </c>
      <c r="D7" s="5" t="s">
        <v>3411</v>
      </c>
      <c r="E7" s="5" t="s">
        <v>3412</v>
      </c>
      <c r="F7" s="5" t="s">
        <v>428</v>
      </c>
      <c r="G7" s="5" t="s">
        <v>428</v>
      </c>
      <c r="H7" s="5" t="s">
        <v>3413</v>
      </c>
      <c r="I7" s="5" t="s">
        <v>3414</v>
      </c>
      <c r="J7" s="5" t="s">
        <v>3415</v>
      </c>
      <c r="K7" s="5" t="s">
        <v>3416</v>
      </c>
    </row>
    <row r="8" customFormat="false" ht="23.85" hidden="false" customHeight="false" outlineLevel="0" collapsed="false">
      <c r="A8" s="4" t="s">
        <v>2563</v>
      </c>
      <c r="B8" s="4" t="s">
        <v>3417</v>
      </c>
      <c r="C8" s="4" t="s">
        <v>3418</v>
      </c>
      <c r="D8" s="4" t="s">
        <v>3419</v>
      </c>
      <c r="E8" s="4" t="s">
        <v>428</v>
      </c>
      <c r="F8" s="4" t="s">
        <v>3420</v>
      </c>
      <c r="G8" s="4" t="s">
        <v>3421</v>
      </c>
      <c r="H8" s="4" t="s">
        <v>3422</v>
      </c>
      <c r="I8" s="4" t="s">
        <v>3423</v>
      </c>
      <c r="J8" s="4" t="s">
        <v>1023</v>
      </c>
      <c r="K8" s="4" t="s">
        <v>3424</v>
      </c>
    </row>
    <row r="9" customFormat="false" ht="23.85" hidden="false" customHeight="false" outlineLevel="0" collapsed="false">
      <c r="A9" s="5" t="s">
        <v>1918</v>
      </c>
      <c r="B9" s="5" t="s">
        <v>3425</v>
      </c>
      <c r="C9" s="5" t="s">
        <v>3426</v>
      </c>
      <c r="D9" s="5" t="s">
        <v>3427</v>
      </c>
      <c r="E9" s="5" t="s">
        <v>3428</v>
      </c>
      <c r="F9" s="5" t="s">
        <v>428</v>
      </c>
      <c r="G9" s="5" t="s">
        <v>428</v>
      </c>
      <c r="H9" s="5" t="s">
        <v>3429</v>
      </c>
      <c r="I9" s="5" t="s">
        <v>3430</v>
      </c>
      <c r="J9" s="5" t="s">
        <v>724</v>
      </c>
      <c r="K9" s="5" t="s">
        <v>3431</v>
      </c>
    </row>
    <row r="10" customFormat="false" ht="23.85" hidden="false" customHeight="false" outlineLevel="0" collapsed="false">
      <c r="A10" s="4" t="s">
        <v>2158</v>
      </c>
      <c r="B10" s="4" t="s">
        <v>3432</v>
      </c>
      <c r="C10" s="4" t="s">
        <v>3433</v>
      </c>
      <c r="D10" s="4" t="s">
        <v>3434</v>
      </c>
      <c r="E10" s="4" t="s">
        <v>3435</v>
      </c>
      <c r="F10" s="4" t="s">
        <v>3436</v>
      </c>
      <c r="G10" s="4" t="s">
        <v>3437</v>
      </c>
      <c r="H10" s="4" t="s">
        <v>3438</v>
      </c>
      <c r="I10" s="4" t="s">
        <v>3439</v>
      </c>
      <c r="J10" s="4" t="s">
        <v>3440</v>
      </c>
      <c r="K10" s="4" t="s">
        <v>3441</v>
      </c>
    </row>
    <row r="11" customFormat="false" ht="23.85" hidden="false" customHeight="false" outlineLevel="0" collapsed="false">
      <c r="A11" s="5" t="s">
        <v>2164</v>
      </c>
      <c r="B11" s="5" t="s">
        <v>3442</v>
      </c>
      <c r="C11" s="5" t="s">
        <v>3443</v>
      </c>
      <c r="D11" s="5" t="s">
        <v>3444</v>
      </c>
      <c r="E11" s="5" t="s">
        <v>428</v>
      </c>
      <c r="F11" s="5" t="s">
        <v>428</v>
      </c>
      <c r="G11" s="5" t="s">
        <v>3445</v>
      </c>
      <c r="H11" s="5" t="s">
        <v>3446</v>
      </c>
      <c r="I11" s="5" t="s">
        <v>3447</v>
      </c>
      <c r="J11" s="5" t="s">
        <v>3448</v>
      </c>
      <c r="K11" s="5" t="s">
        <v>3449</v>
      </c>
    </row>
    <row r="12" customFormat="false" ht="23.85" hidden="false" customHeight="false" outlineLevel="0" collapsed="false">
      <c r="A12" s="4" t="s">
        <v>3450</v>
      </c>
      <c r="B12" s="4" t="s">
        <v>3451</v>
      </c>
      <c r="C12" s="4" t="s">
        <v>3452</v>
      </c>
      <c r="D12" s="4" t="s">
        <v>3453</v>
      </c>
      <c r="E12" s="4" t="s">
        <v>428</v>
      </c>
      <c r="F12" s="4" t="s">
        <v>428</v>
      </c>
      <c r="G12" s="4" t="s">
        <v>428</v>
      </c>
      <c r="H12" s="4" t="s">
        <v>3454</v>
      </c>
      <c r="I12" s="4" t="s">
        <v>3455</v>
      </c>
      <c r="J12" s="4" t="s">
        <v>359</v>
      </c>
      <c r="K12" s="4" t="s">
        <v>3456</v>
      </c>
    </row>
    <row r="15" customFormat="false" ht="15" hidden="false" customHeight="false" outlineLevel="0" collapsed="false">
      <c r="A15" s="6" t="s">
        <v>3457</v>
      </c>
    </row>
    <row r="16" customFormat="false" ht="26.85" hidden="false" customHeight="false" outlineLevel="0" collapsed="false">
      <c r="A16" s="3" t="s">
        <v>378</v>
      </c>
      <c r="B16" s="3" t="s">
        <v>3247</v>
      </c>
      <c r="C16" s="3" t="s">
        <v>3458</v>
      </c>
      <c r="D16" s="3" t="s">
        <v>3459</v>
      </c>
      <c r="E16" s="3" t="s">
        <v>3460</v>
      </c>
      <c r="F16" s="3" t="s">
        <v>3461</v>
      </c>
      <c r="G16" s="3" t="s">
        <v>3462</v>
      </c>
      <c r="H16" s="3" t="s">
        <v>3463</v>
      </c>
      <c r="I16" s="3" t="s">
        <v>3464</v>
      </c>
      <c r="J16" s="3" t="s">
        <v>3465</v>
      </c>
      <c r="K16" s="3" t="s">
        <v>3466</v>
      </c>
      <c r="L16" s="3" t="s">
        <v>290</v>
      </c>
    </row>
    <row r="17" customFormat="false" ht="23.85" hidden="false" customHeight="false" outlineLevel="0" collapsed="false">
      <c r="A17" s="4" t="s">
        <v>1990</v>
      </c>
      <c r="B17" s="4" t="s">
        <v>3467</v>
      </c>
      <c r="C17" s="4" t="s">
        <v>3468</v>
      </c>
      <c r="D17" s="4" t="s">
        <v>3469</v>
      </c>
      <c r="E17" s="4" t="s">
        <v>3470</v>
      </c>
      <c r="F17" s="4" t="s">
        <v>3471</v>
      </c>
      <c r="G17" s="4" t="n">
        <v>28</v>
      </c>
      <c r="H17" s="4" t="n">
        <v>28</v>
      </c>
      <c r="I17" s="4" t="n">
        <v>20</v>
      </c>
      <c r="J17" s="4" t="n">
        <v>8</v>
      </c>
      <c r="K17" s="4" t="n">
        <v>88</v>
      </c>
      <c r="L17" s="4" t="s">
        <v>980</v>
      </c>
    </row>
    <row r="18" customFormat="false" ht="23.85" hidden="false" customHeight="false" outlineLevel="0" collapsed="false">
      <c r="A18" s="5" t="s">
        <v>1994</v>
      </c>
      <c r="B18" s="5" t="s">
        <v>3472</v>
      </c>
      <c r="C18" s="5" t="s">
        <v>3473</v>
      </c>
      <c r="D18" s="5" t="s">
        <v>3474</v>
      </c>
      <c r="E18" s="5" t="s">
        <v>3475</v>
      </c>
      <c r="F18" s="5" t="s">
        <v>3476</v>
      </c>
      <c r="G18" s="5" t="n">
        <v>30</v>
      </c>
      <c r="H18" s="5" t="n">
        <v>30</v>
      </c>
      <c r="I18" s="5" t="n">
        <v>22</v>
      </c>
      <c r="J18" s="5" t="n">
        <v>10</v>
      </c>
      <c r="K18" s="5" t="n">
        <v>96</v>
      </c>
      <c r="L18" s="5" t="s">
        <v>980</v>
      </c>
    </row>
    <row r="19" customFormat="false" ht="23.85" hidden="false" customHeight="false" outlineLevel="0" collapsed="false">
      <c r="A19" s="4" t="s">
        <v>1998</v>
      </c>
      <c r="B19" s="4" t="s">
        <v>3477</v>
      </c>
      <c r="C19" s="4" t="s">
        <v>3478</v>
      </c>
      <c r="D19" s="4" t="s">
        <v>3479</v>
      </c>
      <c r="E19" s="4" t="s">
        <v>3480</v>
      </c>
      <c r="F19" s="4" t="s">
        <v>3481</v>
      </c>
      <c r="G19" s="4" t="n">
        <v>30</v>
      </c>
      <c r="H19" s="4" t="n">
        <v>30</v>
      </c>
      <c r="I19" s="4" t="n">
        <v>24</v>
      </c>
      <c r="J19" s="4" t="n">
        <v>12</v>
      </c>
      <c r="K19" s="4" t="n">
        <v>100</v>
      </c>
      <c r="L19" s="4" t="s">
        <v>980</v>
      </c>
    </row>
    <row r="20" customFormat="false" ht="23.85" hidden="false" customHeight="false" outlineLevel="0" collapsed="false">
      <c r="A20" s="5" t="s">
        <v>2002</v>
      </c>
      <c r="B20" s="5" t="s">
        <v>3482</v>
      </c>
      <c r="C20" s="5" t="s">
        <v>3483</v>
      </c>
      <c r="D20" s="5" t="s">
        <v>3484</v>
      </c>
      <c r="E20" s="5" t="s">
        <v>3485</v>
      </c>
      <c r="F20" s="5" t="s">
        <v>3486</v>
      </c>
      <c r="G20" s="5" t="n">
        <v>28</v>
      </c>
      <c r="H20" s="5" t="n">
        <v>28</v>
      </c>
      <c r="I20" s="5" t="n">
        <v>20</v>
      </c>
      <c r="J20" s="5" t="n">
        <v>10</v>
      </c>
      <c r="K20" s="5" t="n">
        <v>90</v>
      </c>
      <c r="L20" s="5" t="s">
        <v>980</v>
      </c>
    </row>
    <row r="21" customFormat="false" ht="23.85" hidden="false" customHeight="false" outlineLevel="0" collapsed="false">
      <c r="A21" s="4" t="s">
        <v>2005</v>
      </c>
      <c r="B21" s="4" t="s">
        <v>3487</v>
      </c>
      <c r="C21" s="4" t="s">
        <v>3488</v>
      </c>
      <c r="D21" s="4" t="s">
        <v>3489</v>
      </c>
      <c r="E21" s="4" t="s">
        <v>3490</v>
      </c>
      <c r="F21" s="4" t="s">
        <v>3491</v>
      </c>
      <c r="G21" s="4" t="n">
        <v>24</v>
      </c>
      <c r="H21" s="4" t="n">
        <v>24</v>
      </c>
      <c r="I21" s="4" t="n">
        <v>16</v>
      </c>
      <c r="J21" s="4" t="n">
        <v>8</v>
      </c>
      <c r="K21" s="4" t="n">
        <v>74</v>
      </c>
      <c r="L21" s="4" t="s">
        <v>980</v>
      </c>
    </row>
    <row r="22" customFormat="false" ht="23.85" hidden="false" customHeight="false" outlineLevel="0" collapsed="false">
      <c r="A22" s="5" t="s">
        <v>2009</v>
      </c>
      <c r="B22" s="5" t="s">
        <v>3492</v>
      </c>
      <c r="C22" s="5" t="s">
        <v>3493</v>
      </c>
      <c r="D22" s="5" t="s">
        <v>3494</v>
      </c>
      <c r="E22" s="5" t="s">
        <v>3495</v>
      </c>
      <c r="F22" s="5" t="s">
        <v>3496</v>
      </c>
      <c r="G22" s="5" t="n">
        <v>20</v>
      </c>
      <c r="H22" s="5" t="n">
        <v>20</v>
      </c>
      <c r="I22" s="5" t="n">
        <v>14</v>
      </c>
      <c r="J22" s="5" t="n">
        <v>6</v>
      </c>
      <c r="K22" s="5" t="n">
        <v>62</v>
      </c>
      <c r="L22" s="5" t="s">
        <v>980</v>
      </c>
    </row>
    <row r="25" customFormat="false" ht="15" hidden="false" customHeight="false" outlineLevel="0" collapsed="false">
      <c r="A25" s="6" t="s">
        <v>3497</v>
      </c>
    </row>
    <row r="26" customFormat="false" ht="15" hidden="false" customHeight="false" outlineLevel="0" collapsed="false">
      <c r="A26" s="3" t="s">
        <v>350</v>
      </c>
      <c r="B26" s="3" t="s">
        <v>351</v>
      </c>
      <c r="C26" s="3" t="s">
        <v>2014</v>
      </c>
      <c r="D26" s="3" t="s">
        <v>3498</v>
      </c>
      <c r="E26" s="3" t="s">
        <v>3499</v>
      </c>
      <c r="F26" s="3" t="s">
        <v>3500</v>
      </c>
      <c r="G26" s="3" t="s">
        <v>3501</v>
      </c>
      <c r="H26" s="3" t="s">
        <v>3502</v>
      </c>
      <c r="I26" s="3" t="s">
        <v>3503</v>
      </c>
      <c r="J26" s="3" t="s">
        <v>3504</v>
      </c>
      <c r="K26" s="3" t="s">
        <v>3505</v>
      </c>
    </row>
    <row r="27" customFormat="false" ht="23.85" hidden="false" customHeight="false" outlineLevel="0" collapsed="false">
      <c r="A27" s="4" t="s">
        <v>151</v>
      </c>
      <c r="B27" s="4" t="s">
        <v>153</v>
      </c>
      <c r="C27" s="4" t="s">
        <v>772</v>
      </c>
      <c r="D27" s="4" t="n">
        <v>12</v>
      </c>
      <c r="E27" s="4" t="n">
        <v>12</v>
      </c>
      <c r="F27" s="4" t="n">
        <v>8</v>
      </c>
      <c r="G27" s="4" t="n">
        <v>4</v>
      </c>
      <c r="H27" s="4" t="n">
        <v>4</v>
      </c>
      <c r="I27" s="4" t="s">
        <v>3506</v>
      </c>
      <c r="J27" s="4" t="s">
        <v>3507</v>
      </c>
      <c r="K27" s="4" t="s">
        <v>3508</v>
      </c>
    </row>
    <row r="28" customFormat="false" ht="35.05" hidden="false" customHeight="false" outlineLevel="0" collapsed="false">
      <c r="A28" s="5" t="s">
        <v>162</v>
      </c>
      <c r="B28" s="5" t="s">
        <v>153</v>
      </c>
      <c r="C28" s="5" t="s">
        <v>776</v>
      </c>
      <c r="D28" s="5" t="n">
        <v>6</v>
      </c>
      <c r="E28" s="5" t="n">
        <v>4</v>
      </c>
      <c r="F28" s="5" t="n">
        <v>4</v>
      </c>
      <c r="G28" s="5" t="n">
        <v>4</v>
      </c>
      <c r="H28" s="5" t="n">
        <v>2</v>
      </c>
      <c r="I28" s="5" t="s">
        <v>3509</v>
      </c>
      <c r="J28" s="5" t="s">
        <v>3510</v>
      </c>
      <c r="K28" s="5" t="s">
        <v>3511</v>
      </c>
    </row>
    <row r="29" customFormat="false" ht="35.05" hidden="false" customHeight="false" outlineLevel="0" collapsed="false">
      <c r="A29" s="4" t="s">
        <v>610</v>
      </c>
      <c r="B29" s="4" t="s">
        <v>174</v>
      </c>
      <c r="C29" s="4" t="s">
        <v>776</v>
      </c>
      <c r="D29" s="4" t="n">
        <v>6</v>
      </c>
      <c r="E29" s="4" t="n">
        <v>4</v>
      </c>
      <c r="F29" s="4" t="n">
        <v>4</v>
      </c>
      <c r="G29" s="4" t="n">
        <v>4</v>
      </c>
      <c r="H29" s="4" t="n">
        <v>2</v>
      </c>
      <c r="I29" s="4" t="s">
        <v>3512</v>
      </c>
      <c r="J29" s="4" t="s">
        <v>3513</v>
      </c>
      <c r="K29" s="4" t="s">
        <v>3514</v>
      </c>
    </row>
    <row r="30" customFormat="false" ht="35.05" hidden="false" customHeight="false" outlineLevel="0" collapsed="false">
      <c r="A30" s="5" t="s">
        <v>612</v>
      </c>
      <c r="B30" s="5" t="s">
        <v>174</v>
      </c>
      <c r="C30" s="5" t="s">
        <v>781</v>
      </c>
      <c r="D30" s="5" t="n">
        <v>6</v>
      </c>
      <c r="E30" s="5" t="n">
        <v>4</v>
      </c>
      <c r="F30" s="5" t="n">
        <v>4</v>
      </c>
      <c r="G30" s="5" t="n">
        <v>4</v>
      </c>
      <c r="H30" s="5" t="n">
        <v>2</v>
      </c>
      <c r="I30" s="5" t="s">
        <v>3515</v>
      </c>
      <c r="J30" s="5" t="s">
        <v>3516</v>
      </c>
      <c r="K30" s="5" t="s">
        <v>3517</v>
      </c>
    </row>
    <row r="31" customFormat="false" ht="23.85" hidden="false" customHeight="false" outlineLevel="0" collapsed="false">
      <c r="A31" s="4" t="s">
        <v>194</v>
      </c>
      <c r="B31" s="4" t="s">
        <v>195</v>
      </c>
      <c r="C31" s="4" t="s">
        <v>772</v>
      </c>
      <c r="D31" s="4" t="n">
        <v>12</v>
      </c>
      <c r="E31" s="4" t="n">
        <v>12</v>
      </c>
      <c r="F31" s="4" t="n">
        <v>8</v>
      </c>
      <c r="G31" s="4" t="n">
        <v>4</v>
      </c>
      <c r="H31" s="4" t="n">
        <v>4</v>
      </c>
      <c r="I31" s="4" t="s">
        <v>3518</v>
      </c>
      <c r="J31" s="4" t="s">
        <v>3519</v>
      </c>
      <c r="K31" s="4" t="s">
        <v>3520</v>
      </c>
    </row>
    <row r="32" customFormat="false" ht="23.85" hidden="false" customHeight="false" outlineLevel="0" collapsed="false">
      <c r="A32" s="5" t="s">
        <v>204</v>
      </c>
      <c r="B32" s="5" t="s">
        <v>195</v>
      </c>
      <c r="C32" s="5" t="s">
        <v>787</v>
      </c>
      <c r="D32" s="5" t="n">
        <v>10</v>
      </c>
      <c r="E32" s="5" t="n">
        <v>8</v>
      </c>
      <c r="F32" s="5" t="n">
        <v>6</v>
      </c>
      <c r="G32" s="5" t="n">
        <v>4</v>
      </c>
      <c r="H32" s="5" t="n">
        <v>4</v>
      </c>
      <c r="I32" s="5" t="s">
        <v>3521</v>
      </c>
      <c r="J32" s="5" t="s">
        <v>3522</v>
      </c>
      <c r="K32" s="5" t="s">
        <v>3523</v>
      </c>
    </row>
    <row r="33" customFormat="false" ht="23.85" hidden="false" customHeight="false" outlineLevel="0" collapsed="false">
      <c r="A33" s="4" t="s">
        <v>232</v>
      </c>
      <c r="B33" s="4" t="s">
        <v>233</v>
      </c>
      <c r="C33" s="4" t="s">
        <v>772</v>
      </c>
      <c r="D33" s="4" t="n">
        <v>12</v>
      </c>
      <c r="E33" s="4" t="n">
        <v>12</v>
      </c>
      <c r="F33" s="4" t="n">
        <v>10</v>
      </c>
      <c r="G33" s="4" t="n">
        <v>4</v>
      </c>
      <c r="H33" s="4" t="n">
        <v>4</v>
      </c>
      <c r="I33" s="4" t="s">
        <v>3524</v>
      </c>
      <c r="J33" s="4" t="s">
        <v>3525</v>
      </c>
      <c r="K33" s="4" t="s">
        <v>3526</v>
      </c>
    </row>
    <row r="34" customFormat="false" ht="23.85" hidden="false" customHeight="false" outlineLevel="0" collapsed="false">
      <c r="A34" s="5" t="s">
        <v>242</v>
      </c>
      <c r="B34" s="5" t="s">
        <v>243</v>
      </c>
      <c r="C34" s="5" t="s">
        <v>772</v>
      </c>
      <c r="D34" s="5" t="n">
        <v>12</v>
      </c>
      <c r="E34" s="5" t="n">
        <v>12</v>
      </c>
      <c r="F34" s="5" t="n">
        <v>10</v>
      </c>
      <c r="G34" s="5" t="n">
        <v>4</v>
      </c>
      <c r="H34" s="5" t="n">
        <v>4</v>
      </c>
      <c r="I34" s="5" t="s">
        <v>3527</v>
      </c>
      <c r="J34" s="5" t="s">
        <v>3528</v>
      </c>
      <c r="K34" s="5" t="s">
        <v>3529</v>
      </c>
    </row>
    <row r="35" customFormat="false" ht="23.85" hidden="false" customHeight="false" outlineLevel="0" collapsed="false">
      <c r="A35" s="4" t="s">
        <v>358</v>
      </c>
      <c r="B35" s="4" t="s">
        <v>724</v>
      </c>
      <c r="C35" s="4" t="s">
        <v>359</v>
      </c>
      <c r="D35" s="4" t="n">
        <v>8</v>
      </c>
      <c r="E35" s="4" t="n">
        <v>8</v>
      </c>
      <c r="F35" s="4" t="n">
        <v>6</v>
      </c>
      <c r="G35" s="4" t="n">
        <v>4</v>
      </c>
      <c r="H35" s="4" t="n">
        <v>0</v>
      </c>
      <c r="I35" s="4" t="s">
        <v>3530</v>
      </c>
      <c r="J35" s="4" t="s">
        <v>3531</v>
      </c>
      <c r="K35" s="4" t="s">
        <v>3532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24"/>
  </cols>
  <sheetData>
    <row r="1" customFormat="false" ht="17.35" hidden="false" customHeight="false" outlineLevel="0" collapsed="false">
      <c r="A1" s="1" t="s">
        <v>3533</v>
      </c>
    </row>
    <row r="2" customFormat="false" ht="15" hidden="false" customHeight="false" outlineLevel="0" collapsed="false">
      <c r="A2" s="246" t="s">
        <v>3534</v>
      </c>
    </row>
    <row r="4" customFormat="false" ht="15" hidden="false" customHeight="false" outlineLevel="0" collapsed="false">
      <c r="A4" s="6" t="s">
        <v>3535</v>
      </c>
    </row>
    <row r="5" customFormat="false" ht="15" hidden="false" customHeight="false" outlineLevel="0" collapsed="false">
      <c r="A5" s="3" t="s">
        <v>3536</v>
      </c>
      <c r="B5" s="3" t="s">
        <v>937</v>
      </c>
      <c r="C5" s="3" t="s">
        <v>1495</v>
      </c>
      <c r="D5" s="3" t="s">
        <v>3537</v>
      </c>
      <c r="E5" s="3" t="s">
        <v>364</v>
      </c>
      <c r="F5" s="3" t="s">
        <v>3538</v>
      </c>
      <c r="G5" s="3" t="s">
        <v>2221</v>
      </c>
      <c r="H5" s="3" t="s">
        <v>318</v>
      </c>
    </row>
    <row r="6" customFormat="false" ht="23.85" hidden="false" customHeight="false" outlineLevel="0" collapsed="false">
      <c r="A6" s="4" t="s">
        <v>3539</v>
      </c>
      <c r="B6" s="4" t="s">
        <v>811</v>
      </c>
      <c r="C6" s="4" t="s">
        <v>3540</v>
      </c>
      <c r="D6" s="4" t="s">
        <v>3541</v>
      </c>
      <c r="E6" s="4" t="s">
        <v>3542</v>
      </c>
      <c r="F6" s="4" t="s">
        <v>3543</v>
      </c>
      <c r="G6" s="4" t="s">
        <v>428</v>
      </c>
      <c r="H6" s="4" t="s">
        <v>3544</v>
      </c>
    </row>
    <row r="7" customFormat="false" ht="23.85" hidden="false" customHeight="false" outlineLevel="0" collapsed="false">
      <c r="A7" s="5" t="s">
        <v>3545</v>
      </c>
      <c r="B7" s="5" t="s">
        <v>811</v>
      </c>
      <c r="C7" s="5" t="s">
        <v>3546</v>
      </c>
      <c r="D7" s="5" t="s">
        <v>3547</v>
      </c>
      <c r="E7" s="5" t="s">
        <v>3548</v>
      </c>
      <c r="F7" s="5" t="s">
        <v>3549</v>
      </c>
      <c r="G7" s="5" t="s">
        <v>428</v>
      </c>
      <c r="H7" s="5" t="s">
        <v>3550</v>
      </c>
    </row>
    <row r="8" customFormat="false" ht="23.85" hidden="false" customHeight="false" outlineLevel="0" collapsed="false">
      <c r="A8" s="4" t="s">
        <v>3551</v>
      </c>
      <c r="B8" s="4" t="s">
        <v>1380</v>
      </c>
      <c r="C8" s="4" t="s">
        <v>3552</v>
      </c>
      <c r="D8" s="4" t="s">
        <v>3553</v>
      </c>
      <c r="E8" s="4" t="s">
        <v>3554</v>
      </c>
      <c r="F8" s="4" t="s">
        <v>3555</v>
      </c>
      <c r="G8" s="4" t="s">
        <v>3556</v>
      </c>
      <c r="H8" s="4" t="s">
        <v>3557</v>
      </c>
    </row>
    <row r="9" customFormat="false" ht="15" hidden="false" customHeight="false" outlineLevel="0" collapsed="false">
      <c r="A9" s="5" t="s">
        <v>3558</v>
      </c>
      <c r="B9" s="5" t="s">
        <v>1380</v>
      </c>
      <c r="C9" s="5" t="s">
        <v>3559</v>
      </c>
      <c r="D9" s="5" t="s">
        <v>3560</v>
      </c>
      <c r="E9" s="5" t="s">
        <v>1566</v>
      </c>
      <c r="F9" s="5" t="s">
        <v>3561</v>
      </c>
      <c r="G9" s="5" t="s">
        <v>3562</v>
      </c>
      <c r="H9" s="5" t="s">
        <v>3557</v>
      </c>
    </row>
    <row r="10" customFormat="false" ht="15" hidden="false" customHeight="false" outlineLevel="0" collapsed="false">
      <c r="A10" s="4" t="s">
        <v>3563</v>
      </c>
      <c r="B10" s="4" t="s">
        <v>1380</v>
      </c>
      <c r="C10" s="4" t="s">
        <v>3564</v>
      </c>
      <c r="D10" s="4" t="s">
        <v>3565</v>
      </c>
      <c r="E10" s="4" t="s">
        <v>3566</v>
      </c>
      <c r="F10" s="4" t="s">
        <v>3567</v>
      </c>
      <c r="G10" s="4" t="s">
        <v>3568</v>
      </c>
      <c r="H10" s="4" t="s">
        <v>3557</v>
      </c>
    </row>
    <row r="11" customFormat="false" ht="15" hidden="false" customHeight="false" outlineLevel="0" collapsed="false">
      <c r="A11" s="5" t="s">
        <v>3569</v>
      </c>
      <c r="B11" s="5" t="s">
        <v>1380</v>
      </c>
      <c r="C11" s="5" t="s">
        <v>3570</v>
      </c>
      <c r="D11" s="5" t="s">
        <v>3571</v>
      </c>
      <c r="E11" s="5" t="s">
        <v>3572</v>
      </c>
      <c r="F11" s="5" t="s">
        <v>3573</v>
      </c>
      <c r="G11" s="5" t="s">
        <v>428</v>
      </c>
      <c r="H11" s="5" t="s">
        <v>3574</v>
      </c>
    </row>
    <row r="12" customFormat="false" ht="23.85" hidden="false" customHeight="false" outlineLevel="0" collapsed="false">
      <c r="A12" s="4" t="s">
        <v>3575</v>
      </c>
      <c r="B12" s="4" t="s">
        <v>1380</v>
      </c>
      <c r="C12" s="4" t="s">
        <v>3576</v>
      </c>
      <c r="D12" s="4" t="s">
        <v>3577</v>
      </c>
      <c r="E12" s="4" t="s">
        <v>3578</v>
      </c>
      <c r="F12" s="4" t="s">
        <v>3579</v>
      </c>
      <c r="G12" s="4" t="s">
        <v>3580</v>
      </c>
      <c r="H12" s="4" t="s">
        <v>3557</v>
      </c>
    </row>
    <row r="13" customFormat="false" ht="15" hidden="false" customHeight="false" outlineLevel="0" collapsed="false">
      <c r="A13" s="5" t="s">
        <v>3581</v>
      </c>
      <c r="B13" s="5" t="s">
        <v>1380</v>
      </c>
      <c r="C13" s="5" t="s">
        <v>1794</v>
      </c>
      <c r="D13" s="5" t="s">
        <v>3582</v>
      </c>
      <c r="E13" s="5" t="s">
        <v>3583</v>
      </c>
      <c r="F13" s="5" t="s">
        <v>3584</v>
      </c>
      <c r="G13" s="5" t="s">
        <v>3585</v>
      </c>
      <c r="H13" s="5" t="s">
        <v>1859</v>
      </c>
    </row>
    <row r="14" customFormat="false" ht="23.85" hidden="false" customHeight="false" outlineLevel="0" collapsed="false">
      <c r="A14" s="4" t="s">
        <v>3586</v>
      </c>
      <c r="B14" s="4" t="s">
        <v>1380</v>
      </c>
      <c r="C14" s="4" t="s">
        <v>3587</v>
      </c>
      <c r="D14" s="4" t="s">
        <v>3588</v>
      </c>
      <c r="E14" s="4" t="s">
        <v>3589</v>
      </c>
      <c r="F14" s="4" t="s">
        <v>3590</v>
      </c>
      <c r="G14" s="4" t="s">
        <v>428</v>
      </c>
      <c r="H14" s="4" t="s">
        <v>3591</v>
      </c>
    </row>
    <row r="15" customFormat="false" ht="15" hidden="false" customHeight="false" outlineLevel="0" collapsed="false">
      <c r="A15" s="5" t="s">
        <v>3592</v>
      </c>
      <c r="B15" s="5" t="s">
        <v>1380</v>
      </c>
      <c r="C15" s="5" t="s">
        <v>3593</v>
      </c>
      <c r="D15" s="5" t="s">
        <v>3594</v>
      </c>
      <c r="E15" s="5" t="s">
        <v>3595</v>
      </c>
      <c r="F15" s="5" t="s">
        <v>3596</v>
      </c>
      <c r="G15" s="5" t="s">
        <v>3597</v>
      </c>
      <c r="H15" s="5" t="s">
        <v>3598</v>
      </c>
    </row>
    <row r="16" customFormat="false" ht="15" hidden="false" customHeight="false" outlineLevel="0" collapsed="false">
      <c r="A16" s="4" t="s">
        <v>3599</v>
      </c>
      <c r="B16" s="4" t="s">
        <v>1380</v>
      </c>
      <c r="C16" s="4" t="s">
        <v>3600</v>
      </c>
      <c r="D16" s="4" t="s">
        <v>3601</v>
      </c>
      <c r="E16" s="4" t="s">
        <v>3602</v>
      </c>
      <c r="F16" s="4" t="s">
        <v>3603</v>
      </c>
      <c r="G16" s="4" t="s">
        <v>3604</v>
      </c>
      <c r="H16" s="4" t="s">
        <v>3605</v>
      </c>
    </row>
    <row r="17" customFormat="false" ht="23.85" hidden="false" customHeight="false" outlineLevel="0" collapsed="false">
      <c r="A17" s="5" t="s">
        <v>3606</v>
      </c>
      <c r="B17" s="5" t="s">
        <v>811</v>
      </c>
      <c r="C17" s="5" t="s">
        <v>3607</v>
      </c>
      <c r="D17" s="5" t="s">
        <v>3608</v>
      </c>
      <c r="E17" s="5" t="s">
        <v>3126</v>
      </c>
      <c r="F17" s="5" t="s">
        <v>428</v>
      </c>
      <c r="G17" s="5" t="s">
        <v>428</v>
      </c>
      <c r="H17" s="5" t="s">
        <v>3609</v>
      </c>
    </row>
    <row r="18" customFormat="false" ht="15" hidden="false" customHeight="false" outlineLevel="0" collapsed="false">
      <c r="A18" s="4" t="s">
        <v>3610</v>
      </c>
      <c r="B18" s="4" t="s">
        <v>811</v>
      </c>
      <c r="C18" s="4" t="s">
        <v>3611</v>
      </c>
      <c r="D18" s="4" t="s">
        <v>3612</v>
      </c>
      <c r="E18" s="4" t="s">
        <v>3613</v>
      </c>
      <c r="F18" s="4" t="s">
        <v>3614</v>
      </c>
      <c r="G18" s="4" t="s">
        <v>428</v>
      </c>
      <c r="H18" s="4" t="s">
        <v>3615</v>
      </c>
    </row>
    <row r="21" customFormat="false" ht="15" hidden="false" customHeight="false" outlineLevel="0" collapsed="false">
      <c r="A21" s="6" t="s">
        <v>3616</v>
      </c>
    </row>
    <row r="22" customFormat="false" ht="15" hidden="false" customHeight="false" outlineLevel="0" collapsed="false">
      <c r="A22" s="3" t="s">
        <v>1342</v>
      </c>
      <c r="B22" s="3" t="s">
        <v>729</v>
      </c>
      <c r="C22" s="3" t="s">
        <v>3617</v>
      </c>
      <c r="D22" s="3" t="s">
        <v>1060</v>
      </c>
      <c r="E22" s="3" t="s">
        <v>1637</v>
      </c>
      <c r="F22" s="3" t="s">
        <v>3618</v>
      </c>
      <c r="G22" s="3" t="s">
        <v>949</v>
      </c>
      <c r="H22" s="3" t="s">
        <v>3619</v>
      </c>
      <c r="I22" s="3" t="s">
        <v>3620</v>
      </c>
    </row>
    <row r="23" customFormat="false" ht="23.85" hidden="false" customHeight="false" outlineLevel="0" collapsed="false">
      <c r="A23" s="4" t="s">
        <v>3621</v>
      </c>
      <c r="B23" s="4" t="s">
        <v>3622</v>
      </c>
      <c r="C23" s="4" t="s">
        <v>3623</v>
      </c>
      <c r="D23" s="4" t="s">
        <v>3624</v>
      </c>
      <c r="E23" s="4" t="s">
        <v>3625</v>
      </c>
      <c r="F23" s="4" t="s">
        <v>3626</v>
      </c>
      <c r="G23" s="4" t="s">
        <v>3627</v>
      </c>
      <c r="H23" s="4" t="s">
        <v>3628</v>
      </c>
      <c r="I23" s="4" t="s">
        <v>761</v>
      </c>
    </row>
    <row r="24" customFormat="false" ht="23.85" hidden="false" customHeight="false" outlineLevel="0" collapsed="false">
      <c r="A24" s="5" t="s">
        <v>3629</v>
      </c>
      <c r="B24" s="5" t="s">
        <v>3622</v>
      </c>
      <c r="C24" s="5" t="s">
        <v>3630</v>
      </c>
      <c r="D24" s="5" t="s">
        <v>3624</v>
      </c>
      <c r="E24" s="5" t="s">
        <v>3625</v>
      </c>
      <c r="F24" s="5" t="s">
        <v>3631</v>
      </c>
      <c r="G24" s="5" t="s">
        <v>3632</v>
      </c>
      <c r="H24" s="5" t="s">
        <v>3628</v>
      </c>
      <c r="I24" s="5" t="s">
        <v>745</v>
      </c>
    </row>
    <row r="25" customFormat="false" ht="23.85" hidden="false" customHeight="false" outlineLevel="0" collapsed="false">
      <c r="A25" s="4" t="s">
        <v>3633</v>
      </c>
      <c r="B25" s="4" t="s">
        <v>3622</v>
      </c>
      <c r="C25" s="4" t="s">
        <v>3634</v>
      </c>
      <c r="D25" s="4" t="s">
        <v>3635</v>
      </c>
      <c r="E25" s="4" t="s">
        <v>3636</v>
      </c>
      <c r="F25" s="4" t="s">
        <v>3637</v>
      </c>
      <c r="G25" s="4" t="s">
        <v>3638</v>
      </c>
      <c r="H25" s="4" t="s">
        <v>3639</v>
      </c>
      <c r="I25" s="4" t="s">
        <v>745</v>
      </c>
    </row>
    <row r="26" customFormat="false" ht="23.85" hidden="false" customHeight="false" outlineLevel="0" collapsed="false">
      <c r="A26" s="5" t="s">
        <v>3640</v>
      </c>
      <c r="B26" s="5" t="s">
        <v>3641</v>
      </c>
      <c r="C26" s="5" t="s">
        <v>3642</v>
      </c>
      <c r="D26" s="5" t="s">
        <v>3643</v>
      </c>
      <c r="E26" s="5" t="s">
        <v>3644</v>
      </c>
      <c r="F26" s="5" t="s">
        <v>3645</v>
      </c>
      <c r="G26" s="5" t="s">
        <v>3646</v>
      </c>
      <c r="H26" s="5" t="s">
        <v>3639</v>
      </c>
      <c r="I26" s="5" t="s">
        <v>3647</v>
      </c>
    </row>
    <row r="27" customFormat="false" ht="23.85" hidden="false" customHeight="false" outlineLevel="0" collapsed="false">
      <c r="A27" s="4" t="s">
        <v>3648</v>
      </c>
      <c r="B27" s="4" t="s">
        <v>3649</v>
      </c>
      <c r="C27" s="4" t="s">
        <v>3650</v>
      </c>
      <c r="D27" s="4" t="s">
        <v>3651</v>
      </c>
      <c r="E27" s="4" t="s">
        <v>773</v>
      </c>
      <c r="F27" s="4" t="s">
        <v>3652</v>
      </c>
      <c r="G27" s="4" t="s">
        <v>3653</v>
      </c>
      <c r="H27" s="4" t="s">
        <v>3654</v>
      </c>
      <c r="I27" s="4" t="s">
        <v>510</v>
      </c>
    </row>
    <row r="28" customFormat="false" ht="23.85" hidden="false" customHeight="false" outlineLevel="0" collapsed="false">
      <c r="A28" s="5" t="s">
        <v>3655</v>
      </c>
      <c r="B28" s="5" t="s">
        <v>3656</v>
      </c>
      <c r="C28" s="5" t="s">
        <v>3657</v>
      </c>
      <c r="D28" s="5" t="s">
        <v>3658</v>
      </c>
      <c r="E28" s="5" t="s">
        <v>3659</v>
      </c>
      <c r="F28" s="5" t="s">
        <v>3660</v>
      </c>
      <c r="G28" s="5" t="s">
        <v>3661</v>
      </c>
      <c r="H28" s="5" t="s">
        <v>3662</v>
      </c>
      <c r="I28" s="5" t="s">
        <v>506</v>
      </c>
    </row>
    <row r="29" customFormat="false" ht="15" hidden="false" customHeight="false" outlineLevel="0" collapsed="false">
      <c r="A29" s="4" t="s">
        <v>3663</v>
      </c>
      <c r="B29" s="4" t="s">
        <v>710</v>
      </c>
      <c r="C29" s="4" t="s">
        <v>3664</v>
      </c>
      <c r="D29" s="4" t="s">
        <v>3665</v>
      </c>
      <c r="E29" s="4" t="s">
        <v>710</v>
      </c>
      <c r="F29" s="4" t="s">
        <v>3666</v>
      </c>
      <c r="G29" s="4" t="s">
        <v>3667</v>
      </c>
      <c r="H29" s="4" t="s">
        <v>3662</v>
      </c>
      <c r="I29" s="4" t="s">
        <v>510</v>
      </c>
    </row>
    <row r="30" customFormat="false" ht="15" hidden="false" customHeight="false" outlineLevel="0" collapsed="false">
      <c r="A30" s="5" t="s">
        <v>3668</v>
      </c>
      <c r="B30" s="5" t="s">
        <v>3669</v>
      </c>
      <c r="C30" s="5" t="s">
        <v>3670</v>
      </c>
      <c r="D30" s="5" t="s">
        <v>3671</v>
      </c>
      <c r="E30" s="5" t="s">
        <v>383</v>
      </c>
      <c r="F30" s="5" t="s">
        <v>428</v>
      </c>
      <c r="G30" s="5" t="s">
        <v>428</v>
      </c>
      <c r="H30" s="5" t="s">
        <v>3672</v>
      </c>
      <c r="I30" s="5" t="s">
        <v>428</v>
      </c>
    </row>
    <row r="31" customFormat="false" ht="15" hidden="false" customHeight="false" outlineLevel="0" collapsed="false">
      <c r="A31" s="4" t="s">
        <v>3673</v>
      </c>
      <c r="B31" s="4" t="s">
        <v>3656</v>
      </c>
      <c r="C31" s="4" t="s">
        <v>3674</v>
      </c>
      <c r="D31" s="4" t="s">
        <v>858</v>
      </c>
      <c r="E31" s="4" t="s">
        <v>383</v>
      </c>
      <c r="F31" s="4" t="s">
        <v>428</v>
      </c>
      <c r="G31" s="4" t="s">
        <v>428</v>
      </c>
      <c r="H31" s="4" t="s">
        <v>3675</v>
      </c>
      <c r="I31" s="4" t="s">
        <v>428</v>
      </c>
    </row>
    <row r="34" customFormat="false" ht="15" hidden="false" customHeight="false" outlineLevel="0" collapsed="false">
      <c r="A34" s="6" t="s">
        <v>3676</v>
      </c>
    </row>
    <row r="35" customFormat="false" ht="15" hidden="false" customHeight="false" outlineLevel="0" collapsed="false">
      <c r="A35" s="3" t="s">
        <v>3677</v>
      </c>
      <c r="B35" s="3" t="s">
        <v>366</v>
      </c>
      <c r="C35" s="3" t="s">
        <v>1062</v>
      </c>
      <c r="D35" s="3" t="s">
        <v>3678</v>
      </c>
      <c r="E35" s="3" t="s">
        <v>1699</v>
      </c>
      <c r="F35" s="3" t="s">
        <v>3679</v>
      </c>
      <c r="G35" s="3" t="s">
        <v>1065</v>
      </c>
      <c r="H35" s="3" t="s">
        <v>290</v>
      </c>
    </row>
    <row r="36" customFormat="false" ht="23.85" hidden="false" customHeight="false" outlineLevel="0" collapsed="false">
      <c r="A36" s="4" t="s">
        <v>3680</v>
      </c>
      <c r="B36" s="4" t="s">
        <v>417</v>
      </c>
      <c r="C36" s="4" t="s">
        <v>3681</v>
      </c>
      <c r="D36" s="4" t="s">
        <v>3682</v>
      </c>
      <c r="E36" s="4" t="s">
        <v>3683</v>
      </c>
      <c r="F36" s="4" t="s">
        <v>3684</v>
      </c>
      <c r="G36" s="4" t="s">
        <v>488</v>
      </c>
      <c r="H36" s="4" t="s">
        <v>980</v>
      </c>
    </row>
    <row r="37" customFormat="false" ht="23.85" hidden="false" customHeight="false" outlineLevel="0" collapsed="false">
      <c r="A37" s="5" t="s">
        <v>3685</v>
      </c>
      <c r="B37" s="5" t="s">
        <v>483</v>
      </c>
      <c r="C37" s="5" t="s">
        <v>3686</v>
      </c>
      <c r="D37" s="5" t="s">
        <v>3687</v>
      </c>
      <c r="E37" s="5" t="s">
        <v>3688</v>
      </c>
      <c r="F37" s="5" t="s">
        <v>3689</v>
      </c>
      <c r="G37" s="5" t="s">
        <v>488</v>
      </c>
      <c r="H37" s="5" t="s">
        <v>980</v>
      </c>
    </row>
    <row r="38" customFormat="false" ht="23.85" hidden="false" customHeight="false" outlineLevel="0" collapsed="false">
      <c r="A38" s="4" t="s">
        <v>3690</v>
      </c>
      <c r="B38" s="4" t="s">
        <v>483</v>
      </c>
      <c r="C38" s="4" t="s">
        <v>3691</v>
      </c>
      <c r="D38" s="4" t="s">
        <v>3692</v>
      </c>
      <c r="E38" s="4" t="s">
        <v>3693</v>
      </c>
      <c r="F38" s="4" t="s">
        <v>3694</v>
      </c>
      <c r="G38" s="4" t="s">
        <v>376</v>
      </c>
      <c r="H38" s="4" t="s">
        <v>980</v>
      </c>
    </row>
    <row r="39" customFormat="false" ht="23.85" hidden="false" customHeight="false" outlineLevel="0" collapsed="false">
      <c r="A39" s="5" t="s">
        <v>3695</v>
      </c>
      <c r="B39" s="5" t="s">
        <v>483</v>
      </c>
      <c r="C39" s="5" t="s">
        <v>3636</v>
      </c>
      <c r="D39" s="5" t="s">
        <v>3696</v>
      </c>
      <c r="E39" s="5" t="s">
        <v>3697</v>
      </c>
      <c r="F39" s="5" t="s">
        <v>3698</v>
      </c>
      <c r="G39" s="5" t="s">
        <v>488</v>
      </c>
      <c r="H39" s="5" t="s">
        <v>980</v>
      </c>
    </row>
    <row r="40" customFormat="false" ht="23.85" hidden="false" customHeight="false" outlineLevel="0" collapsed="false">
      <c r="A40" s="4" t="s">
        <v>3699</v>
      </c>
      <c r="B40" s="4" t="s">
        <v>3700</v>
      </c>
      <c r="C40" s="4" t="s">
        <v>3701</v>
      </c>
      <c r="D40" s="4" t="s">
        <v>3702</v>
      </c>
      <c r="E40" s="4" t="s">
        <v>3703</v>
      </c>
      <c r="F40" s="4" t="s">
        <v>3704</v>
      </c>
      <c r="G40" s="4" t="s">
        <v>488</v>
      </c>
      <c r="H40" s="4" t="s">
        <v>980</v>
      </c>
    </row>
    <row r="41" customFormat="false" ht="23.85" hidden="false" customHeight="false" outlineLevel="0" collapsed="false">
      <c r="A41" s="5" t="s">
        <v>3705</v>
      </c>
      <c r="B41" s="5" t="s">
        <v>483</v>
      </c>
      <c r="C41" s="5" t="s">
        <v>336</v>
      </c>
      <c r="D41" s="5" t="s">
        <v>3706</v>
      </c>
      <c r="E41" s="5" t="s">
        <v>3707</v>
      </c>
      <c r="F41" s="5" t="s">
        <v>3708</v>
      </c>
      <c r="G41" s="5" t="s">
        <v>2501</v>
      </c>
      <c r="H41" s="5" t="s">
        <v>980</v>
      </c>
    </row>
    <row r="42" customFormat="false" ht="23.85" hidden="false" customHeight="false" outlineLevel="0" collapsed="false">
      <c r="A42" s="4" t="s">
        <v>3709</v>
      </c>
      <c r="B42" s="4" t="s">
        <v>483</v>
      </c>
      <c r="C42" s="4" t="s">
        <v>1069</v>
      </c>
      <c r="D42" s="4" t="s">
        <v>3710</v>
      </c>
      <c r="E42" s="4" t="s">
        <v>3711</v>
      </c>
      <c r="F42" s="4" t="s">
        <v>3712</v>
      </c>
      <c r="G42" s="4" t="s">
        <v>488</v>
      </c>
      <c r="H42" s="4" t="s">
        <v>980</v>
      </c>
    </row>
    <row r="43" customFormat="false" ht="23.85" hidden="false" customHeight="false" outlineLevel="0" collapsed="false">
      <c r="A43" s="5" t="s">
        <v>2577</v>
      </c>
      <c r="B43" s="5" t="s">
        <v>483</v>
      </c>
      <c r="C43" s="5" t="s">
        <v>3713</v>
      </c>
      <c r="D43" s="5" t="s">
        <v>3714</v>
      </c>
      <c r="E43" s="5" t="s">
        <v>3715</v>
      </c>
      <c r="F43" s="5" t="s">
        <v>2579</v>
      </c>
      <c r="G43" s="5" t="s">
        <v>3716</v>
      </c>
      <c r="H43" s="5" t="s">
        <v>980</v>
      </c>
    </row>
    <row r="44" customFormat="false" ht="23.85" hidden="false" customHeight="false" outlineLevel="0" collapsed="false">
      <c r="A44" s="4" t="s">
        <v>3717</v>
      </c>
      <c r="B44" s="4" t="s">
        <v>377</v>
      </c>
      <c r="C44" s="4" t="s">
        <v>3718</v>
      </c>
      <c r="D44" s="4" t="s">
        <v>3719</v>
      </c>
      <c r="E44" s="4" t="s">
        <v>3720</v>
      </c>
      <c r="F44" s="4" t="s">
        <v>3721</v>
      </c>
      <c r="G44" s="4" t="s">
        <v>376</v>
      </c>
      <c r="H44" s="4" t="s">
        <v>980</v>
      </c>
    </row>
    <row r="45" customFormat="false" ht="23.85" hidden="false" customHeight="false" outlineLevel="0" collapsed="false">
      <c r="A45" s="5" t="s">
        <v>3722</v>
      </c>
      <c r="B45" s="5" t="s">
        <v>483</v>
      </c>
      <c r="C45" s="5" t="s">
        <v>3723</v>
      </c>
      <c r="D45" s="5" t="s">
        <v>3724</v>
      </c>
      <c r="E45" s="5" t="s">
        <v>3725</v>
      </c>
      <c r="F45" s="5" t="s">
        <v>3726</v>
      </c>
      <c r="G45" s="5" t="s">
        <v>3727</v>
      </c>
      <c r="H45" s="5" t="s">
        <v>980</v>
      </c>
    </row>
    <row r="46" customFormat="false" ht="23.85" hidden="false" customHeight="false" outlineLevel="0" collapsed="false">
      <c r="A46" s="4" t="s">
        <v>3728</v>
      </c>
      <c r="B46" s="4" t="s">
        <v>377</v>
      </c>
      <c r="C46" s="4" t="s">
        <v>3729</v>
      </c>
      <c r="D46" s="4" t="s">
        <v>3730</v>
      </c>
      <c r="E46" s="4" t="s">
        <v>3731</v>
      </c>
      <c r="F46" s="4" t="s">
        <v>3732</v>
      </c>
      <c r="G46" s="4" t="s">
        <v>411</v>
      </c>
      <c r="H46" s="4" t="s">
        <v>980</v>
      </c>
    </row>
    <row r="47" customFormat="false" ht="23.85" hidden="false" customHeight="false" outlineLevel="0" collapsed="false">
      <c r="A47" s="5" t="s">
        <v>3733</v>
      </c>
      <c r="B47" s="5" t="s">
        <v>377</v>
      </c>
      <c r="C47" s="5" t="s">
        <v>3656</v>
      </c>
      <c r="D47" s="5" t="s">
        <v>3734</v>
      </c>
      <c r="E47" s="5" t="s">
        <v>3735</v>
      </c>
      <c r="F47" s="5" t="s">
        <v>3736</v>
      </c>
      <c r="G47" s="5" t="s">
        <v>488</v>
      </c>
      <c r="H47" s="5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2026-03-27T01:37:34Z</dcterms:created>
  <dc:creator>openpyxl</dc:creator>
  <dc:description/>
  <dc:language>en-US</dc:language>
  <cp:lastModifiedBy/>
  <dcterms:modified xsi:type="dcterms:W3CDTF">2026-03-27T03:49:44Z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